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"/>
    </mc:Choice>
  </mc:AlternateContent>
  <xr:revisionPtr revIDLastSave="0" documentId="8_{BBE36EB9-C37E-4F37-9D28-153DA2001854}" xr6:coauthVersionLast="47" xr6:coauthVersionMax="47" xr10:uidLastSave="{00000000-0000-0000-0000-000000000000}"/>
  <bookViews>
    <workbookView xWindow="735" yWindow="735" windowWidth="18900" windowHeight="11055" activeTab="1" xr2:uid="{0193F998-1E55-4791-B455-6A956DD58717}"/>
  </bookViews>
  <sheets>
    <sheet name="Cond. Initiales et trajectoire" sheetId="2" r:id="rId1"/>
    <sheet name="Simulation en mouvement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4" i="3" l="1" a="1"/>
  <c r="T14" i="3" s="1"/>
  <c r="BG15" i="2"/>
  <c r="BF15" i="2"/>
  <c r="BE15" i="2"/>
  <c r="AT15" i="2"/>
  <c r="AS15" i="2"/>
  <c r="AJ13" i="2"/>
  <c r="H2" i="3"/>
  <c r="AR16" i="2"/>
  <c r="AR17" i="2" s="1"/>
  <c r="AR18" i="2" s="1"/>
  <c r="AR19" i="2" s="1"/>
  <c r="AR20" i="2" s="1"/>
  <c r="AR21" i="2" s="1"/>
  <c r="AR22" i="2" s="1"/>
  <c r="AR23" i="2" s="1"/>
  <c r="AR24" i="2" s="1"/>
  <c r="AR25" i="2" s="1"/>
  <c r="AR26" i="2" s="1"/>
  <c r="AR27" i="2" s="1"/>
  <c r="AR28" i="2" s="1"/>
  <c r="AR29" i="2" s="1"/>
  <c r="AR30" i="2" s="1"/>
  <c r="AR31" i="2" s="1"/>
  <c r="AR32" i="2" s="1"/>
  <c r="AR33" i="2" s="1"/>
  <c r="AR34" i="2" s="1"/>
  <c r="AR35" i="2" s="1"/>
  <c r="AR36" i="2" s="1"/>
  <c r="AR37" i="2" s="1"/>
  <c r="AR38" i="2" s="1"/>
  <c r="AR39" i="2" s="1"/>
  <c r="AR40" i="2" s="1"/>
  <c r="AR41" i="2" s="1"/>
  <c r="AR42" i="2" s="1"/>
  <c r="AR43" i="2" s="1"/>
  <c r="AR44" i="2" s="1"/>
  <c r="AR45" i="2" s="1"/>
  <c r="AR46" i="2" s="1"/>
  <c r="AR47" i="2" s="1"/>
  <c r="AR48" i="2" s="1"/>
  <c r="AR49" i="2" s="1"/>
  <c r="AR50" i="2" s="1"/>
  <c r="AR51" i="2" s="1"/>
  <c r="AR52" i="2" s="1"/>
  <c r="AR53" i="2" s="1"/>
  <c r="AR54" i="2" s="1"/>
  <c r="AR55" i="2" s="1"/>
  <c r="AR56" i="2" s="1"/>
  <c r="AR57" i="2" s="1"/>
  <c r="AR58" i="2" s="1"/>
  <c r="AR59" i="2" s="1"/>
  <c r="AR60" i="2" s="1"/>
  <c r="AR61" i="2" s="1"/>
  <c r="AR62" i="2" s="1"/>
  <c r="AR63" i="2" s="1"/>
  <c r="AR64" i="2" s="1"/>
  <c r="AR65" i="2" s="1"/>
  <c r="AR66" i="2" s="1"/>
  <c r="AR67" i="2" s="1"/>
  <c r="AR68" i="2" s="1"/>
  <c r="AR69" i="2" s="1"/>
  <c r="AR70" i="2" s="1"/>
  <c r="AR71" i="2" s="1"/>
  <c r="AR72" i="2" s="1"/>
  <c r="AR73" i="2" s="1"/>
  <c r="AR74" i="2" s="1"/>
  <c r="AR75" i="2" s="1"/>
  <c r="AR76" i="2" s="1"/>
  <c r="AR77" i="2" s="1"/>
  <c r="AR78" i="2" s="1"/>
  <c r="AR79" i="2" s="1"/>
  <c r="AR80" i="2" s="1"/>
  <c r="AR81" i="2" s="1"/>
  <c r="AR82" i="2" s="1"/>
  <c r="AR83" i="2" s="1"/>
  <c r="AR84" i="2" s="1"/>
  <c r="AR85" i="2" s="1"/>
  <c r="AR86" i="2" s="1"/>
  <c r="AR87" i="2" s="1"/>
  <c r="AR88" i="2" s="1"/>
  <c r="AR89" i="2" s="1"/>
  <c r="AR90" i="2" s="1"/>
  <c r="AR91" i="2" s="1"/>
  <c r="AR92" i="2" s="1"/>
  <c r="AR93" i="2" s="1"/>
  <c r="AR94" i="2" s="1"/>
  <c r="AR95" i="2" s="1"/>
  <c r="AR96" i="2" s="1"/>
  <c r="AR97" i="2" s="1"/>
  <c r="AR98" i="2" s="1"/>
  <c r="AR99" i="2" s="1"/>
  <c r="AR100" i="2" s="1"/>
  <c r="AR101" i="2" s="1"/>
  <c r="AR102" i="2" s="1"/>
  <c r="AR103" i="2" s="1"/>
  <c r="AR104" i="2" s="1"/>
  <c r="AR105" i="2" s="1"/>
  <c r="AR106" i="2" s="1"/>
  <c r="AR107" i="2" s="1"/>
  <c r="AR108" i="2" s="1"/>
  <c r="AR109" i="2" s="1"/>
  <c r="AR110" i="2" s="1"/>
  <c r="AR111" i="2" s="1"/>
  <c r="AR112" i="2" s="1"/>
  <c r="AR113" i="2" s="1"/>
  <c r="AR114" i="2" s="1"/>
  <c r="AR115" i="2" s="1"/>
  <c r="AR116" i="2" s="1"/>
  <c r="AR117" i="2" s="1"/>
  <c r="AR118" i="2" s="1"/>
  <c r="AR119" i="2" s="1"/>
  <c r="AR120" i="2" s="1"/>
  <c r="AR121" i="2" s="1"/>
  <c r="AR122" i="2" s="1"/>
  <c r="AR123" i="2" s="1"/>
  <c r="AR124" i="2" s="1"/>
  <c r="AR125" i="2" s="1"/>
  <c r="AR126" i="2" s="1"/>
  <c r="AR127" i="2" s="1"/>
  <c r="AR128" i="2" s="1"/>
  <c r="AR129" i="2" s="1"/>
  <c r="AR130" i="2" s="1"/>
  <c r="AR131" i="2" s="1"/>
  <c r="AR132" i="2" s="1"/>
  <c r="AR133" i="2" s="1"/>
  <c r="AR134" i="2" s="1"/>
  <c r="AR135" i="2" s="1"/>
  <c r="AR136" i="2" s="1"/>
  <c r="AR137" i="2" s="1"/>
  <c r="AR138" i="2" s="1"/>
  <c r="AR139" i="2" s="1"/>
  <c r="AR140" i="2" s="1"/>
  <c r="AR141" i="2" s="1"/>
  <c r="AR142" i="2" s="1"/>
  <c r="AR143" i="2" s="1"/>
  <c r="AR144" i="2" s="1"/>
  <c r="AR145" i="2" s="1"/>
  <c r="AR146" i="2" s="1"/>
  <c r="AR147" i="2" s="1"/>
  <c r="AR148" i="2" s="1"/>
  <c r="AR149" i="2" s="1"/>
  <c r="AR150" i="2" s="1"/>
  <c r="AR151" i="2" s="1"/>
  <c r="AR152" i="2" s="1"/>
  <c r="AR153" i="2" s="1"/>
  <c r="AR154" i="2" s="1"/>
  <c r="AR155" i="2" s="1"/>
  <c r="AR156" i="2" s="1"/>
  <c r="AR157" i="2" s="1"/>
  <c r="AR158" i="2" s="1"/>
  <c r="AR159" i="2" s="1"/>
  <c r="AR160" i="2" s="1"/>
  <c r="AR161" i="2" s="1"/>
  <c r="AR162" i="2" s="1"/>
  <c r="AR163" i="2" s="1"/>
  <c r="AR164" i="2" s="1"/>
  <c r="AR165" i="2" s="1"/>
  <c r="AR166" i="2" s="1"/>
  <c r="AR167" i="2" s="1"/>
  <c r="AR168" i="2" s="1"/>
  <c r="AR169" i="2" s="1"/>
  <c r="AR170" i="2" s="1"/>
  <c r="AR171" i="2" s="1"/>
  <c r="AR172" i="2" s="1"/>
  <c r="AR173" i="2" s="1"/>
  <c r="AR174" i="2" s="1"/>
  <c r="AR175" i="2" s="1"/>
  <c r="AR176" i="2" s="1"/>
  <c r="AR177" i="2" s="1"/>
  <c r="AR178" i="2" s="1"/>
  <c r="AR179" i="2" s="1"/>
  <c r="AR180" i="2" s="1"/>
  <c r="AR181" i="2" s="1"/>
  <c r="AR182" i="2" s="1"/>
  <c r="AR183" i="2" s="1"/>
  <c r="AR184" i="2" s="1"/>
  <c r="AR185" i="2" s="1"/>
  <c r="AR186" i="2" s="1"/>
  <c r="AR187" i="2" s="1"/>
  <c r="AR188" i="2" s="1"/>
  <c r="AR189" i="2" s="1"/>
  <c r="AR190" i="2" s="1"/>
  <c r="AR191" i="2" s="1"/>
  <c r="AR192" i="2" s="1"/>
  <c r="AR193" i="2" s="1"/>
  <c r="AR194" i="2" s="1"/>
  <c r="AR195" i="2" s="1"/>
  <c r="AR196" i="2" s="1"/>
  <c r="AR197" i="2" s="1"/>
  <c r="AR198" i="2" s="1"/>
  <c r="AR199" i="2" s="1"/>
  <c r="AR200" i="2" s="1"/>
  <c r="AR201" i="2" s="1"/>
  <c r="AR202" i="2" s="1"/>
  <c r="AR203" i="2" s="1"/>
  <c r="AR204" i="2" s="1"/>
  <c r="AR205" i="2" s="1"/>
  <c r="AR206" i="2" s="1"/>
  <c r="AR207" i="2" s="1"/>
  <c r="AR208" i="2" s="1"/>
  <c r="AR209" i="2" s="1"/>
  <c r="AR210" i="2" s="1"/>
  <c r="AR211" i="2" s="1"/>
  <c r="AR212" i="2" s="1"/>
  <c r="AR213" i="2" s="1"/>
  <c r="AR214" i="2" s="1"/>
  <c r="AR215" i="2" s="1"/>
  <c r="AR216" i="2" s="1"/>
  <c r="AR217" i="2" s="1"/>
  <c r="AR218" i="2" s="1"/>
  <c r="AR219" i="2" s="1"/>
  <c r="AR220" i="2" s="1"/>
  <c r="AR221" i="2" s="1"/>
  <c r="AR222" i="2" s="1"/>
  <c r="AR223" i="2" s="1"/>
  <c r="AR224" i="2" s="1"/>
  <c r="AR225" i="2" s="1"/>
  <c r="AR226" i="2" s="1"/>
  <c r="AR227" i="2" s="1"/>
  <c r="AR228" i="2" s="1"/>
  <c r="AR229" i="2" s="1"/>
  <c r="AR230" i="2" s="1"/>
  <c r="AR231" i="2" s="1"/>
  <c r="AR232" i="2" s="1"/>
  <c r="AR233" i="2" s="1"/>
  <c r="AR234" i="2" s="1"/>
  <c r="AR235" i="2" s="1"/>
  <c r="AR236" i="2" s="1"/>
  <c r="AR237" i="2" s="1"/>
  <c r="AR238" i="2" s="1"/>
  <c r="AR239" i="2" s="1"/>
  <c r="AR240" i="2" s="1"/>
  <c r="AR241" i="2" s="1"/>
  <c r="AR242" i="2" s="1"/>
  <c r="AR243" i="2" s="1"/>
  <c r="AR244" i="2" s="1"/>
  <c r="AR245" i="2" s="1"/>
  <c r="AR246" i="2" s="1"/>
  <c r="AR247" i="2" s="1"/>
  <c r="AR248" i="2" s="1"/>
  <c r="AR249" i="2" s="1"/>
  <c r="AR250" i="2" s="1"/>
  <c r="AR251" i="2" s="1"/>
  <c r="AR252" i="2" s="1"/>
  <c r="AR253" i="2" s="1"/>
  <c r="AR254" i="2" s="1"/>
  <c r="AR255" i="2" s="1"/>
  <c r="AR256" i="2" s="1"/>
  <c r="AR257" i="2" s="1"/>
  <c r="AR258" i="2" s="1"/>
  <c r="AR259" i="2" s="1"/>
  <c r="AR260" i="2" s="1"/>
  <c r="AR261" i="2" s="1"/>
  <c r="AR262" i="2" s="1"/>
  <c r="AR263" i="2" s="1"/>
  <c r="AR264" i="2" s="1"/>
  <c r="AR265" i="2" s="1"/>
  <c r="AR266" i="2" s="1"/>
  <c r="AR267" i="2" s="1"/>
  <c r="AR268" i="2" s="1"/>
  <c r="AR269" i="2" s="1"/>
  <c r="AR270" i="2" s="1"/>
  <c r="AR271" i="2" s="1"/>
  <c r="AR272" i="2" s="1"/>
  <c r="AR273" i="2" s="1"/>
  <c r="AR274" i="2" s="1"/>
  <c r="AR275" i="2" s="1"/>
  <c r="AR276" i="2" s="1"/>
  <c r="AR277" i="2" s="1"/>
  <c r="AR278" i="2" s="1"/>
  <c r="AR279" i="2" s="1"/>
  <c r="AR280" i="2" s="1"/>
  <c r="AR281" i="2" s="1"/>
  <c r="AR282" i="2" s="1"/>
  <c r="AR283" i="2" s="1"/>
  <c r="AR284" i="2" s="1"/>
  <c r="AR285" i="2" s="1"/>
  <c r="AR286" i="2" s="1"/>
  <c r="AR287" i="2" s="1"/>
  <c r="AR288" i="2" s="1"/>
  <c r="AR289" i="2" s="1"/>
  <c r="AR290" i="2" s="1"/>
  <c r="AR291" i="2" s="1"/>
  <c r="AR292" i="2" s="1"/>
  <c r="AR293" i="2" s="1"/>
  <c r="AR294" i="2" s="1"/>
  <c r="AR295" i="2" s="1"/>
  <c r="AR296" i="2" s="1"/>
  <c r="AR297" i="2" s="1"/>
  <c r="AR298" i="2" s="1"/>
  <c r="AR299" i="2" s="1"/>
  <c r="AR300" i="2" s="1"/>
  <c r="AR301" i="2" s="1"/>
  <c r="AR302" i="2" s="1"/>
  <c r="AR303" i="2" s="1"/>
  <c r="AR304" i="2" s="1"/>
  <c r="AR305" i="2" s="1"/>
  <c r="AR306" i="2" s="1"/>
  <c r="AR307" i="2" s="1"/>
  <c r="AR308" i="2" s="1"/>
  <c r="AR309" i="2" s="1"/>
  <c r="AR310" i="2" s="1"/>
  <c r="AR311" i="2" s="1"/>
  <c r="AR312" i="2" s="1"/>
  <c r="AR313" i="2" s="1"/>
  <c r="AR314" i="2" s="1"/>
  <c r="AR315" i="2" s="1"/>
  <c r="AR316" i="2" s="1"/>
  <c r="AR317" i="2" s="1"/>
  <c r="AR318" i="2" s="1"/>
  <c r="AR319" i="2" s="1"/>
  <c r="AR320" i="2" s="1"/>
  <c r="AR321" i="2" s="1"/>
  <c r="AR322" i="2" s="1"/>
  <c r="AR323" i="2" s="1"/>
  <c r="AR324" i="2" s="1"/>
  <c r="AR325" i="2" s="1"/>
  <c r="AR326" i="2" s="1"/>
  <c r="AR327" i="2" s="1"/>
  <c r="AR328" i="2" s="1"/>
  <c r="AR329" i="2" s="1"/>
  <c r="AR330" i="2" s="1"/>
  <c r="AR331" i="2" s="1"/>
  <c r="AR332" i="2" s="1"/>
  <c r="AR333" i="2" s="1"/>
  <c r="AR334" i="2" s="1"/>
  <c r="AR335" i="2" s="1"/>
  <c r="AR336" i="2" s="1"/>
  <c r="AR337" i="2" s="1"/>
  <c r="AR338" i="2" s="1"/>
  <c r="AR339" i="2" s="1"/>
  <c r="AR340" i="2" s="1"/>
  <c r="AR341" i="2" s="1"/>
  <c r="AR342" i="2" s="1"/>
  <c r="AR343" i="2" s="1"/>
  <c r="AR344" i="2" s="1"/>
  <c r="AR345" i="2" s="1"/>
  <c r="AR346" i="2" s="1"/>
  <c r="AR347" i="2" s="1"/>
  <c r="AR348" i="2" s="1"/>
  <c r="AR349" i="2" s="1"/>
  <c r="AR350" i="2" s="1"/>
  <c r="AR351" i="2" s="1"/>
  <c r="AR352" i="2" s="1"/>
  <c r="AR353" i="2" s="1"/>
  <c r="AR354" i="2" s="1"/>
  <c r="AR355" i="2" s="1"/>
  <c r="AR356" i="2" s="1"/>
  <c r="AR357" i="2" s="1"/>
  <c r="AR358" i="2" s="1"/>
  <c r="AR359" i="2" s="1"/>
  <c r="AR360" i="2" s="1"/>
  <c r="AR361" i="2" s="1"/>
  <c r="AR362" i="2" s="1"/>
  <c r="AR363" i="2" s="1"/>
  <c r="AR364" i="2" s="1"/>
  <c r="AR365" i="2" s="1"/>
  <c r="AR366" i="2" s="1"/>
  <c r="AR367" i="2" s="1"/>
  <c r="AR368" i="2" s="1"/>
  <c r="AR369" i="2" s="1"/>
  <c r="AR370" i="2" s="1"/>
  <c r="AR371" i="2" s="1"/>
  <c r="AR372" i="2" s="1"/>
  <c r="AR373" i="2" s="1"/>
  <c r="AR374" i="2" s="1"/>
  <c r="AR375" i="2" s="1"/>
  <c r="AR376" i="2" s="1"/>
  <c r="AR377" i="2" s="1"/>
  <c r="AR378" i="2" s="1"/>
  <c r="AR379" i="2" s="1"/>
  <c r="AR380" i="2" s="1"/>
  <c r="AR381" i="2" s="1"/>
  <c r="AR382" i="2" s="1"/>
  <c r="AR383" i="2" s="1"/>
  <c r="AR384" i="2" s="1"/>
  <c r="AR385" i="2" s="1"/>
  <c r="AR386" i="2" s="1"/>
  <c r="AR387" i="2" s="1"/>
  <c r="AR388" i="2" s="1"/>
  <c r="AR389" i="2" s="1"/>
  <c r="AR390" i="2" s="1"/>
  <c r="AR391" i="2" s="1"/>
  <c r="AR392" i="2" s="1"/>
  <c r="AR393" i="2" s="1"/>
  <c r="AR394" i="2" s="1"/>
  <c r="AR395" i="2" s="1"/>
  <c r="AR396" i="2" s="1"/>
  <c r="AR397" i="2" s="1"/>
  <c r="AR398" i="2" s="1"/>
  <c r="AR399" i="2" s="1"/>
  <c r="AR400" i="2" s="1"/>
  <c r="AR401" i="2" s="1"/>
  <c r="AR402" i="2" s="1"/>
  <c r="AR403" i="2" s="1"/>
  <c r="AR404" i="2" s="1"/>
  <c r="AR405" i="2" s="1"/>
  <c r="AR406" i="2" s="1"/>
  <c r="AR407" i="2" s="1"/>
  <c r="AR408" i="2" s="1"/>
  <c r="AR409" i="2" s="1"/>
  <c r="AR410" i="2" s="1"/>
  <c r="AR411" i="2" s="1"/>
  <c r="AR412" i="2" s="1"/>
  <c r="AR413" i="2" s="1"/>
  <c r="AR414" i="2" s="1"/>
  <c r="AR415" i="2" s="1"/>
  <c r="AR416" i="2" s="1"/>
  <c r="AR417" i="2" s="1"/>
  <c r="AR418" i="2" s="1"/>
  <c r="AR419" i="2" s="1"/>
  <c r="AR420" i="2" s="1"/>
  <c r="AR421" i="2" s="1"/>
  <c r="AR422" i="2" s="1"/>
  <c r="AR423" i="2" s="1"/>
  <c r="AR424" i="2" s="1"/>
  <c r="AR425" i="2" s="1"/>
  <c r="AR426" i="2" s="1"/>
  <c r="AR427" i="2" s="1"/>
  <c r="AR428" i="2" s="1"/>
  <c r="AR429" i="2" s="1"/>
  <c r="AR430" i="2" s="1"/>
  <c r="AR431" i="2" s="1"/>
  <c r="AR432" i="2" s="1"/>
  <c r="AR433" i="2" s="1"/>
  <c r="AR434" i="2" s="1"/>
  <c r="AR435" i="2" s="1"/>
  <c r="AR436" i="2" s="1"/>
  <c r="AR437" i="2" s="1"/>
  <c r="AR438" i="2" s="1"/>
  <c r="AR439" i="2" s="1"/>
  <c r="AR440" i="2" s="1"/>
  <c r="AR441" i="2" s="1"/>
  <c r="AR442" i="2" s="1"/>
  <c r="AR443" i="2" s="1"/>
  <c r="AR444" i="2" s="1"/>
  <c r="AR445" i="2" s="1"/>
  <c r="AR446" i="2" s="1"/>
  <c r="AR447" i="2" s="1"/>
  <c r="AR448" i="2" s="1"/>
  <c r="AR449" i="2" s="1"/>
  <c r="AR450" i="2" s="1"/>
  <c r="AR451" i="2" s="1"/>
  <c r="AR452" i="2" s="1"/>
  <c r="AR453" i="2" s="1"/>
  <c r="AR454" i="2" s="1"/>
  <c r="AR455" i="2" s="1"/>
  <c r="AR456" i="2" s="1"/>
  <c r="AR457" i="2" s="1"/>
  <c r="AR458" i="2" s="1"/>
  <c r="AR459" i="2" s="1"/>
  <c r="AR460" i="2" s="1"/>
  <c r="AR461" i="2" s="1"/>
  <c r="AR462" i="2" s="1"/>
  <c r="AR463" i="2" s="1"/>
  <c r="AR464" i="2" s="1"/>
  <c r="AR465" i="2" s="1"/>
  <c r="AR466" i="2" s="1"/>
  <c r="AR467" i="2" s="1"/>
  <c r="AR468" i="2" s="1"/>
  <c r="AR469" i="2" s="1"/>
  <c r="AR470" i="2" s="1"/>
  <c r="AR471" i="2" s="1"/>
  <c r="AR472" i="2" s="1"/>
  <c r="AR473" i="2" s="1"/>
  <c r="AR474" i="2" s="1"/>
  <c r="AR475" i="2" s="1"/>
  <c r="AR476" i="2" s="1"/>
  <c r="AR477" i="2" s="1"/>
  <c r="AR478" i="2" s="1"/>
  <c r="AR479" i="2" s="1"/>
  <c r="AR480" i="2" s="1"/>
  <c r="AR481" i="2" s="1"/>
  <c r="AR482" i="2" s="1"/>
  <c r="AR483" i="2" s="1"/>
  <c r="AR484" i="2" s="1"/>
  <c r="AR485" i="2" s="1"/>
  <c r="AR486" i="2" s="1"/>
  <c r="AR487" i="2" s="1"/>
  <c r="AR488" i="2" s="1"/>
  <c r="AR489" i="2" s="1"/>
  <c r="AR490" i="2" s="1"/>
  <c r="AR491" i="2" s="1"/>
  <c r="AR492" i="2" s="1"/>
  <c r="AR493" i="2" s="1"/>
  <c r="AR494" i="2" s="1"/>
  <c r="AR495" i="2" s="1"/>
  <c r="AR496" i="2" s="1"/>
  <c r="AR497" i="2" s="1"/>
  <c r="AR498" i="2" s="1"/>
  <c r="AR499" i="2" s="1"/>
  <c r="AR500" i="2" s="1"/>
  <c r="AR501" i="2" s="1"/>
  <c r="AR502" i="2" s="1"/>
  <c r="AR503" i="2" s="1"/>
  <c r="AR504" i="2" s="1"/>
  <c r="AR505" i="2" s="1"/>
  <c r="AR506" i="2" s="1"/>
  <c r="AR507" i="2" s="1"/>
  <c r="AR508" i="2" s="1"/>
  <c r="AR509" i="2" s="1"/>
  <c r="AR510" i="2" s="1"/>
  <c r="AR511" i="2" s="1"/>
  <c r="AR512" i="2" s="1"/>
  <c r="AR513" i="2" s="1"/>
  <c r="AR514" i="2" s="1"/>
  <c r="AR515" i="2" s="1"/>
  <c r="AR516" i="2" s="1"/>
  <c r="AR517" i="2" s="1"/>
  <c r="AR518" i="2" s="1"/>
  <c r="AR519" i="2" s="1"/>
  <c r="AR520" i="2" s="1"/>
  <c r="AR521" i="2" s="1"/>
  <c r="AR522" i="2" s="1"/>
  <c r="AR523" i="2" s="1"/>
  <c r="AR524" i="2" s="1"/>
  <c r="AR525" i="2" s="1"/>
  <c r="AR526" i="2" s="1"/>
  <c r="AR527" i="2" s="1"/>
  <c r="AR528" i="2" s="1"/>
  <c r="AR529" i="2" s="1"/>
  <c r="AR530" i="2" s="1"/>
  <c r="AR531" i="2" s="1"/>
  <c r="AR532" i="2" s="1"/>
  <c r="AR533" i="2" s="1"/>
  <c r="AR534" i="2" s="1"/>
  <c r="AR535" i="2" s="1"/>
  <c r="AR536" i="2" s="1"/>
  <c r="AR537" i="2" s="1"/>
  <c r="AR538" i="2" s="1"/>
  <c r="AR539" i="2" s="1"/>
  <c r="AR540" i="2" s="1"/>
  <c r="AR541" i="2" s="1"/>
  <c r="AR542" i="2" s="1"/>
  <c r="AR543" i="2" s="1"/>
  <c r="AR544" i="2" s="1"/>
  <c r="AR545" i="2" s="1"/>
  <c r="AR546" i="2" s="1"/>
  <c r="AR547" i="2" s="1"/>
  <c r="AR548" i="2" s="1"/>
  <c r="AR549" i="2" s="1"/>
  <c r="AR550" i="2" s="1"/>
  <c r="AR551" i="2" s="1"/>
  <c r="AR552" i="2" s="1"/>
  <c r="AR553" i="2" s="1"/>
  <c r="AR554" i="2" s="1"/>
  <c r="AR555" i="2" s="1"/>
  <c r="AR556" i="2" s="1"/>
  <c r="AR557" i="2" s="1"/>
  <c r="AR558" i="2" s="1"/>
  <c r="AR559" i="2" s="1"/>
  <c r="AR560" i="2" s="1"/>
  <c r="AR561" i="2" s="1"/>
  <c r="AR562" i="2" s="1"/>
  <c r="AR563" i="2" s="1"/>
  <c r="AR564" i="2" s="1"/>
  <c r="AR565" i="2" s="1"/>
  <c r="AR566" i="2" s="1"/>
  <c r="AR567" i="2" s="1"/>
  <c r="AR568" i="2" s="1"/>
  <c r="AR569" i="2" s="1"/>
  <c r="AR570" i="2" s="1"/>
  <c r="AR571" i="2" s="1"/>
  <c r="AR572" i="2" s="1"/>
  <c r="AR573" i="2" s="1"/>
  <c r="AR574" i="2" s="1"/>
  <c r="AR575" i="2" s="1"/>
  <c r="AR576" i="2" s="1"/>
  <c r="AR577" i="2" s="1"/>
  <c r="AR578" i="2" s="1"/>
  <c r="AR579" i="2" s="1"/>
  <c r="AR580" i="2" s="1"/>
  <c r="AR581" i="2" s="1"/>
  <c r="AR582" i="2" s="1"/>
  <c r="AR583" i="2" s="1"/>
  <c r="AR584" i="2" s="1"/>
  <c r="AR585" i="2" s="1"/>
  <c r="AR586" i="2" s="1"/>
  <c r="AR587" i="2" s="1"/>
  <c r="AR588" i="2" s="1"/>
  <c r="AR589" i="2" s="1"/>
  <c r="AR590" i="2" s="1"/>
  <c r="AR591" i="2" s="1"/>
  <c r="AR592" i="2" s="1"/>
  <c r="AR593" i="2" s="1"/>
  <c r="AR594" i="2" s="1"/>
  <c r="AR595" i="2" s="1"/>
  <c r="AR596" i="2" s="1"/>
  <c r="AR597" i="2" s="1"/>
  <c r="AR598" i="2" s="1"/>
  <c r="AR599" i="2" s="1"/>
  <c r="AR600" i="2" s="1"/>
  <c r="AR601" i="2" s="1"/>
  <c r="AR602" i="2" s="1"/>
  <c r="AR603" i="2" s="1"/>
  <c r="AR604" i="2" s="1"/>
  <c r="AR605" i="2" s="1"/>
  <c r="AR606" i="2" s="1"/>
  <c r="AR607" i="2" s="1"/>
  <c r="AR608" i="2" s="1"/>
  <c r="AR609" i="2" s="1"/>
  <c r="AR610" i="2" s="1"/>
  <c r="AR611" i="2" s="1"/>
  <c r="AR612" i="2" s="1"/>
  <c r="AR613" i="2" s="1"/>
  <c r="AR614" i="2" s="1"/>
  <c r="AR615" i="2" s="1"/>
  <c r="AR616" i="2" s="1"/>
  <c r="AR617" i="2" s="1"/>
  <c r="AR618" i="2" s="1"/>
  <c r="AR619" i="2" s="1"/>
  <c r="AR620" i="2" s="1"/>
  <c r="AR621" i="2" s="1"/>
  <c r="AR622" i="2" s="1"/>
  <c r="AR623" i="2" s="1"/>
  <c r="AR624" i="2" s="1"/>
  <c r="AR625" i="2" s="1"/>
  <c r="AR626" i="2" s="1"/>
  <c r="AR627" i="2" s="1"/>
  <c r="AR628" i="2" s="1"/>
  <c r="AR629" i="2" s="1"/>
  <c r="AR630" i="2" s="1"/>
  <c r="AR631" i="2" s="1"/>
  <c r="AR632" i="2" s="1"/>
  <c r="AR633" i="2" s="1"/>
  <c r="AR634" i="2" s="1"/>
  <c r="AR635" i="2" s="1"/>
  <c r="AR636" i="2" s="1"/>
  <c r="AR637" i="2" s="1"/>
  <c r="AR638" i="2" s="1"/>
  <c r="AR639" i="2" s="1"/>
  <c r="AR640" i="2" s="1"/>
  <c r="AR641" i="2" s="1"/>
  <c r="AR642" i="2" s="1"/>
  <c r="AR643" i="2" s="1"/>
  <c r="AR644" i="2" s="1"/>
  <c r="AR645" i="2" s="1"/>
  <c r="AR646" i="2" s="1"/>
  <c r="AR647" i="2" s="1"/>
  <c r="AR648" i="2" s="1"/>
  <c r="AR649" i="2" s="1"/>
  <c r="AR650" i="2" s="1"/>
  <c r="AR651" i="2" s="1"/>
  <c r="AR652" i="2" s="1"/>
  <c r="AR653" i="2" s="1"/>
  <c r="AR654" i="2" s="1"/>
  <c r="AR655" i="2" s="1"/>
  <c r="AR656" i="2" s="1"/>
  <c r="AR657" i="2" s="1"/>
  <c r="AR658" i="2" s="1"/>
  <c r="AR659" i="2" s="1"/>
  <c r="AR660" i="2" s="1"/>
  <c r="AR661" i="2" s="1"/>
  <c r="AR662" i="2" s="1"/>
  <c r="AR663" i="2" s="1"/>
  <c r="AR664" i="2" s="1"/>
  <c r="AR665" i="2" s="1"/>
  <c r="AR666" i="2" s="1"/>
  <c r="AR667" i="2" s="1"/>
  <c r="AR668" i="2" s="1"/>
  <c r="AR669" i="2" s="1"/>
  <c r="AR670" i="2" s="1"/>
  <c r="AR671" i="2" s="1"/>
  <c r="AR672" i="2" s="1"/>
  <c r="AR673" i="2" s="1"/>
  <c r="AR674" i="2" s="1"/>
  <c r="AR675" i="2" s="1"/>
  <c r="AR676" i="2" s="1"/>
  <c r="AR677" i="2" s="1"/>
  <c r="AR678" i="2" s="1"/>
  <c r="AR679" i="2" s="1"/>
  <c r="AR680" i="2" s="1"/>
  <c r="AR681" i="2" s="1"/>
  <c r="AR682" i="2" s="1"/>
  <c r="AR683" i="2" s="1"/>
  <c r="AR684" i="2" s="1"/>
  <c r="AR685" i="2" s="1"/>
  <c r="AR686" i="2" s="1"/>
  <c r="AR687" i="2" s="1"/>
  <c r="AR688" i="2" s="1"/>
  <c r="AR689" i="2" s="1"/>
  <c r="AR690" i="2" s="1"/>
  <c r="AR691" i="2" s="1"/>
  <c r="AR692" i="2" s="1"/>
  <c r="AR693" i="2" s="1"/>
  <c r="AR694" i="2" s="1"/>
  <c r="AR695" i="2" s="1"/>
  <c r="AR696" i="2" s="1"/>
  <c r="AR697" i="2" s="1"/>
  <c r="AR698" i="2" s="1"/>
  <c r="AR699" i="2" s="1"/>
  <c r="AR700" i="2" s="1"/>
  <c r="AR701" i="2" s="1"/>
  <c r="AR702" i="2" s="1"/>
  <c r="AR703" i="2" s="1"/>
  <c r="AR704" i="2" s="1"/>
  <c r="AR705" i="2" s="1"/>
  <c r="AR706" i="2" s="1"/>
  <c r="AR707" i="2" s="1"/>
  <c r="AR708" i="2" s="1"/>
  <c r="AR709" i="2" s="1"/>
  <c r="AR710" i="2" s="1"/>
  <c r="AR711" i="2" s="1"/>
  <c r="AR712" i="2" s="1"/>
  <c r="AR713" i="2" s="1"/>
  <c r="AR714" i="2" s="1"/>
  <c r="AR715" i="2" s="1"/>
  <c r="AR716" i="2" s="1"/>
  <c r="AR717" i="2" s="1"/>
  <c r="AR718" i="2" s="1"/>
  <c r="AR719" i="2" s="1"/>
  <c r="AR720" i="2" s="1"/>
  <c r="AR721" i="2" s="1"/>
  <c r="AR722" i="2" s="1"/>
  <c r="AR723" i="2" s="1"/>
  <c r="AR724" i="2" s="1"/>
  <c r="AR725" i="2" s="1"/>
  <c r="AR726" i="2" s="1"/>
  <c r="AR727" i="2" s="1"/>
  <c r="AR728" i="2" s="1"/>
  <c r="AR729" i="2" s="1"/>
  <c r="AR730" i="2" s="1"/>
  <c r="AR731" i="2" s="1"/>
  <c r="AR732" i="2" s="1"/>
  <c r="AR733" i="2" s="1"/>
  <c r="AR734" i="2" s="1"/>
  <c r="AR735" i="2" s="1"/>
  <c r="AR736" i="2" s="1"/>
  <c r="AR737" i="2" s="1"/>
  <c r="AR738" i="2" s="1"/>
  <c r="AR739" i="2" s="1"/>
  <c r="AR740" i="2" s="1"/>
  <c r="AR741" i="2" s="1"/>
  <c r="AR742" i="2" s="1"/>
  <c r="AR743" i="2" s="1"/>
  <c r="AR744" i="2" s="1"/>
  <c r="AR745" i="2" s="1"/>
  <c r="AR746" i="2" s="1"/>
  <c r="AR747" i="2" s="1"/>
  <c r="AR748" i="2" s="1"/>
  <c r="AR749" i="2" s="1"/>
  <c r="AR750" i="2" s="1"/>
  <c r="AR751" i="2" s="1"/>
  <c r="AR752" i="2" s="1"/>
  <c r="AR753" i="2" s="1"/>
  <c r="AR754" i="2" s="1"/>
  <c r="AR755" i="2" s="1"/>
  <c r="AR756" i="2" s="1"/>
  <c r="AR757" i="2" s="1"/>
  <c r="AR758" i="2" s="1"/>
  <c r="AR759" i="2" s="1"/>
  <c r="AR760" i="2" s="1"/>
  <c r="AR761" i="2" s="1"/>
  <c r="AR762" i="2" s="1"/>
  <c r="AR763" i="2" s="1"/>
  <c r="AR764" i="2" s="1"/>
  <c r="AR765" i="2" s="1"/>
  <c r="AR766" i="2" s="1"/>
  <c r="AR767" i="2" s="1"/>
  <c r="AR768" i="2" s="1"/>
  <c r="AR769" i="2" s="1"/>
  <c r="AR770" i="2" s="1"/>
  <c r="AR771" i="2" s="1"/>
  <c r="AR772" i="2" s="1"/>
  <c r="AR773" i="2" s="1"/>
  <c r="AR774" i="2" s="1"/>
  <c r="AR775" i="2" s="1"/>
  <c r="AR776" i="2" s="1"/>
  <c r="AR777" i="2" s="1"/>
  <c r="AR778" i="2" s="1"/>
  <c r="AR779" i="2" s="1"/>
  <c r="AR780" i="2" s="1"/>
  <c r="AR781" i="2" s="1"/>
  <c r="AR782" i="2" s="1"/>
  <c r="AR783" i="2" s="1"/>
  <c r="AR784" i="2" s="1"/>
  <c r="AR785" i="2" s="1"/>
  <c r="AR786" i="2" s="1"/>
  <c r="AR787" i="2" s="1"/>
  <c r="AR788" i="2" s="1"/>
  <c r="AR789" i="2" s="1"/>
  <c r="AR790" i="2" s="1"/>
  <c r="AR791" i="2" s="1"/>
  <c r="AR792" i="2" s="1"/>
  <c r="AR793" i="2" s="1"/>
  <c r="AR794" i="2" s="1"/>
  <c r="AR795" i="2" s="1"/>
  <c r="AR796" i="2" s="1"/>
  <c r="AR797" i="2" s="1"/>
  <c r="AR798" i="2" s="1"/>
  <c r="AR799" i="2" s="1"/>
  <c r="AR800" i="2" s="1"/>
  <c r="AR801" i="2" s="1"/>
  <c r="AR802" i="2" s="1"/>
  <c r="AR803" i="2" s="1"/>
  <c r="AR804" i="2" s="1"/>
  <c r="AR805" i="2" s="1"/>
  <c r="AR806" i="2" s="1"/>
  <c r="AR807" i="2" s="1"/>
  <c r="AR808" i="2" s="1"/>
  <c r="AR809" i="2" s="1"/>
  <c r="AR810" i="2" s="1"/>
  <c r="AR811" i="2" s="1"/>
  <c r="AR812" i="2" s="1"/>
  <c r="AR813" i="2" s="1"/>
  <c r="AR814" i="2" s="1"/>
  <c r="AR815" i="2" s="1"/>
  <c r="AR816" i="2" s="1"/>
  <c r="AR817" i="2" s="1"/>
  <c r="AR818" i="2" s="1"/>
  <c r="AR819" i="2" s="1"/>
  <c r="AR820" i="2" s="1"/>
  <c r="AR821" i="2" s="1"/>
  <c r="AR822" i="2" s="1"/>
  <c r="AR823" i="2" s="1"/>
  <c r="AR824" i="2" s="1"/>
  <c r="AR825" i="2" s="1"/>
  <c r="AR826" i="2" s="1"/>
  <c r="AR827" i="2" s="1"/>
  <c r="AR828" i="2" s="1"/>
  <c r="AR829" i="2" s="1"/>
  <c r="AR830" i="2" s="1"/>
  <c r="AR831" i="2" s="1"/>
  <c r="AR832" i="2" s="1"/>
  <c r="AR833" i="2" s="1"/>
  <c r="AR834" i="2" s="1"/>
  <c r="AR835" i="2" s="1"/>
  <c r="AR836" i="2" s="1"/>
  <c r="AR837" i="2" s="1"/>
  <c r="AR838" i="2" s="1"/>
  <c r="AR839" i="2" s="1"/>
  <c r="AR840" i="2" s="1"/>
  <c r="AR841" i="2" s="1"/>
  <c r="AR842" i="2" s="1"/>
  <c r="AR843" i="2" s="1"/>
  <c r="AR844" i="2" s="1"/>
  <c r="AR845" i="2" s="1"/>
  <c r="AR846" i="2" s="1"/>
  <c r="AR847" i="2" s="1"/>
  <c r="AR848" i="2" s="1"/>
  <c r="AR849" i="2" s="1"/>
  <c r="AR850" i="2" s="1"/>
  <c r="AR851" i="2" s="1"/>
  <c r="AR852" i="2" s="1"/>
  <c r="AR853" i="2" s="1"/>
  <c r="AR854" i="2" s="1"/>
  <c r="AR855" i="2" s="1"/>
  <c r="AR856" i="2" s="1"/>
  <c r="AR857" i="2" s="1"/>
  <c r="AR858" i="2" s="1"/>
  <c r="AR859" i="2" s="1"/>
  <c r="AR860" i="2" s="1"/>
  <c r="AR861" i="2" s="1"/>
  <c r="AR862" i="2" s="1"/>
  <c r="AR863" i="2" s="1"/>
  <c r="AR864" i="2" s="1"/>
  <c r="AR865" i="2" s="1"/>
  <c r="AR866" i="2" s="1"/>
  <c r="AR867" i="2" s="1"/>
  <c r="AR868" i="2" s="1"/>
  <c r="AR869" i="2" s="1"/>
  <c r="AR870" i="2" s="1"/>
  <c r="AR871" i="2" s="1"/>
  <c r="AR872" i="2" s="1"/>
  <c r="AR873" i="2" s="1"/>
  <c r="AR874" i="2" s="1"/>
  <c r="AR875" i="2" s="1"/>
  <c r="AR876" i="2" s="1"/>
  <c r="AR877" i="2" s="1"/>
  <c r="AR878" i="2" s="1"/>
  <c r="AR879" i="2" s="1"/>
  <c r="AR880" i="2" s="1"/>
  <c r="AR881" i="2" s="1"/>
  <c r="AR882" i="2" s="1"/>
  <c r="AR883" i="2" s="1"/>
  <c r="AR884" i="2" s="1"/>
  <c r="AR885" i="2" s="1"/>
  <c r="AR886" i="2" s="1"/>
  <c r="AR887" i="2" s="1"/>
  <c r="AR888" i="2" s="1"/>
  <c r="AR889" i="2" s="1"/>
  <c r="AR890" i="2" s="1"/>
  <c r="AR891" i="2" s="1"/>
  <c r="AR892" i="2" s="1"/>
  <c r="AR893" i="2" s="1"/>
  <c r="AR894" i="2" s="1"/>
  <c r="AR895" i="2" s="1"/>
  <c r="AR896" i="2" s="1"/>
  <c r="AR897" i="2" s="1"/>
  <c r="AR898" i="2" s="1"/>
  <c r="AR899" i="2" s="1"/>
  <c r="AR900" i="2" s="1"/>
  <c r="AR901" i="2" s="1"/>
  <c r="AR902" i="2" s="1"/>
  <c r="AR903" i="2" s="1"/>
  <c r="AR904" i="2" s="1"/>
  <c r="AR905" i="2" s="1"/>
  <c r="AR906" i="2" s="1"/>
  <c r="AR907" i="2" s="1"/>
  <c r="AR908" i="2" s="1"/>
  <c r="AR909" i="2" s="1"/>
  <c r="AR910" i="2" s="1"/>
  <c r="AR911" i="2" s="1"/>
  <c r="AR912" i="2" s="1"/>
  <c r="AR913" i="2" s="1"/>
  <c r="AR914" i="2" s="1"/>
  <c r="AR915" i="2" s="1"/>
  <c r="AR916" i="2" s="1"/>
  <c r="AR917" i="2" s="1"/>
  <c r="AR918" i="2" s="1"/>
  <c r="AR919" i="2" s="1"/>
  <c r="AR920" i="2" s="1"/>
  <c r="AR921" i="2" s="1"/>
  <c r="AR922" i="2" s="1"/>
  <c r="AR923" i="2" s="1"/>
  <c r="AR924" i="2" s="1"/>
  <c r="AR925" i="2" s="1"/>
  <c r="AR926" i="2" s="1"/>
  <c r="AR927" i="2" s="1"/>
  <c r="AR928" i="2" s="1"/>
  <c r="AR929" i="2" s="1"/>
  <c r="AR930" i="2" s="1"/>
  <c r="AR931" i="2" s="1"/>
  <c r="AR932" i="2" s="1"/>
  <c r="AR933" i="2" s="1"/>
  <c r="AR934" i="2" s="1"/>
  <c r="AR935" i="2" s="1"/>
  <c r="AR936" i="2" s="1"/>
  <c r="AR937" i="2" s="1"/>
  <c r="AR938" i="2" s="1"/>
  <c r="AR939" i="2" s="1"/>
  <c r="AR940" i="2" s="1"/>
  <c r="AR941" i="2" s="1"/>
  <c r="AR942" i="2" s="1"/>
  <c r="AR943" i="2" s="1"/>
  <c r="AR944" i="2" s="1"/>
  <c r="AR945" i="2" s="1"/>
  <c r="AR946" i="2" s="1"/>
  <c r="AR947" i="2" s="1"/>
  <c r="AR948" i="2" s="1"/>
  <c r="AR949" i="2" s="1"/>
  <c r="AR950" i="2" s="1"/>
  <c r="AR951" i="2" s="1"/>
  <c r="AR952" i="2" s="1"/>
  <c r="AR953" i="2" s="1"/>
  <c r="AR954" i="2" s="1"/>
  <c r="AR955" i="2" s="1"/>
  <c r="AR956" i="2" s="1"/>
  <c r="AR957" i="2" s="1"/>
  <c r="AR958" i="2" s="1"/>
  <c r="AR959" i="2" s="1"/>
  <c r="AR960" i="2" s="1"/>
  <c r="AR961" i="2" s="1"/>
  <c r="AR962" i="2" s="1"/>
  <c r="AR963" i="2" s="1"/>
  <c r="AR964" i="2" s="1"/>
  <c r="AR965" i="2" s="1"/>
  <c r="AR966" i="2" s="1"/>
  <c r="AR967" i="2" s="1"/>
  <c r="AR968" i="2" s="1"/>
  <c r="AR969" i="2" s="1"/>
  <c r="AR970" i="2" s="1"/>
  <c r="AR971" i="2" s="1"/>
  <c r="AR972" i="2" s="1"/>
  <c r="AR973" i="2" s="1"/>
  <c r="AR974" i="2" s="1"/>
  <c r="AR975" i="2" s="1"/>
  <c r="AR976" i="2" s="1"/>
  <c r="AR977" i="2" s="1"/>
  <c r="AR978" i="2" s="1"/>
  <c r="AR979" i="2" s="1"/>
  <c r="AR980" i="2" s="1"/>
  <c r="AR981" i="2" s="1"/>
  <c r="AR982" i="2" s="1"/>
  <c r="AR983" i="2" s="1"/>
  <c r="AR984" i="2" s="1"/>
  <c r="AR985" i="2" s="1"/>
  <c r="AR986" i="2" s="1"/>
  <c r="AR987" i="2" s="1"/>
  <c r="AR988" i="2" s="1"/>
  <c r="AR989" i="2" s="1"/>
  <c r="AR990" i="2" s="1"/>
  <c r="AR991" i="2" s="1"/>
  <c r="AR992" i="2" s="1"/>
  <c r="AR993" i="2" s="1"/>
  <c r="AR994" i="2" s="1"/>
  <c r="AR995" i="2" s="1"/>
  <c r="AR996" i="2" s="1"/>
  <c r="AR997" i="2" s="1"/>
  <c r="AR998" i="2" s="1"/>
  <c r="AR999" i="2" s="1"/>
  <c r="AR1000" i="2" s="1"/>
  <c r="AR1001" i="2" s="1"/>
  <c r="AR1002" i="2" s="1"/>
  <c r="AR1003" i="2" s="1"/>
  <c r="AR1004" i="2" s="1"/>
  <c r="AR1005" i="2" s="1"/>
  <c r="AR1006" i="2" s="1"/>
  <c r="AR1007" i="2" s="1"/>
  <c r="AR1008" i="2" s="1"/>
  <c r="AR1009" i="2" s="1"/>
  <c r="AR1010" i="2" s="1"/>
  <c r="AR1011" i="2" s="1"/>
  <c r="AR1012" i="2" s="1"/>
  <c r="AR1013" i="2" s="1"/>
  <c r="AR1014" i="2" s="1"/>
  <c r="AR1015" i="2" s="1"/>
  <c r="H42" i="2"/>
  <c r="H43" i="2" s="1"/>
  <c r="H34" i="2"/>
  <c r="H35" i="2" s="1"/>
  <c r="H26" i="2"/>
  <c r="H27" i="2" s="1"/>
  <c r="H44" i="2"/>
  <c r="BD15" i="2" s="1"/>
  <c r="H36" i="2"/>
  <c r="H28" i="2"/>
  <c r="AY15" i="2" s="1"/>
  <c r="AN12" i="2"/>
  <c r="AH12" i="2"/>
  <c r="AG12" i="2"/>
  <c r="AO12" i="2"/>
  <c r="AA12" i="2"/>
  <c r="Z12" i="2"/>
  <c r="AJ14" i="2"/>
  <c r="AC14" i="2"/>
  <c r="AC13" i="2" s="1"/>
  <c r="V14" i="2"/>
  <c r="V13" i="2" s="1"/>
  <c r="BC15" i="2" l="1"/>
  <c r="M4" i="3"/>
  <c r="N4" i="3"/>
  <c r="BB15" i="2"/>
  <c r="AZ15" i="2"/>
  <c r="Y13" i="2"/>
  <c r="AA13" i="2" s="1"/>
  <c r="AM13" i="2"/>
  <c r="AM14" i="2" s="1"/>
  <c r="AM15" i="2" s="1"/>
  <c r="AM16" i="2" s="1"/>
  <c r="AM17" i="2" s="1"/>
  <c r="AM18" i="2" s="1"/>
  <c r="AM19" i="2" s="1"/>
  <c r="AM20" i="2" s="1"/>
  <c r="AM21" i="2" s="1"/>
  <c r="AM22" i="2" s="1"/>
  <c r="AM23" i="2" s="1"/>
  <c r="AM24" i="2" s="1"/>
  <c r="AM25" i="2" s="1"/>
  <c r="AM26" i="2" s="1"/>
  <c r="AM27" i="2" s="1"/>
  <c r="AN27" i="2" s="1"/>
  <c r="AF13" i="2"/>
  <c r="AX15" i="2" l="1"/>
  <c r="AT16" i="2" s="1"/>
  <c r="BA15" i="2"/>
  <c r="AW15" i="2" s="1"/>
  <c r="AS16" i="2" s="1"/>
  <c r="AO16" i="2"/>
  <c r="AN20" i="2"/>
  <c r="AO19" i="2"/>
  <c r="AN18" i="2"/>
  <c r="AN23" i="2"/>
  <c r="AO27" i="2"/>
  <c r="AN21" i="2"/>
  <c r="AN13" i="2"/>
  <c r="AO14" i="2"/>
  <c r="AO21" i="2"/>
  <c r="AN22" i="2"/>
  <c r="AN15" i="2"/>
  <c r="AO15" i="2"/>
  <c r="AO18" i="2"/>
  <c r="AO17" i="2"/>
  <c r="AN16" i="2"/>
  <c r="AO23" i="2"/>
  <c r="AO24" i="2"/>
  <c r="AN17" i="2"/>
  <c r="AO20" i="2"/>
  <c r="AN14" i="2"/>
  <c r="AN19" i="2"/>
  <c r="AO22" i="2"/>
  <c r="AO13" i="2"/>
  <c r="Y14" i="2"/>
  <c r="AA14" i="2" s="1"/>
  <c r="AO25" i="2"/>
  <c r="AO26" i="2"/>
  <c r="AN24" i="2"/>
  <c r="Z13" i="2"/>
  <c r="AN25" i="2"/>
  <c r="AN26" i="2"/>
  <c r="AF14" i="2"/>
  <c r="AH13" i="2"/>
  <c r="AG13" i="2"/>
  <c r="AU16" i="2" l="1"/>
  <c r="AV16" i="2"/>
  <c r="Y15" i="2"/>
  <c r="Y16" i="2" s="1"/>
  <c r="Z14" i="2"/>
  <c r="AF15" i="2"/>
  <c r="AH14" i="2"/>
  <c r="AG14" i="2"/>
  <c r="AA15" i="2" l="1"/>
  <c r="Z15" i="2"/>
  <c r="Y17" i="2"/>
  <c r="AA16" i="2"/>
  <c r="Z16" i="2"/>
  <c r="AF16" i="2"/>
  <c r="AH15" i="2"/>
  <c r="AG15" i="2"/>
  <c r="BE16" i="2" l="1"/>
  <c r="BF16" i="2"/>
  <c r="BG16" i="2"/>
  <c r="AF17" i="2"/>
  <c r="AH16" i="2"/>
  <c r="AG16" i="2"/>
  <c r="Y18" i="2"/>
  <c r="Z17" i="2"/>
  <c r="AA17" i="2"/>
  <c r="BC16" i="2" l="1"/>
  <c r="BD16" i="2"/>
  <c r="BB16" i="2"/>
  <c r="BA16" i="2"/>
  <c r="AZ16" i="2"/>
  <c r="AY16" i="2"/>
  <c r="Y19" i="2"/>
  <c r="Z18" i="2"/>
  <c r="AA18" i="2"/>
  <c r="AF18" i="2"/>
  <c r="AH17" i="2"/>
  <c r="AG17" i="2"/>
  <c r="AW16" i="2" l="1"/>
  <c r="AS17" i="2" s="1"/>
  <c r="AX16" i="2"/>
  <c r="AT17" i="2" s="1"/>
  <c r="Y20" i="2"/>
  <c r="Z19" i="2"/>
  <c r="AA19" i="2"/>
  <c r="AF19" i="2"/>
  <c r="AH18" i="2"/>
  <c r="AG18" i="2"/>
  <c r="AV17" i="2" l="1"/>
  <c r="AU17" i="2"/>
  <c r="Y21" i="2"/>
  <c r="Z20" i="2"/>
  <c r="AA20" i="2"/>
  <c r="AF20" i="2"/>
  <c r="AH19" i="2"/>
  <c r="AG19" i="2"/>
  <c r="BE17" i="2" l="1"/>
  <c r="BG17" i="2"/>
  <c r="BF17" i="2"/>
  <c r="AF21" i="2"/>
  <c r="AH20" i="2"/>
  <c r="AG20" i="2"/>
  <c r="Y22" i="2"/>
  <c r="Z21" i="2"/>
  <c r="AA21" i="2"/>
  <c r="BB17" i="2" l="1"/>
  <c r="BA17" i="2"/>
  <c r="AZ17" i="2"/>
  <c r="AY17" i="2"/>
  <c r="BD17" i="2"/>
  <c r="BC17" i="2"/>
  <c r="AF22" i="2"/>
  <c r="AG21" i="2"/>
  <c r="AH21" i="2"/>
  <c r="Y23" i="2"/>
  <c r="Z22" i="2"/>
  <c r="AA22" i="2"/>
  <c r="AX17" i="2" l="1"/>
  <c r="AT18" i="2" s="1"/>
  <c r="AW17" i="2"/>
  <c r="AS18" i="2" s="1"/>
  <c r="Y24" i="2"/>
  <c r="AA23" i="2"/>
  <c r="Z23" i="2"/>
  <c r="AF23" i="2"/>
  <c r="AG22" i="2"/>
  <c r="AH22" i="2"/>
  <c r="AU18" i="2" l="1"/>
  <c r="AV18" i="2"/>
  <c r="AF24" i="2"/>
  <c r="AG23" i="2"/>
  <c r="AH23" i="2"/>
  <c r="Y25" i="2"/>
  <c r="AA24" i="2"/>
  <c r="Z24" i="2"/>
  <c r="BF18" i="2" l="1"/>
  <c r="BG18" i="2"/>
  <c r="BC18" i="2" s="1"/>
  <c r="BE18" i="2"/>
  <c r="Y26" i="2"/>
  <c r="AA25" i="2"/>
  <c r="Z25" i="2"/>
  <c r="AF25" i="2"/>
  <c r="AG24" i="2"/>
  <c r="AH24" i="2"/>
  <c r="BD18" i="2" l="1"/>
  <c r="AZ18" i="2"/>
  <c r="AY18" i="2"/>
  <c r="BB18" i="2"/>
  <c r="BA18" i="2"/>
  <c r="Y27" i="2"/>
  <c r="AA26" i="2"/>
  <c r="Z26" i="2"/>
  <c r="AF26" i="2"/>
  <c r="AG25" i="2"/>
  <c r="AH25" i="2"/>
  <c r="AX18" i="2" l="1"/>
  <c r="AT19" i="2" s="1"/>
  <c r="AW18" i="2"/>
  <c r="AS19" i="2" s="1"/>
  <c r="AF27" i="2"/>
  <c r="AH26" i="2"/>
  <c r="AG26" i="2"/>
  <c r="AA27" i="2"/>
  <c r="Z27" i="2"/>
  <c r="AV19" i="2" l="1"/>
  <c r="AU19" i="2"/>
  <c r="AH27" i="2"/>
  <c r="AG27" i="2"/>
  <c r="BG19" i="2" l="1"/>
  <c r="BD19" i="2" s="1"/>
  <c r="BE19" i="2"/>
  <c r="BF19" i="2"/>
  <c r="BC19" i="2" l="1"/>
  <c r="BB19" i="2"/>
  <c r="BA19" i="2"/>
  <c r="AZ19" i="2"/>
  <c r="AY19" i="2"/>
  <c r="AW19" i="2" l="1"/>
  <c r="AX19" i="2"/>
  <c r="AT20" i="2" s="1"/>
  <c r="AU20" i="2" l="1"/>
  <c r="AS20" i="2"/>
  <c r="AV20" i="2"/>
  <c r="BG20" i="2" l="1"/>
  <c r="BC20" i="2" s="1"/>
  <c r="BE20" i="2"/>
  <c r="AY20" i="2" s="1"/>
  <c r="BF20" i="2"/>
  <c r="AZ20" i="2" l="1"/>
  <c r="BD20" i="2"/>
  <c r="BB20" i="2"/>
  <c r="BA20" i="2"/>
  <c r="AW20" i="2" s="1"/>
  <c r="AS21" i="2" s="1"/>
  <c r="AU21" i="2" l="1"/>
  <c r="AX20" i="2"/>
  <c r="AT21" i="2" s="1"/>
  <c r="AV21" i="2" l="1"/>
  <c r="BE21" i="2" l="1"/>
  <c r="BG21" i="2"/>
  <c r="BF21" i="2"/>
  <c r="BA21" i="2" s="1"/>
  <c r="BC21" i="2" l="1"/>
  <c r="BD21" i="2"/>
  <c r="BB21" i="2"/>
  <c r="AY21" i="2"/>
  <c r="AZ21" i="2"/>
  <c r="AX21" i="2" l="1"/>
  <c r="AT22" i="2" s="1"/>
  <c r="AW21" i="2"/>
  <c r="AU22" i="2" l="1"/>
  <c r="AS22" i="2"/>
  <c r="BE22" i="2" s="1"/>
  <c r="AV22" i="2"/>
  <c r="BF22" i="2" l="1"/>
  <c r="BB22" i="2" s="1"/>
  <c r="BG22" i="2"/>
  <c r="BD22" i="2" s="1"/>
  <c r="AZ22" i="2"/>
  <c r="AY22" i="2"/>
  <c r="BA22" i="2" l="1"/>
  <c r="BC22" i="2"/>
  <c r="AX22" i="2"/>
  <c r="AT23" i="2" s="1"/>
  <c r="AW22" i="2" l="1"/>
  <c r="AV23" i="2"/>
  <c r="AU23" i="2" l="1"/>
  <c r="AS23" i="2"/>
  <c r="BE23" i="2" s="1"/>
  <c r="AZ23" i="2" s="1"/>
  <c r="BG23" i="2" l="1"/>
  <c r="BD23" i="2" s="1"/>
  <c r="BF23" i="2"/>
  <c r="BB23" i="2" s="1"/>
  <c r="AX23" i="2" s="1"/>
  <c r="AT24" i="2" s="1"/>
  <c r="AY23" i="2"/>
  <c r="BA23" i="2" l="1"/>
  <c r="AV24" i="2"/>
  <c r="BC23" i="2"/>
  <c r="AW23" i="2" s="1"/>
  <c r="AS24" i="2" l="1"/>
  <c r="BF24" i="2"/>
  <c r="BA24" i="2" s="1"/>
  <c r="BE24" i="2"/>
  <c r="AZ24" i="2" s="1"/>
  <c r="AU24" i="2"/>
  <c r="AY24" i="2"/>
  <c r="BG24" i="2" l="1"/>
  <c r="BD24" i="2" s="1"/>
  <c r="BB24" i="2"/>
  <c r="AX24" i="2" s="1"/>
  <c r="AT25" i="2" s="1"/>
  <c r="BC24" i="2" l="1"/>
  <c r="AW24" i="2" s="1"/>
  <c r="AS25" i="2" s="1"/>
  <c r="BE25" i="2" s="1"/>
  <c r="AY25" i="2" s="1"/>
  <c r="AV25" i="2"/>
  <c r="AU25" i="2" l="1"/>
  <c r="BG25" i="2"/>
  <c r="BC25" i="2" s="1"/>
  <c r="BF25" i="2"/>
  <c r="BA25" i="2" s="1"/>
  <c r="AW25" i="2" s="1"/>
  <c r="AS26" i="2" s="1"/>
  <c r="BD25" i="2"/>
  <c r="BB25" i="2"/>
  <c r="AZ25" i="2"/>
  <c r="AX25" i="2" l="1"/>
  <c r="AT26" i="2" s="1"/>
  <c r="AV26" i="2" l="1"/>
  <c r="AU26" i="2"/>
  <c r="BG26" i="2" l="1"/>
  <c r="BC26" i="2" s="1"/>
  <c r="BE26" i="2"/>
  <c r="AZ26" i="2" s="1"/>
  <c r="BF26" i="2"/>
  <c r="BA26" i="2" s="1"/>
  <c r="BD26" i="2" l="1"/>
  <c r="BB26" i="2"/>
  <c r="AY26" i="2"/>
  <c r="AW26" i="2" s="1"/>
  <c r="AS27" i="2" s="1"/>
  <c r="AX26" i="2" l="1"/>
  <c r="AU27" i="2"/>
  <c r="AV27" i="2" l="1"/>
  <c r="AT27" i="2"/>
  <c r="BG27" i="2"/>
  <c r="BC27" i="2" s="1"/>
  <c r="BE27" i="2" l="1"/>
  <c r="AZ27" i="2" s="1"/>
  <c r="BF27" i="2"/>
  <c r="BB27" i="2" s="1"/>
  <c r="BD27" i="2"/>
  <c r="BA27" i="2" l="1"/>
  <c r="AX27" i="2"/>
  <c r="AT28" i="2" s="1"/>
  <c r="AY27" i="2"/>
  <c r="AV28" i="2"/>
  <c r="AW27" i="2" l="1"/>
  <c r="AU28" i="2"/>
  <c r="AS28" i="2" l="1"/>
  <c r="BE28" i="2" l="1"/>
  <c r="BF28" i="2"/>
  <c r="BB28" i="2" s="1"/>
  <c r="BG28" i="2"/>
  <c r="BD28" i="2" s="1"/>
  <c r="BC28" i="2" l="1"/>
  <c r="BA28" i="2"/>
  <c r="AZ28" i="2"/>
  <c r="AX28" i="2" s="1"/>
  <c r="AT29" i="2" s="1"/>
  <c r="AY28" i="2"/>
  <c r="AW28" i="2" s="1"/>
  <c r="AS29" i="2" s="1"/>
  <c r="AV29" i="2"/>
  <c r="AU29" i="2" l="1"/>
  <c r="BG29" i="2"/>
  <c r="BC29" i="2" s="1"/>
  <c r="BE29" i="2"/>
  <c r="AZ29" i="2" s="1"/>
  <c r="BF29" i="2"/>
  <c r="BA29" i="2" s="1"/>
  <c r="BD29" i="2" l="1"/>
  <c r="BB29" i="2"/>
  <c r="AY29" i="2"/>
  <c r="AX29" i="2" l="1"/>
  <c r="AT30" i="2" s="1"/>
  <c r="AW29" i="2"/>
  <c r="AS30" i="2" s="1"/>
  <c r="AV30" i="2" l="1"/>
  <c r="AU30" i="2"/>
  <c r="BG30" i="2" l="1"/>
  <c r="BC30" i="2" s="1"/>
  <c r="BE30" i="2"/>
  <c r="AY30" i="2" s="1"/>
  <c r="BF30" i="2"/>
  <c r="BA30" i="2" s="1"/>
  <c r="BD30" i="2" l="1"/>
  <c r="BB30" i="2"/>
  <c r="AZ30" i="2"/>
  <c r="AW30" i="2"/>
  <c r="AS31" i="2" s="1"/>
  <c r="AX30" i="2" l="1"/>
  <c r="AT31" i="2" s="1"/>
  <c r="AV31" i="2" l="1"/>
  <c r="BG31" i="2"/>
  <c r="AU31" i="2"/>
  <c r="BE31" i="2" l="1"/>
  <c r="AY31" i="2" s="1"/>
  <c r="BF31" i="2"/>
  <c r="BC31" i="2"/>
  <c r="BA31" i="2"/>
  <c r="BD31" i="2" l="1"/>
  <c r="BB31" i="2"/>
  <c r="AZ31" i="2"/>
  <c r="AW31" i="2"/>
  <c r="AS32" i="2" s="1"/>
  <c r="AX31" i="2" l="1"/>
  <c r="AT32" i="2" s="1"/>
  <c r="AV32" i="2" l="1"/>
  <c r="AU32" i="2"/>
  <c r="BG32" i="2" l="1"/>
  <c r="BC32" i="2" s="1"/>
  <c r="BE32" i="2"/>
  <c r="BF32" i="2"/>
  <c r="BA32" i="2" s="1"/>
  <c r="AZ32" i="2"/>
  <c r="BD32" i="2" l="1"/>
  <c r="BB32" i="2"/>
  <c r="AY32" i="2"/>
  <c r="AW32" i="2" s="1"/>
  <c r="AS33" i="2" s="1"/>
  <c r="AX32" i="2" l="1"/>
  <c r="AT33" i="2" s="1"/>
  <c r="AV33" i="2" l="1"/>
  <c r="AU33" i="2"/>
  <c r="BG33" i="2" l="1"/>
  <c r="BC33" i="2" s="1"/>
  <c r="BE33" i="2"/>
  <c r="AY33" i="2" s="1"/>
  <c r="BF33" i="2"/>
  <c r="BA33" i="2" s="1"/>
  <c r="BD33" i="2" l="1"/>
  <c r="BB33" i="2"/>
  <c r="AZ33" i="2"/>
  <c r="AW33" i="2"/>
  <c r="AS34" i="2" s="1"/>
  <c r="AX33" i="2" l="1"/>
  <c r="AT34" i="2" s="1"/>
  <c r="AV34" i="2" l="1"/>
  <c r="AU34" i="2"/>
  <c r="BG34" i="2" l="1"/>
  <c r="BC34" i="2" s="1"/>
  <c r="BE34" i="2"/>
  <c r="AY34" i="2" s="1"/>
  <c r="BF34" i="2"/>
  <c r="BA34" i="2"/>
  <c r="BD34" i="2" l="1"/>
  <c r="BB34" i="2"/>
  <c r="AZ34" i="2"/>
  <c r="AX34" i="2" l="1"/>
  <c r="AT35" i="2" s="1"/>
  <c r="AW34" i="2"/>
  <c r="AS35" i="2" s="1"/>
  <c r="AU35" i="2" l="1"/>
  <c r="BG35" i="2"/>
  <c r="AV35" i="2"/>
  <c r="BE35" i="2"/>
  <c r="BF35" i="2"/>
  <c r="BA35" i="2" s="1"/>
  <c r="BC35" i="2"/>
  <c r="AZ35" i="2"/>
  <c r="BD35" i="2" l="1"/>
  <c r="BB35" i="2"/>
  <c r="AY35" i="2"/>
  <c r="AW35" i="2" s="1"/>
  <c r="AS36" i="2" s="1"/>
  <c r="AX35" i="2" l="1"/>
  <c r="AT36" i="2" s="1"/>
  <c r="AV36" i="2" l="1"/>
  <c r="AU36" i="2"/>
  <c r="BG36" i="2" l="1"/>
  <c r="BE36" i="2"/>
  <c r="BF36" i="2"/>
  <c r="BC36" i="2"/>
  <c r="AY36" i="2"/>
  <c r="BA36" i="2"/>
  <c r="BD36" i="2" l="1"/>
  <c r="BB36" i="2"/>
  <c r="AZ36" i="2"/>
  <c r="AW36" i="2"/>
  <c r="AS37" i="2" s="1"/>
  <c r="AX36" i="2" l="1"/>
  <c r="AT37" i="2" s="1"/>
  <c r="AV37" i="2" l="1"/>
  <c r="BG37" i="2"/>
  <c r="AU37" i="2"/>
  <c r="BE37" i="2" l="1"/>
  <c r="AY37" i="2" s="1"/>
  <c r="BF37" i="2"/>
  <c r="BC37" i="2"/>
  <c r="BA37" i="2"/>
  <c r="BD37" i="2" l="1"/>
  <c r="BB37" i="2"/>
  <c r="AZ37" i="2"/>
  <c r="AW37" i="2"/>
  <c r="AS38" i="2" s="1"/>
  <c r="AX37" i="2" l="1"/>
  <c r="AT38" i="2" s="1"/>
  <c r="AV38" i="2" l="1"/>
  <c r="AU38" i="2"/>
  <c r="BG38" i="2" l="1"/>
  <c r="BE38" i="2"/>
  <c r="AY38" i="2" s="1"/>
  <c r="BF38" i="2"/>
  <c r="BA38" i="2" s="1"/>
  <c r="BC38" i="2"/>
  <c r="AZ38" i="2" l="1"/>
  <c r="BD38" i="2"/>
  <c r="BB38" i="2"/>
  <c r="AW38" i="2"/>
  <c r="AS39" i="2" s="1"/>
  <c r="AX38" i="2" l="1"/>
  <c r="AT39" i="2" s="1"/>
  <c r="AV39" i="2"/>
  <c r="BG39" i="2"/>
  <c r="AU39" i="2"/>
  <c r="BE39" i="2" l="1"/>
  <c r="AY39" i="2" s="1"/>
  <c r="BF39" i="2"/>
  <c r="BA39" i="2" s="1"/>
  <c r="BC39" i="2"/>
  <c r="BD39" i="2" l="1"/>
  <c r="BB39" i="2"/>
  <c r="AZ39" i="2"/>
  <c r="AW39" i="2"/>
  <c r="AS40" i="2" s="1"/>
  <c r="AX39" i="2" l="1"/>
  <c r="AT40" i="2" s="1"/>
  <c r="AV40" i="2" l="1"/>
  <c r="AU40" i="2"/>
  <c r="BG40" i="2" l="1"/>
  <c r="BC40" i="2" s="1"/>
  <c r="BE40" i="2"/>
  <c r="AY40" i="2" s="1"/>
  <c r="BF40" i="2"/>
  <c r="BA40" i="2" s="1"/>
  <c r="BD40" i="2" l="1"/>
  <c r="BB40" i="2"/>
  <c r="AZ40" i="2"/>
  <c r="AW40" i="2"/>
  <c r="AS41" i="2" s="1"/>
  <c r="AX40" i="2" l="1"/>
  <c r="AT41" i="2" s="1"/>
  <c r="AV41" i="2" l="1"/>
  <c r="AU41" i="2"/>
  <c r="BG41" i="2" l="1"/>
  <c r="BC41" i="2" s="1"/>
  <c r="BE41" i="2"/>
  <c r="AZ41" i="2" s="1"/>
  <c r="BF41" i="2"/>
  <c r="BB41" i="2" s="1"/>
  <c r="BA41" i="2" l="1"/>
  <c r="BD41" i="2"/>
  <c r="AX41" i="2" s="1"/>
  <c r="AT42" i="2" s="1"/>
  <c r="AY41" i="2"/>
  <c r="AW41" i="2" l="1"/>
  <c r="AS42" i="2" s="1"/>
  <c r="AV42" i="2"/>
  <c r="BG42" i="2"/>
  <c r="AU42" i="2"/>
  <c r="BE42" i="2" l="1"/>
  <c r="AY42" i="2" s="1"/>
  <c r="BF42" i="2"/>
  <c r="BC42" i="2"/>
  <c r="BA42" i="2"/>
  <c r="BD42" i="2" l="1"/>
  <c r="BB42" i="2"/>
  <c r="AZ42" i="2"/>
  <c r="AW42" i="2"/>
  <c r="AS43" i="2" s="1"/>
  <c r="AX42" i="2" l="1"/>
  <c r="AV43" i="2" l="1"/>
  <c r="AT43" i="2"/>
  <c r="AU43" i="2"/>
  <c r="BG43" i="2" l="1"/>
  <c r="BF43" i="2"/>
  <c r="BE43" i="2"/>
  <c r="AY43" i="2" s="1"/>
  <c r="BC43" i="2"/>
  <c r="BA43" i="2"/>
  <c r="BD43" i="2" l="1"/>
  <c r="BB43" i="2"/>
  <c r="AZ43" i="2"/>
  <c r="AX43" i="2" l="1"/>
  <c r="AT44" i="2" s="1"/>
  <c r="AW43" i="2"/>
  <c r="AS44" i="2" s="1"/>
  <c r="AV44" i="2" l="1"/>
  <c r="BG44" i="2"/>
  <c r="AU44" i="2"/>
  <c r="BE44" i="2" l="1"/>
  <c r="AY44" i="2" s="1"/>
  <c r="BF44" i="2"/>
  <c r="BA44" i="2" s="1"/>
  <c r="BC44" i="2"/>
  <c r="BD44" i="2" l="1"/>
  <c r="BB44" i="2"/>
  <c r="AZ44" i="2"/>
  <c r="AW44" i="2"/>
  <c r="AS45" i="2" s="1"/>
  <c r="AX44" i="2" l="1"/>
  <c r="AT45" i="2" s="1"/>
  <c r="AU45" i="2"/>
  <c r="AV45" i="2" l="1"/>
  <c r="BG45" i="2"/>
  <c r="BE45" i="2"/>
  <c r="AY45" i="2" s="1"/>
  <c r="BF45" i="2"/>
  <c r="BC45" i="2"/>
  <c r="BA45" i="2"/>
  <c r="BD45" i="2" l="1"/>
  <c r="BB45" i="2"/>
  <c r="AZ45" i="2"/>
  <c r="AW45" i="2"/>
  <c r="AS46" i="2" s="1"/>
  <c r="AX45" i="2" l="1"/>
  <c r="AT46" i="2" s="1"/>
  <c r="AU46" i="2"/>
  <c r="BG46" i="2" l="1"/>
  <c r="BC46" i="2" s="1"/>
  <c r="AV46" i="2"/>
  <c r="BE46" i="2"/>
  <c r="AY46" i="2" s="1"/>
  <c r="BF46" i="2"/>
  <c r="BA46" i="2" s="1"/>
  <c r="BD46" i="2" l="1"/>
  <c r="BB46" i="2"/>
  <c r="AZ46" i="2"/>
  <c r="AW46" i="2"/>
  <c r="AS47" i="2" s="1"/>
  <c r="AX46" i="2" l="1"/>
  <c r="AT47" i="2" s="1"/>
  <c r="AV47" i="2"/>
  <c r="BG47" i="2"/>
  <c r="AU47" i="2"/>
  <c r="BE47" i="2" l="1"/>
  <c r="AZ47" i="2" s="1"/>
  <c r="BF47" i="2"/>
  <c r="BC47" i="2"/>
  <c r="BA47" i="2"/>
  <c r="BD47" i="2" l="1"/>
  <c r="BB47" i="2"/>
  <c r="AY47" i="2"/>
  <c r="AW47" i="2" s="1"/>
  <c r="AS48" i="2" s="1"/>
  <c r="AX47" i="2" l="1"/>
  <c r="AT48" i="2" s="1"/>
  <c r="AU48" i="2"/>
  <c r="BE48" i="2" l="1"/>
  <c r="AY48" i="2" s="1"/>
  <c r="AV48" i="2"/>
  <c r="BG48" i="2" l="1"/>
  <c r="BC48" i="2" s="1"/>
  <c r="BF48" i="2"/>
  <c r="BA48" i="2" s="1"/>
  <c r="AZ48" i="2"/>
  <c r="BD48" i="2" l="1"/>
  <c r="AW48" i="2"/>
  <c r="AS49" i="2" s="1"/>
  <c r="BB48" i="2"/>
  <c r="AU49" i="2"/>
  <c r="AX48" i="2" l="1"/>
  <c r="AT49" i="2" s="1"/>
  <c r="AV49" i="2"/>
  <c r="BG49" i="2"/>
  <c r="BE49" i="2"/>
  <c r="BF49" i="2"/>
  <c r="BA49" i="2" s="1"/>
  <c r="BC49" i="2"/>
  <c r="AZ49" i="2"/>
  <c r="BD49" i="2" l="1"/>
  <c r="BB49" i="2"/>
  <c r="AY49" i="2"/>
  <c r="AW49" i="2" s="1"/>
  <c r="AS50" i="2" s="1"/>
  <c r="AX49" i="2" l="1"/>
  <c r="AT50" i="2" s="1"/>
  <c r="AU50" i="2"/>
  <c r="BG50" i="2" l="1"/>
  <c r="AV50" i="2"/>
  <c r="BE50" i="2"/>
  <c r="BF50" i="2"/>
  <c r="BC50" i="2"/>
  <c r="AY50" i="2"/>
  <c r="BA50" i="2"/>
  <c r="BD50" i="2" l="1"/>
  <c r="BB50" i="2"/>
  <c r="AZ50" i="2"/>
  <c r="AW50" i="2"/>
  <c r="AS51" i="2" s="1"/>
  <c r="AX50" i="2" l="1"/>
  <c r="AT51" i="2" s="1"/>
  <c r="AU51" i="2"/>
  <c r="BE51" i="2" l="1"/>
  <c r="AY51" i="2" s="1"/>
  <c r="AV51" i="2"/>
  <c r="BG51" i="2" l="1"/>
  <c r="BC51" i="2" s="1"/>
  <c r="BF51" i="2"/>
  <c r="BA51" i="2" s="1"/>
  <c r="AW51" i="2" s="1"/>
  <c r="AS52" i="2" s="1"/>
  <c r="BD51" i="2"/>
  <c r="AZ51" i="2"/>
  <c r="BB51" i="2" l="1"/>
  <c r="AX51" i="2" s="1"/>
  <c r="AT52" i="2" s="1"/>
  <c r="AU52" i="2"/>
  <c r="AV52" i="2" l="1"/>
  <c r="BG52" i="2"/>
  <c r="BE52" i="2"/>
  <c r="BF52" i="2"/>
  <c r="BC52" i="2"/>
  <c r="AY52" i="2"/>
  <c r="BA52" i="2"/>
  <c r="BD52" i="2" l="1"/>
  <c r="BB52" i="2"/>
  <c r="AZ52" i="2"/>
  <c r="AW52" i="2"/>
  <c r="AS53" i="2" s="1"/>
  <c r="AX52" i="2" l="1"/>
  <c r="AT53" i="2" s="1"/>
  <c r="AV53" i="2"/>
  <c r="BG53" i="2"/>
  <c r="AU53" i="2"/>
  <c r="BE53" i="2" l="1"/>
  <c r="AY53" i="2" s="1"/>
  <c r="BF53" i="2"/>
  <c r="BA53" i="2" s="1"/>
  <c r="BC53" i="2"/>
  <c r="BD53" i="2" l="1"/>
  <c r="BB53" i="2"/>
  <c r="AZ53" i="2"/>
  <c r="AW53" i="2"/>
  <c r="AS54" i="2" s="1"/>
  <c r="AX53" i="2" l="1"/>
  <c r="AT54" i="2" s="1"/>
  <c r="AV54" i="2"/>
  <c r="BG54" i="2"/>
  <c r="AU54" i="2"/>
  <c r="BE54" i="2" l="1"/>
  <c r="AY54" i="2" s="1"/>
  <c r="BF54" i="2"/>
  <c r="BA54" i="2" s="1"/>
  <c r="BC54" i="2"/>
  <c r="BD54" i="2" l="1"/>
  <c r="BB54" i="2"/>
  <c r="AZ54" i="2"/>
  <c r="AW54" i="2"/>
  <c r="AS55" i="2" s="1"/>
  <c r="AX54" i="2" l="1"/>
  <c r="AT55" i="2" s="1"/>
  <c r="AV55" i="2"/>
  <c r="AU55" i="2" l="1"/>
  <c r="BG55" i="2" l="1"/>
  <c r="BF55" i="2"/>
  <c r="BE55" i="2"/>
  <c r="AY55" i="2" s="1"/>
  <c r="BC55" i="2"/>
  <c r="BA55" i="2"/>
  <c r="BD55" i="2" l="1"/>
  <c r="BB55" i="2"/>
  <c r="AZ55" i="2"/>
  <c r="AW55" i="2"/>
  <c r="AS56" i="2" s="1"/>
  <c r="AX55" i="2" l="1"/>
  <c r="AT56" i="2" s="1"/>
  <c r="AU56" i="2"/>
  <c r="AV56" i="2" l="1"/>
  <c r="BG56" i="2"/>
  <c r="BE56" i="2"/>
  <c r="BF56" i="2"/>
  <c r="BC56" i="2"/>
  <c r="AY56" i="2"/>
  <c r="BA56" i="2"/>
  <c r="BD56" i="2" l="1"/>
  <c r="BB56" i="2"/>
  <c r="AZ56" i="2"/>
  <c r="AW56" i="2"/>
  <c r="AS57" i="2" s="1"/>
  <c r="AX56" i="2" l="1"/>
  <c r="AV57" i="2" l="1"/>
  <c r="AT57" i="2"/>
  <c r="AU57" i="2"/>
  <c r="BG57" i="2" l="1"/>
  <c r="BC57" i="2" s="1"/>
  <c r="BF57" i="2"/>
  <c r="BE57" i="2"/>
  <c r="AY57" i="2" s="1"/>
  <c r="BA57" i="2"/>
  <c r="BD57" i="2" l="1"/>
  <c r="BB57" i="2"/>
  <c r="AZ57" i="2"/>
  <c r="AW57" i="2"/>
  <c r="AS58" i="2" s="1"/>
  <c r="AX57" i="2" l="1"/>
  <c r="AT58" i="2" s="1"/>
  <c r="AV58" i="2"/>
  <c r="BG58" i="2"/>
  <c r="AU58" i="2"/>
  <c r="BE58" i="2" l="1"/>
  <c r="BF58" i="2"/>
  <c r="BC58" i="2"/>
  <c r="AY58" i="2"/>
  <c r="BA58" i="2"/>
  <c r="BD58" i="2" l="1"/>
  <c r="BB58" i="2"/>
  <c r="AZ58" i="2"/>
  <c r="AW58" i="2"/>
  <c r="AS59" i="2" s="1"/>
  <c r="AX58" i="2" l="1"/>
  <c r="AT59" i="2" s="1"/>
  <c r="AV59" i="2"/>
  <c r="AU59" i="2"/>
  <c r="BG59" i="2" l="1"/>
  <c r="BE59" i="2"/>
  <c r="BF59" i="2"/>
  <c r="BC59" i="2"/>
  <c r="AY59" i="2"/>
  <c r="BA59" i="2"/>
  <c r="BD59" i="2" l="1"/>
  <c r="BB59" i="2"/>
  <c r="AZ59" i="2"/>
  <c r="AW59" i="2"/>
  <c r="AS60" i="2" s="1"/>
  <c r="AX59" i="2" l="1"/>
  <c r="AT60" i="2" s="1"/>
  <c r="AU60" i="2"/>
  <c r="BG60" i="2" l="1"/>
  <c r="AV60" i="2"/>
  <c r="BE60" i="2"/>
  <c r="BF60" i="2"/>
  <c r="BA60" i="2" s="1"/>
  <c r="BC60" i="2"/>
  <c r="AZ60" i="2"/>
  <c r="BD60" i="2" l="1"/>
  <c r="BB60" i="2"/>
  <c r="AY60" i="2"/>
  <c r="AW60" i="2" s="1"/>
  <c r="AS61" i="2" s="1"/>
  <c r="AX60" i="2" l="1"/>
  <c r="AT61" i="2" s="1"/>
  <c r="AV61" i="2"/>
  <c r="AU61" i="2"/>
  <c r="BG61" i="2" l="1"/>
  <c r="BC61" i="2" s="1"/>
  <c r="BE61" i="2"/>
  <c r="BF61" i="2"/>
  <c r="BA61" i="2" s="1"/>
  <c r="AY61" i="2"/>
  <c r="BD61" i="2" l="1"/>
  <c r="BB61" i="2"/>
  <c r="AZ61" i="2"/>
  <c r="AW61" i="2"/>
  <c r="AS62" i="2" s="1"/>
  <c r="AX61" i="2" l="1"/>
  <c r="AT62" i="2" s="1"/>
  <c r="AV62" i="2"/>
  <c r="BG62" i="2"/>
  <c r="AU62" i="2"/>
  <c r="BE62" i="2" l="1"/>
  <c r="AY62" i="2" s="1"/>
  <c r="BF62" i="2"/>
  <c r="BC62" i="2"/>
  <c r="BA62" i="2"/>
  <c r="BD62" i="2" l="1"/>
  <c r="BB62" i="2"/>
  <c r="AZ62" i="2"/>
  <c r="AW62" i="2"/>
  <c r="AS63" i="2" s="1"/>
  <c r="AX62" i="2" l="1"/>
  <c r="AT63" i="2" s="1"/>
  <c r="AV63" i="2"/>
  <c r="BG63" i="2"/>
  <c r="AU63" i="2"/>
  <c r="BE63" i="2" l="1"/>
  <c r="AZ63" i="2" s="1"/>
  <c r="BF63" i="2"/>
  <c r="BC63" i="2"/>
  <c r="BA63" i="2"/>
  <c r="BD63" i="2" l="1"/>
  <c r="BB63" i="2"/>
  <c r="AY63" i="2"/>
  <c r="AW63" i="2" s="1"/>
  <c r="AS64" i="2" s="1"/>
  <c r="AX63" i="2" l="1"/>
  <c r="AT64" i="2" s="1"/>
  <c r="AU64" i="2"/>
  <c r="BG64" i="2" l="1"/>
  <c r="AV64" i="2"/>
  <c r="BE64" i="2"/>
  <c r="BF64" i="2"/>
  <c r="BA64" i="2" s="1"/>
  <c r="BC64" i="2"/>
  <c r="AY64" i="2"/>
  <c r="BD64" i="2" l="1"/>
  <c r="BB64" i="2"/>
  <c r="AZ64" i="2"/>
  <c r="AW64" i="2"/>
  <c r="AS65" i="2" s="1"/>
  <c r="AX64" i="2" l="1"/>
  <c r="AT65" i="2" s="1"/>
  <c r="AU65" i="2"/>
  <c r="BE65" i="2" l="1"/>
  <c r="AY65" i="2" s="1"/>
  <c r="AV65" i="2"/>
  <c r="BG65" i="2" l="1"/>
  <c r="BC65" i="2" s="1"/>
  <c r="BF65" i="2"/>
  <c r="BA65" i="2" s="1"/>
  <c r="AZ65" i="2"/>
  <c r="BD65" i="2" l="1"/>
  <c r="AW65" i="2"/>
  <c r="AS66" i="2" s="1"/>
  <c r="BB65" i="2"/>
  <c r="AU66" i="2"/>
  <c r="AX65" i="2" l="1"/>
  <c r="AT66" i="2" l="1"/>
  <c r="BG66" i="2" s="1"/>
  <c r="BF66" i="2"/>
  <c r="BA66" i="2" s="1"/>
  <c r="AV66" i="2"/>
  <c r="BB66" i="2"/>
  <c r="BC66" i="2" l="1"/>
  <c r="BD66" i="2"/>
  <c r="BE66" i="2"/>
  <c r="AY66" i="2" l="1"/>
  <c r="AW66" i="2" s="1"/>
  <c r="AZ66" i="2"/>
  <c r="AX66" i="2" s="1"/>
  <c r="AT67" i="2" s="1"/>
  <c r="AV67" i="2" l="1"/>
  <c r="AS67" i="2"/>
  <c r="AU67" i="2"/>
  <c r="BG67" i="2" l="1"/>
  <c r="BD67" i="2" s="1"/>
  <c r="BF67" i="2"/>
  <c r="BB67" i="2" s="1"/>
  <c r="BC67" i="2"/>
  <c r="BA67" i="2"/>
  <c r="BE67" i="2"/>
  <c r="AZ67" i="2" l="1"/>
  <c r="AX67" i="2" s="1"/>
  <c r="AT68" i="2" s="1"/>
  <c r="AY67" i="2"/>
  <c r="AW67" i="2" s="1"/>
  <c r="AV68" i="2"/>
  <c r="AS68" i="2" l="1"/>
  <c r="AU68" i="2"/>
  <c r="BE68" i="2" l="1"/>
  <c r="AZ68" i="2" s="1"/>
  <c r="AY68" i="2"/>
  <c r="BF68" i="2"/>
  <c r="BG68" i="2"/>
  <c r="BD68" i="2" s="1"/>
  <c r="BB68" i="2" l="1"/>
  <c r="AX68" i="2" s="1"/>
  <c r="BA68" i="2"/>
  <c r="BC68" i="2"/>
  <c r="AW68" i="2" l="1"/>
  <c r="AT69" i="2"/>
  <c r="AV69" i="2"/>
  <c r="AS69" i="2"/>
  <c r="AU69" i="2"/>
  <c r="BF69" i="2" l="1"/>
  <c r="BA69" i="2" s="1"/>
  <c r="BE69" i="2"/>
  <c r="AY69" i="2" s="1"/>
  <c r="AW69" i="2" s="1"/>
  <c r="BG69" i="2"/>
  <c r="BC69" i="2" s="1"/>
  <c r="BD69" i="2"/>
  <c r="AZ69" i="2"/>
  <c r="BB69" i="2"/>
  <c r="AS70" i="2" l="1"/>
  <c r="AU70" i="2"/>
  <c r="AX69" i="2"/>
  <c r="AT70" i="2" l="1"/>
  <c r="AV70" i="2"/>
  <c r="BE70" i="2"/>
  <c r="AY70" i="2" s="1"/>
  <c r="BG70" i="2" l="1"/>
  <c r="AZ70" i="2"/>
  <c r="BF70" i="2"/>
  <c r="BA70" i="2" l="1"/>
  <c r="BB70" i="2"/>
  <c r="BD70" i="2"/>
  <c r="BC70" i="2"/>
  <c r="AW70" i="2" s="1"/>
  <c r="AX70" i="2" l="1"/>
  <c r="AT71" i="2"/>
  <c r="AV71" i="2"/>
  <c r="AS71" i="2"/>
  <c r="AU71" i="2"/>
  <c r="BF71" i="2" l="1"/>
  <c r="BE71" i="2"/>
  <c r="BG71" i="2"/>
  <c r="BD71" i="2" l="1"/>
  <c r="BC71" i="2"/>
  <c r="AZ71" i="2"/>
  <c r="AY71" i="2"/>
  <c r="BA71" i="2"/>
  <c r="BB71" i="2"/>
  <c r="AW71" i="2" l="1"/>
  <c r="AS72" i="2" s="1"/>
  <c r="AU72" i="2"/>
  <c r="AX71" i="2"/>
  <c r="AT72" i="2" l="1"/>
  <c r="AV72" i="2"/>
  <c r="BE72" i="2" l="1"/>
  <c r="AY72" i="2" s="1"/>
  <c r="BG72" i="2"/>
  <c r="BF72" i="2"/>
  <c r="AZ72" i="2"/>
  <c r="BA72" i="2" l="1"/>
  <c r="BB72" i="2"/>
  <c r="BC72" i="2"/>
  <c r="AW72" i="2" s="1"/>
  <c r="BD72" i="2"/>
  <c r="AX72" i="2" s="1"/>
  <c r="AS73" i="2" l="1"/>
  <c r="AU73" i="2"/>
  <c r="AT73" i="2"/>
  <c r="AV73" i="2"/>
  <c r="BG73" i="2" l="1"/>
  <c r="BD73" i="2" s="1"/>
  <c r="BE73" i="2"/>
  <c r="AY73" i="2" s="1"/>
  <c r="AW73" i="2" s="1"/>
  <c r="BF73" i="2"/>
  <c r="BA73" i="2" s="1"/>
  <c r="BC73" i="2"/>
  <c r="AS74" i="2" l="1"/>
  <c r="AU74" i="2"/>
  <c r="AZ73" i="2"/>
  <c r="BB73" i="2"/>
  <c r="AX73" i="2" l="1"/>
  <c r="AV74" i="2"/>
  <c r="AT74" i="2"/>
  <c r="BG74" i="2"/>
  <c r="BC74" i="2" s="1"/>
  <c r="BD74" i="2"/>
  <c r="BF74" i="2" l="1"/>
  <c r="BE74" i="2"/>
  <c r="AZ74" i="2" l="1"/>
  <c r="AY74" i="2"/>
  <c r="BB74" i="2"/>
  <c r="BA74" i="2"/>
  <c r="AW74" i="2" l="1"/>
  <c r="AX74" i="2"/>
  <c r="AT75" i="2" l="1"/>
  <c r="AV75" i="2"/>
  <c r="AS75" i="2"/>
  <c r="AU75" i="2"/>
  <c r="BG75" i="2" l="1"/>
  <c r="BC75" i="2" s="1"/>
  <c r="BF75" i="2"/>
  <c r="BA75" i="2" s="1"/>
  <c r="BE75" i="2"/>
  <c r="AY75" i="2"/>
  <c r="AZ75" i="2"/>
  <c r="BB75" i="2"/>
  <c r="BD75" i="2"/>
  <c r="AX75" i="2" l="1"/>
  <c r="AV76" i="2" s="1"/>
  <c r="AT76" i="2"/>
  <c r="AW75" i="2"/>
  <c r="AS76" i="2" l="1"/>
  <c r="AU76" i="2"/>
  <c r="BG76" i="2" l="1"/>
  <c r="BD76" i="2" s="1"/>
  <c r="BF76" i="2"/>
  <c r="BB76" i="2" s="1"/>
  <c r="BE76" i="2"/>
  <c r="BC76" i="2"/>
  <c r="BA76" i="2"/>
  <c r="AY76" i="2" l="1"/>
  <c r="AW76" i="2" s="1"/>
  <c r="AZ76" i="2"/>
  <c r="AX76" i="2" s="1"/>
  <c r="AV77" i="2" l="1"/>
  <c r="AT77" i="2"/>
  <c r="AS77" i="2"/>
  <c r="AU77" i="2"/>
  <c r="BG77" i="2" l="1"/>
  <c r="BF77" i="2"/>
  <c r="BE77" i="2"/>
  <c r="AZ77" i="2" l="1"/>
  <c r="AY77" i="2"/>
  <c r="BA77" i="2"/>
  <c r="BB77" i="2"/>
  <c r="BC77" i="2"/>
  <c r="BD77" i="2"/>
  <c r="AW77" i="2" l="1"/>
  <c r="AX77" i="2"/>
  <c r="AV78" i="2" l="1"/>
  <c r="AT78" i="2"/>
  <c r="AS78" i="2"/>
  <c r="AU78" i="2"/>
  <c r="BG78" i="2" l="1"/>
  <c r="BD78" i="2" s="1"/>
  <c r="BF78" i="2"/>
  <c r="BB78" i="2" s="1"/>
  <c r="BE78" i="2"/>
  <c r="BC78" i="2"/>
  <c r="AZ78" i="2" l="1"/>
  <c r="AX78" i="2" s="1"/>
  <c r="AY78" i="2"/>
  <c r="AW78" i="2" s="1"/>
  <c r="BA78" i="2"/>
  <c r="AS79" i="2" l="1"/>
  <c r="AU79" i="2"/>
  <c r="AV79" i="2"/>
  <c r="AT79" i="2"/>
  <c r="BG79" i="2" l="1"/>
  <c r="BF79" i="2"/>
  <c r="BE79" i="2"/>
  <c r="AZ79" i="2" l="1"/>
  <c r="AY79" i="2"/>
  <c r="BA79" i="2"/>
  <c r="BB79" i="2"/>
  <c r="BD79" i="2"/>
  <c r="BC79" i="2"/>
  <c r="AW79" i="2" l="1"/>
  <c r="AX79" i="2"/>
  <c r="AT80" i="2" l="1"/>
  <c r="AV80" i="2"/>
  <c r="AU80" i="2"/>
  <c r="AS80" i="2"/>
  <c r="BG80" i="2" l="1"/>
  <c r="BE80" i="2"/>
  <c r="BC80" i="2"/>
  <c r="BF80" i="2"/>
  <c r="BD80" i="2"/>
  <c r="AY80" i="2" l="1"/>
  <c r="AZ80" i="2"/>
  <c r="BB80" i="2"/>
  <c r="BA80" i="2"/>
  <c r="AX80" i="2" l="1"/>
  <c r="AV81" i="2"/>
  <c r="AT81" i="2"/>
  <c r="AW80" i="2"/>
  <c r="AU81" i="2" l="1"/>
  <c r="AS81" i="2"/>
  <c r="BF81" i="2" l="1"/>
  <c r="BE81" i="2"/>
  <c r="BG81" i="2"/>
  <c r="BD81" i="2" s="1"/>
  <c r="BC81" i="2"/>
  <c r="AY81" i="2" l="1"/>
  <c r="AZ81" i="2"/>
  <c r="BA81" i="2"/>
  <c r="BB81" i="2"/>
  <c r="AW81" i="2" l="1"/>
  <c r="AS82" i="2"/>
  <c r="AU82" i="2"/>
  <c r="AX81" i="2"/>
  <c r="AV82" i="2" l="1"/>
  <c r="AT82" i="2"/>
  <c r="BG82" i="2"/>
  <c r="BD82" i="2" s="1"/>
  <c r="BE82" i="2"/>
  <c r="BF82" i="2"/>
  <c r="BB82" i="2" s="1"/>
  <c r="BC82" i="2"/>
  <c r="AY82" i="2"/>
  <c r="BA82" i="2"/>
  <c r="AW82" i="2" l="1"/>
  <c r="AZ82" i="2"/>
  <c r="AX82" i="2" s="1"/>
  <c r="AT83" i="2" s="1"/>
  <c r="AV83" i="2" l="1"/>
  <c r="AS83" i="2"/>
  <c r="AU83" i="2"/>
  <c r="BF83" i="2" l="1"/>
  <c r="BE83" i="2"/>
  <c r="BG83" i="2"/>
  <c r="BC83" i="2" l="1"/>
  <c r="BD83" i="2"/>
  <c r="AY83" i="2"/>
  <c r="AZ83" i="2"/>
  <c r="BA83" i="2"/>
  <c r="BB83" i="2"/>
  <c r="AX83" i="2" l="1"/>
  <c r="AW83" i="2"/>
  <c r="AS84" i="2" l="1"/>
  <c r="AU84" i="2"/>
  <c r="AV84" i="2"/>
  <c r="AT84" i="2"/>
  <c r="BG84" i="2" l="1"/>
  <c r="BC84" i="2" s="1"/>
  <c r="BE84" i="2"/>
  <c r="AY84" i="2" s="1"/>
  <c r="BF84" i="2"/>
  <c r="BA84" i="2" s="1"/>
  <c r="BD84" i="2" l="1"/>
  <c r="AW84" i="2"/>
  <c r="BB84" i="2"/>
  <c r="AZ84" i="2"/>
  <c r="AS85" i="2" l="1"/>
  <c r="AU85" i="2"/>
  <c r="AX84" i="2"/>
  <c r="AV85" i="2" l="1"/>
  <c r="AT85" i="2"/>
  <c r="BG85" i="2"/>
  <c r="BC85" i="2" s="1"/>
  <c r="BE85" i="2"/>
  <c r="AZ85" i="2" s="1"/>
  <c r="BF85" i="2"/>
  <c r="BA85" i="2" s="1"/>
  <c r="AY85" i="2"/>
  <c r="AW85" i="2" l="1"/>
  <c r="BD85" i="2"/>
  <c r="BB85" i="2"/>
  <c r="AX85" i="2" l="1"/>
  <c r="AS86" i="2"/>
  <c r="AU86" i="2"/>
  <c r="AT86" i="2" l="1"/>
  <c r="AV86" i="2"/>
  <c r="BF86" i="2" l="1"/>
  <c r="BA86" i="2" s="1"/>
  <c r="BE86" i="2"/>
  <c r="AY86" i="2" s="1"/>
  <c r="BG86" i="2"/>
  <c r="BC86" i="2" s="1"/>
  <c r="AW86" i="2" l="1"/>
  <c r="AZ86" i="2"/>
  <c r="BD86" i="2"/>
  <c r="AX86" i="2" s="1"/>
  <c r="BB86" i="2"/>
  <c r="AV87" i="2" l="1"/>
  <c r="AT87" i="2"/>
  <c r="AS87" i="2"/>
  <c r="AU87" i="2"/>
  <c r="BG87" i="2" l="1"/>
  <c r="BC87" i="2" s="1"/>
  <c r="BE87" i="2"/>
  <c r="AY87" i="2" s="1"/>
  <c r="AW87" i="2" s="1"/>
  <c r="AS88" i="2" s="1"/>
  <c r="BF87" i="2"/>
  <c r="BA87" i="2" s="1"/>
  <c r="BB87" i="2"/>
  <c r="AZ87" i="2"/>
  <c r="BD87" i="2"/>
  <c r="AX87" i="2" l="1"/>
  <c r="AU88" i="2"/>
  <c r="AT88" i="2" l="1"/>
  <c r="AV88" i="2"/>
  <c r="BG88" i="2" l="1"/>
  <c r="BC88" i="2" s="1"/>
  <c r="BF88" i="2"/>
  <c r="BA88" i="2" s="1"/>
  <c r="BE88" i="2"/>
  <c r="AY88" i="2" s="1"/>
  <c r="AW88" i="2" l="1"/>
  <c r="AS89" i="2"/>
  <c r="AU89" i="2"/>
  <c r="BB88" i="2"/>
  <c r="AZ88" i="2"/>
  <c r="AX88" i="2" s="1"/>
  <c r="BD88" i="2"/>
  <c r="AV89" i="2" l="1"/>
  <c r="AT89" i="2"/>
  <c r="BG89" i="2"/>
  <c r="BD89" i="2" s="1"/>
  <c r="BE89" i="2"/>
  <c r="AZ89" i="2" s="1"/>
  <c r="BF89" i="2"/>
  <c r="AY89" i="2"/>
  <c r="BC89" i="2"/>
  <c r="BA89" i="2"/>
  <c r="AW89" i="2" l="1"/>
  <c r="BB89" i="2"/>
  <c r="AX89" i="2" s="1"/>
  <c r="AT90" i="2" s="1"/>
  <c r="AV90" i="2" l="1"/>
  <c r="AS90" i="2"/>
  <c r="AU90" i="2"/>
  <c r="BE90" i="2" l="1"/>
  <c r="AZ90" i="2" s="1"/>
  <c r="BF90" i="2"/>
  <c r="BG90" i="2"/>
  <c r="BD90" i="2" s="1"/>
  <c r="AY90" i="2"/>
  <c r="BA90" i="2" l="1"/>
  <c r="BB90" i="2"/>
  <c r="AX90" i="2" s="1"/>
  <c r="BC90" i="2"/>
  <c r="AW90" i="2" l="1"/>
  <c r="AV91" i="2"/>
  <c r="AT91" i="2"/>
  <c r="AS91" i="2"/>
  <c r="AU91" i="2"/>
  <c r="BF91" i="2" l="1"/>
  <c r="BA91" i="2" s="1"/>
  <c r="BG91" i="2"/>
  <c r="BE91" i="2"/>
  <c r="AY91" i="2" s="1"/>
  <c r="BC91" i="2"/>
  <c r="AW91" i="2" s="1"/>
  <c r="AZ91" i="2"/>
  <c r="BD91" i="2"/>
  <c r="BB91" i="2"/>
  <c r="AX91" i="2" l="1"/>
  <c r="AV92" i="2" s="1"/>
  <c r="AS92" i="2"/>
  <c r="AU92" i="2"/>
  <c r="AT92" i="2"/>
  <c r="BE92" i="2" l="1"/>
  <c r="AY92" i="2" s="1"/>
  <c r="BG92" i="2"/>
  <c r="BF92" i="2"/>
  <c r="BA92" i="2" l="1"/>
  <c r="BB92" i="2"/>
  <c r="BD92" i="2"/>
  <c r="BC92" i="2"/>
  <c r="AW92" i="2" s="1"/>
  <c r="AZ92" i="2"/>
  <c r="AS93" i="2" l="1"/>
  <c r="AU93" i="2"/>
  <c r="AX92" i="2"/>
  <c r="AV93" i="2" l="1"/>
  <c r="AT93" i="2"/>
  <c r="BE93" i="2"/>
  <c r="AY93" i="2" s="1"/>
  <c r="BG93" i="2"/>
  <c r="BC93" i="2" s="1"/>
  <c r="BF93" i="2"/>
  <c r="BA93" i="2" s="1"/>
  <c r="AW93" i="2" l="1"/>
  <c r="AZ93" i="2"/>
  <c r="BB93" i="2"/>
  <c r="BD93" i="2"/>
  <c r="AX93" i="2" l="1"/>
  <c r="AS94" i="2"/>
  <c r="AU94" i="2"/>
  <c r="AV94" i="2" l="1"/>
  <c r="AT94" i="2"/>
  <c r="BF94" i="2" l="1"/>
  <c r="BA94" i="2" s="1"/>
  <c r="BE94" i="2"/>
  <c r="AY94" i="2" s="1"/>
  <c r="BG94" i="2"/>
  <c r="BC94" i="2" s="1"/>
  <c r="AW94" i="2" l="1"/>
  <c r="AZ94" i="2"/>
  <c r="BB94" i="2"/>
  <c r="BD94" i="2"/>
  <c r="AX94" i="2" l="1"/>
  <c r="AS95" i="2"/>
  <c r="AU95" i="2"/>
  <c r="AT95" i="2" l="1"/>
  <c r="AV95" i="2"/>
  <c r="BG95" i="2" l="1"/>
  <c r="BC95" i="2" s="1"/>
  <c r="BF95" i="2"/>
  <c r="BA95" i="2" s="1"/>
  <c r="BE95" i="2"/>
  <c r="AY95" i="2" s="1"/>
  <c r="AW95" i="2" l="1"/>
  <c r="AS96" i="2"/>
  <c r="AU96" i="2"/>
  <c r="AZ95" i="2"/>
  <c r="BB95" i="2"/>
  <c r="BD95" i="2"/>
  <c r="AX95" i="2" l="1"/>
  <c r="AT96" i="2" l="1"/>
  <c r="AV96" i="2"/>
  <c r="BF96" i="2" l="1"/>
  <c r="BA96" i="2" s="1"/>
  <c r="BG96" i="2"/>
  <c r="BC96" i="2" s="1"/>
  <c r="BE96" i="2"/>
  <c r="AY96" i="2" s="1"/>
  <c r="BD96" i="2"/>
  <c r="AZ96" i="2"/>
  <c r="BB96" i="2"/>
  <c r="AW96" i="2" l="1"/>
  <c r="AX96" i="2"/>
  <c r="AS97" i="2"/>
  <c r="AU97" i="2"/>
  <c r="AV97" i="2" l="1"/>
  <c r="AT97" i="2"/>
  <c r="BG97" i="2" l="1"/>
  <c r="BE97" i="2"/>
  <c r="AY97" i="2" s="1"/>
  <c r="BF97" i="2"/>
  <c r="BB97" i="2" l="1"/>
  <c r="BA97" i="2"/>
  <c r="BD97" i="2"/>
  <c r="BC97" i="2"/>
  <c r="AW97" i="2" s="1"/>
  <c r="AZ97" i="2"/>
  <c r="AX97" i="2" s="1"/>
  <c r="AT98" i="2" l="1"/>
  <c r="AV98" i="2"/>
  <c r="AS98" i="2"/>
  <c r="AU98" i="2"/>
  <c r="BE98" i="2" l="1"/>
  <c r="AZ98" i="2" s="1"/>
  <c r="BF98" i="2"/>
  <c r="AY98" i="2"/>
  <c r="BG98" i="2"/>
  <c r="BD98" i="2" s="1"/>
  <c r="BC98" i="2" l="1"/>
  <c r="BA98" i="2"/>
  <c r="BB98" i="2"/>
  <c r="AX98" i="2" s="1"/>
  <c r="AT99" i="2" s="1"/>
  <c r="AW98" i="2"/>
  <c r="AV99" i="2" l="1"/>
  <c r="AU99" i="2"/>
  <c r="AS99" i="2"/>
  <c r="BG99" i="2" s="1"/>
  <c r="BE99" i="2"/>
  <c r="BF99" i="2"/>
  <c r="BA99" i="2" s="1"/>
  <c r="BC99" i="2"/>
  <c r="BD99" i="2" l="1"/>
  <c r="AZ99" i="2"/>
  <c r="AY99" i="2"/>
  <c r="AW99" i="2" s="1"/>
  <c r="AS100" i="2" s="1"/>
  <c r="BB99" i="2"/>
  <c r="AX99" i="2" l="1"/>
  <c r="AT100" i="2" s="1"/>
  <c r="AU100" i="2"/>
  <c r="BE100" i="2" l="1"/>
  <c r="AV100" i="2"/>
  <c r="BG100" i="2" l="1"/>
  <c r="BF100" i="2"/>
  <c r="BA100" i="2" s="1"/>
  <c r="BC100" i="2"/>
  <c r="BB100" i="2" l="1"/>
  <c r="BD100" i="2"/>
  <c r="AZ100" i="2"/>
  <c r="AY100" i="2"/>
  <c r="AW100" i="2" s="1"/>
  <c r="AS101" i="2" s="1"/>
  <c r="AU101" i="2" l="1"/>
  <c r="AX100" i="2"/>
  <c r="AT101" i="2" s="1"/>
  <c r="AV101" i="2" l="1"/>
  <c r="BF101" i="2"/>
  <c r="BA101" i="2" s="1"/>
  <c r="BG101" i="2" l="1"/>
  <c r="BE101" i="2"/>
  <c r="AZ101" i="2" s="1"/>
  <c r="BC101" i="2"/>
  <c r="BB101" i="2"/>
  <c r="AY101" i="2" l="1"/>
  <c r="AW101" i="2" s="1"/>
  <c r="AS102" i="2" s="1"/>
  <c r="BD101" i="2"/>
  <c r="AX101" i="2" s="1"/>
  <c r="AT102" i="2" s="1"/>
  <c r="AU102" i="2" l="1"/>
  <c r="AV102" i="2"/>
  <c r="BE102" i="2" l="1"/>
  <c r="AY102" i="2" s="1"/>
  <c r="BF102" i="2"/>
  <c r="BA102" i="2" s="1"/>
  <c r="AZ102" i="2"/>
  <c r="BG102" i="2"/>
  <c r="BD102" i="2" s="1"/>
  <c r="BB102" i="2" l="1"/>
  <c r="AX102" i="2"/>
  <c r="BC102" i="2"/>
  <c r="AW102" i="2" s="1"/>
  <c r="AS103" i="2" s="1"/>
  <c r="AV103" i="2" l="1"/>
  <c r="AT103" i="2"/>
  <c r="BG103" i="2"/>
  <c r="BC103" i="2" s="1"/>
  <c r="AU103" i="2"/>
  <c r="BF103" i="2" l="1"/>
  <c r="BA103" i="2" s="1"/>
  <c r="BE103" i="2"/>
  <c r="AY103" i="2" s="1"/>
  <c r="BD103" i="2"/>
  <c r="BB103" i="2"/>
  <c r="AZ103" i="2" l="1"/>
  <c r="AW103" i="2"/>
  <c r="AX103" i="2"/>
  <c r="AT104" i="2" s="1"/>
  <c r="AU104" i="2" l="1"/>
  <c r="AS104" i="2"/>
  <c r="BE104" i="2"/>
  <c r="AV104" i="2"/>
  <c r="BG104" i="2" l="1"/>
  <c r="BF104" i="2"/>
  <c r="BA104" i="2" s="1"/>
  <c r="BC104" i="2"/>
  <c r="AY104" i="2"/>
  <c r="BB104" i="2" l="1"/>
  <c r="BD104" i="2"/>
  <c r="AZ104" i="2"/>
  <c r="AW104" i="2"/>
  <c r="AS105" i="2" s="1"/>
  <c r="AU105" i="2" l="1"/>
  <c r="AX104" i="2"/>
  <c r="AT105" i="2" s="1"/>
  <c r="AV105" i="2" l="1"/>
  <c r="BE105" i="2"/>
  <c r="AY105" i="2" s="1"/>
  <c r="BG105" i="2" l="1"/>
  <c r="BD105" i="2" s="1"/>
  <c r="BF105" i="2"/>
  <c r="BA105" i="2" s="1"/>
  <c r="AZ105" i="2"/>
  <c r="BB105" i="2" l="1"/>
  <c r="AX105" i="2" s="1"/>
  <c r="AT106" i="2" s="1"/>
  <c r="BC105" i="2"/>
  <c r="AW105" i="2" s="1"/>
  <c r="AS106" i="2" s="1"/>
  <c r="AU106" i="2" l="1"/>
  <c r="AV106" i="2"/>
  <c r="BG106" i="2" l="1"/>
  <c r="BD106" i="2" s="1"/>
  <c r="BF106" i="2"/>
  <c r="BA106" i="2" s="1"/>
  <c r="BE106" i="2"/>
  <c r="AY106" i="2" s="1"/>
  <c r="BC106" i="2" l="1"/>
  <c r="AW106" i="2" s="1"/>
  <c r="AS107" i="2" s="1"/>
  <c r="AZ106" i="2"/>
  <c r="BB106" i="2"/>
  <c r="AX106" i="2" l="1"/>
  <c r="AT107" i="2" s="1"/>
  <c r="T19" i="3" a="1"/>
  <c r="T19" i="3" s="1"/>
  <c r="AU107" i="2"/>
  <c r="AV107" i="2" l="1"/>
  <c r="BE107" i="2" l="1"/>
  <c r="U19" i="3" a="1"/>
  <c r="U19" i="3" s="1"/>
  <c r="BG107" i="2"/>
  <c r="BF107" i="2"/>
  <c r="BC107" i="2"/>
  <c r="AY107" i="2"/>
  <c r="BA107" i="2"/>
  <c r="BD107" i="2" l="1"/>
  <c r="AW107" i="2"/>
  <c r="AS108" i="2" s="1"/>
  <c r="AZ107" i="2"/>
  <c r="BB107" i="2"/>
  <c r="AX107" i="2" l="1"/>
  <c r="AT108" i="2" s="1"/>
  <c r="AU108" i="2"/>
  <c r="T18" i="3" a="1"/>
  <c r="T18" i="3" s="1"/>
  <c r="AV108" i="2" l="1"/>
  <c r="BE108" i="2" l="1"/>
  <c r="AY108" i="2" s="1"/>
  <c r="U18" i="3" a="1"/>
  <c r="U18" i="3" s="1"/>
  <c r="BG108" i="2"/>
  <c r="BC108" i="2" s="1"/>
  <c r="BF108" i="2"/>
  <c r="BA108" i="2" s="1"/>
  <c r="BB108" i="2" l="1"/>
  <c r="BD108" i="2"/>
  <c r="AW108" i="2"/>
  <c r="AZ108" i="2"/>
  <c r="T17" i="3" l="1" a="1"/>
  <c r="T17" i="3" s="1"/>
  <c r="AS109" i="2"/>
  <c r="AX108" i="2"/>
  <c r="AT109" i="2" s="1"/>
  <c r="AU109" i="2"/>
  <c r="AV109" i="2"/>
  <c r="BE109" i="2" l="1"/>
  <c r="U17" i="3" a="1"/>
  <c r="U17" i="3" s="1"/>
  <c r="BG109" i="2"/>
  <c r="BC109" i="2" s="1"/>
  <c r="BF109" i="2"/>
  <c r="BA109" i="2" s="1"/>
  <c r="AZ109" i="2"/>
  <c r="AY109" i="2"/>
  <c r="BD109" i="2" l="1"/>
  <c r="AW109" i="2"/>
  <c r="AS110" i="2" s="1"/>
  <c r="BB109" i="2"/>
  <c r="AU110" i="2"/>
  <c r="T16" i="3" a="1"/>
  <c r="T16" i="3" s="1"/>
  <c r="AX109" i="2" l="1"/>
  <c r="AT110" i="2" s="1"/>
  <c r="BF110" i="2" l="1"/>
  <c r="BA110" i="2" s="1"/>
  <c r="U16" i="3" a="1"/>
  <c r="U16" i="3" s="1"/>
  <c r="BG110" i="2"/>
  <c r="BC110" i="2" s="1"/>
  <c r="BE110" i="2"/>
  <c r="AY110" i="2" s="1"/>
  <c r="AV110" i="2"/>
  <c r="BD110" i="2"/>
  <c r="AW110" i="2" l="1"/>
  <c r="BB110" i="2"/>
  <c r="AZ110" i="2"/>
  <c r="AX110" i="2" s="1"/>
  <c r="AV111" i="2" s="1"/>
  <c r="AT111" i="2" l="1"/>
  <c r="AU111" i="2"/>
  <c r="AS111" i="2"/>
  <c r="T15" i="3" a="1"/>
  <c r="T15" i="3" s="1"/>
  <c r="BG111" i="2" l="1"/>
  <c r="BC111" i="2" s="1"/>
  <c r="U15" i="3" a="1"/>
  <c r="U15" i="3" s="1"/>
  <c r="BE111" i="2"/>
  <c r="AZ111" i="2" s="1"/>
  <c r="BF111" i="2"/>
  <c r="BA111" i="2" s="1"/>
  <c r="BD111" i="2" l="1"/>
  <c r="BB111" i="2"/>
  <c r="AY111" i="2"/>
  <c r="AW111" i="2" s="1"/>
  <c r="AU112" i="2" l="1"/>
  <c r="AS112" i="2"/>
  <c r="AX111" i="2"/>
  <c r="AT112" i="2" s="1"/>
  <c r="AV112" i="2"/>
  <c r="U14" i="3" a="1"/>
  <c r="U14" i="3" s="1"/>
  <c r="BE112" i="2" l="1"/>
  <c r="AZ112" i="2" s="1"/>
  <c r="BG112" i="2"/>
  <c r="BD112" i="2" s="1"/>
  <c r="BF112" i="2"/>
  <c r="BA112" i="2" s="1"/>
  <c r="AY112" i="2" l="1"/>
  <c r="BB112" i="2"/>
  <c r="AX112" i="2" s="1"/>
  <c r="AT113" i="2" s="1"/>
  <c r="BC112" i="2"/>
  <c r="AW112" i="2" s="1"/>
  <c r="AS113" i="2" s="1"/>
  <c r="T13" i="3" l="1" a="1"/>
  <c r="T13" i="3" s="1"/>
  <c r="AU113" i="2"/>
  <c r="U13" i="3" a="1"/>
  <c r="U13" i="3" s="1"/>
  <c r="AV113" i="2"/>
  <c r="BG113" i="2" l="1"/>
  <c r="BC113" i="2" s="1"/>
  <c r="BF113" i="2"/>
  <c r="BA113" i="2" s="1"/>
  <c r="BE113" i="2"/>
  <c r="BB113" i="2" l="1"/>
  <c r="BD113" i="2"/>
  <c r="AZ113" i="2"/>
  <c r="AY113" i="2"/>
  <c r="AW113" i="2" s="1"/>
  <c r="AS114" i="2" s="1"/>
  <c r="AX113" i="2" l="1"/>
  <c r="AU114" i="2"/>
  <c r="P20" i="3" s="1"/>
  <c r="AV114" i="2" l="1"/>
  <c r="Q20" i="3" s="1"/>
  <c r="R20" i="3" s="1"/>
  <c r="AT114" i="2"/>
  <c r="BF114" i="2"/>
  <c r="T4" i="3"/>
  <c r="T12" i="3"/>
  <c r="U12" i="3"/>
  <c r="U4" i="3"/>
  <c r="BE114" i="2"/>
  <c r="R15" i="3" l="1"/>
  <c r="N22" i="3" s="1"/>
  <c r="Q14" i="3"/>
  <c r="M21" i="3" s="1"/>
  <c r="Q13" i="3"/>
  <c r="M20" i="3" s="1"/>
  <c r="R12" i="3"/>
  <c r="N19" i="3" s="1"/>
  <c r="R16" i="3"/>
  <c r="N23" i="3" s="1"/>
  <c r="R14" i="3"/>
  <c r="N21" i="3" s="1"/>
  <c r="Q15" i="3"/>
  <c r="M22" i="3" s="1"/>
  <c r="Q16" i="3"/>
  <c r="M23" i="3" s="1"/>
  <c r="R13" i="3"/>
  <c r="N20" i="3" s="1"/>
  <c r="Q12" i="3"/>
  <c r="M19" i="3" s="1"/>
  <c r="BG114" i="2"/>
  <c r="BC114" i="2" s="1"/>
  <c r="BA114" i="2"/>
  <c r="BB114" i="2"/>
  <c r="AZ114" i="2"/>
  <c r="AY114" i="2"/>
  <c r="AW114" i="2" l="1"/>
  <c r="BD114" i="2"/>
  <c r="AX114" i="2" s="1"/>
  <c r="U8" i="3" l="1" a="1"/>
  <c r="U8" i="3" s="1"/>
  <c r="AT115" i="2"/>
  <c r="AU115" i="2"/>
  <c r="AS115" i="2"/>
  <c r="T8" i="3" a="1"/>
  <c r="T8" i="3" s="1"/>
  <c r="BE115" i="2"/>
  <c r="AY115" i="2" s="1"/>
  <c r="AV115" i="2"/>
  <c r="BF115" i="2"/>
  <c r="BA115" i="2" s="1"/>
  <c r="BG115" i="2"/>
  <c r="BC115" i="2" s="1"/>
  <c r="BB115" i="2" l="1"/>
  <c r="AZ115" i="2"/>
  <c r="AW115" i="2"/>
  <c r="AS116" i="2" s="1"/>
  <c r="BD115" i="2"/>
  <c r="AU116" i="2"/>
  <c r="AX115" i="2" l="1"/>
  <c r="AV116" i="2" l="1"/>
  <c r="AT116" i="2"/>
  <c r="BE116" i="2" l="1"/>
  <c r="AZ116" i="2" s="1"/>
  <c r="BF116" i="2"/>
  <c r="BA116" i="2" s="1"/>
  <c r="AY116" i="2"/>
  <c r="BG116" i="2"/>
  <c r="BC116" i="2" s="1"/>
  <c r="BB116" i="2"/>
  <c r="AW116" i="2" l="1"/>
  <c r="AS117" i="2" s="1"/>
  <c r="BD116" i="2"/>
  <c r="AX116" i="2" s="1"/>
  <c r="AU117" i="2"/>
  <c r="AV117" i="2" l="1"/>
  <c r="AT117" i="2"/>
  <c r="BG117" i="2"/>
  <c r="BF117" i="2"/>
  <c r="BA117" i="2" s="1"/>
  <c r="BE117" i="2"/>
  <c r="AZ117" i="2" s="1"/>
  <c r="BB117" i="2" l="1"/>
  <c r="AY117" i="2"/>
  <c r="BD117" i="2"/>
  <c r="BC117" i="2"/>
  <c r="AW117" i="2" s="1"/>
  <c r="AS118" i="2" s="1"/>
  <c r="AX117" i="2" l="1"/>
  <c r="AT118" i="2" s="1"/>
  <c r="AV118" i="2"/>
  <c r="BE118" i="2"/>
  <c r="AZ118" i="2" s="1"/>
  <c r="AU118" i="2"/>
  <c r="BF118" i="2"/>
  <c r="BB118" i="2" s="1"/>
  <c r="BG118" i="2"/>
  <c r="BD118" i="2" s="1"/>
  <c r="BA118" i="2" l="1"/>
  <c r="BC118" i="2"/>
  <c r="AY118" i="2"/>
  <c r="AX118" i="2"/>
  <c r="AT119" i="2" s="1"/>
  <c r="AW118" i="2" l="1"/>
  <c r="AS119" i="2" s="1"/>
  <c r="AV119" i="2"/>
  <c r="AU119" i="2"/>
  <c r="BG119" i="2"/>
  <c r="BE119" i="2" l="1"/>
  <c r="BF119" i="2"/>
  <c r="BD119" i="2"/>
  <c r="BA119" i="2" l="1"/>
  <c r="BB119" i="2"/>
  <c r="AY119" i="2"/>
  <c r="AZ119" i="2"/>
  <c r="BC119" i="2"/>
  <c r="AX119" i="2" l="1"/>
  <c r="AT120" i="2" s="1"/>
  <c r="AW119" i="2"/>
  <c r="AS120" i="2" s="1"/>
  <c r="AV120" i="2" l="1"/>
  <c r="AU120" i="2"/>
  <c r="BG120" i="2" l="1"/>
  <c r="BE120" i="2"/>
  <c r="BF120" i="2"/>
  <c r="BD120" i="2"/>
  <c r="AY120" i="2" l="1"/>
  <c r="AZ120" i="2"/>
  <c r="BA120" i="2"/>
  <c r="BB120" i="2"/>
  <c r="BC120" i="2"/>
  <c r="AX120" i="2" l="1"/>
  <c r="AT121" i="2" s="1"/>
  <c r="AW120" i="2"/>
  <c r="AS121" i="2" s="1"/>
  <c r="AU121" i="2" l="1"/>
  <c r="AV121" i="2"/>
  <c r="BG121" i="2" l="1"/>
  <c r="BC121" i="2" s="1"/>
  <c r="BF121" i="2"/>
  <c r="BA121" i="2" s="1"/>
  <c r="BE121" i="2"/>
  <c r="AZ121" i="2" s="1"/>
  <c r="AY121" i="2" l="1"/>
  <c r="BD121" i="2"/>
  <c r="AW121" i="2"/>
  <c r="AS122" i="2" s="1"/>
  <c r="BB121" i="2"/>
  <c r="AX121" i="2" l="1"/>
  <c r="AT122" i="2" s="1"/>
  <c r="AU122" i="2"/>
  <c r="BE122" i="2" l="1"/>
  <c r="AV122" i="2"/>
  <c r="BG122" i="2" l="1"/>
  <c r="BC122" i="2" s="1"/>
  <c r="BF122" i="2"/>
  <c r="BA122" i="2" s="1"/>
  <c r="AY122" i="2"/>
  <c r="BB122" i="2" l="1"/>
  <c r="BD122" i="2"/>
  <c r="AW122" i="2"/>
  <c r="AS123" i="2" s="1"/>
  <c r="AZ122" i="2"/>
  <c r="AX122" i="2" l="1"/>
  <c r="AU123" i="2"/>
  <c r="AV123" i="2" l="1"/>
  <c r="AT123" i="2"/>
  <c r="BG123" i="2"/>
  <c r="BD123" i="2" l="1"/>
  <c r="BE123" i="2"/>
  <c r="BF123" i="2"/>
  <c r="BA123" i="2" s="1"/>
  <c r="BC123" i="2"/>
  <c r="AZ123" i="2" l="1"/>
  <c r="AY123" i="2"/>
  <c r="AW123" i="2" s="1"/>
  <c r="AS124" i="2" s="1"/>
  <c r="BB123" i="2"/>
  <c r="AU124" i="2" l="1"/>
  <c r="AX123" i="2"/>
  <c r="AT124" i="2" s="1"/>
  <c r="AV124" i="2" l="1"/>
  <c r="BG124" i="2" l="1"/>
  <c r="BE124" i="2"/>
  <c r="BF124" i="2"/>
  <c r="BC124" i="2" l="1"/>
  <c r="BD124" i="2"/>
  <c r="BA124" i="2"/>
  <c r="BB124" i="2"/>
  <c r="AZ124" i="2"/>
  <c r="AY124" i="2"/>
  <c r="AX124" i="2" l="1"/>
  <c r="AT125" i="2" s="1"/>
  <c r="AW124" i="2"/>
  <c r="AS125" i="2" s="1"/>
  <c r="AV125" i="2"/>
  <c r="AU125" i="2" l="1"/>
  <c r="BE125" i="2" l="1"/>
  <c r="AZ125" i="2" s="1"/>
  <c r="BG125" i="2"/>
  <c r="BD125" i="2" s="1"/>
  <c r="BF125" i="2"/>
  <c r="BA125" i="2" l="1"/>
  <c r="BB125" i="2"/>
  <c r="AX125" i="2" s="1"/>
  <c r="AT126" i="2" s="1"/>
  <c r="BC125" i="2"/>
  <c r="AY125" i="2"/>
  <c r="AW125" i="2" l="1"/>
  <c r="AS126" i="2" s="1"/>
  <c r="AU126" i="2"/>
  <c r="AV126" i="2"/>
  <c r="BE126" i="2" l="1"/>
  <c r="AZ126" i="2"/>
  <c r="AY126" i="2"/>
  <c r="BG126" i="2"/>
  <c r="BD126" i="2" s="1"/>
  <c r="BF126" i="2"/>
  <c r="BA126" i="2" l="1"/>
  <c r="BB126" i="2"/>
  <c r="AX126" i="2" s="1"/>
  <c r="AT127" i="2" s="1"/>
  <c r="BC126" i="2"/>
  <c r="AW126" i="2" l="1"/>
  <c r="AV127" i="2"/>
  <c r="AU127" i="2" l="1"/>
  <c r="AS127" i="2"/>
  <c r="BG127" i="2"/>
  <c r="BC127" i="2" l="1"/>
  <c r="BD127" i="2"/>
  <c r="BE127" i="2"/>
  <c r="BF127" i="2"/>
  <c r="BA127" i="2" s="1"/>
  <c r="BB127" i="2" l="1"/>
  <c r="AY127" i="2"/>
  <c r="AW127" i="2" s="1"/>
  <c r="AS128" i="2" s="1"/>
  <c r="AZ127" i="2"/>
  <c r="AX127" i="2" s="1"/>
  <c r="AT128" i="2" s="1"/>
  <c r="AV128" i="2" l="1"/>
  <c r="AU128" i="2"/>
  <c r="BE128" i="2"/>
  <c r="BG128" i="2"/>
  <c r="BC128" i="2" s="1"/>
  <c r="BF128" i="2"/>
  <c r="BA128" i="2" s="1"/>
  <c r="AZ128" i="2" l="1"/>
  <c r="AY128" i="2"/>
  <c r="BD128" i="2"/>
  <c r="BB128" i="2"/>
  <c r="AW128" i="2"/>
  <c r="AS129" i="2" s="1"/>
  <c r="AX128" i="2" l="1"/>
  <c r="AU129" i="2"/>
  <c r="AV129" i="2" l="1"/>
  <c r="AT129" i="2"/>
  <c r="BG129" i="2"/>
  <c r="BD129" i="2" s="1"/>
  <c r="BE129" i="2" l="1"/>
  <c r="BF129" i="2"/>
  <c r="BC129" i="2"/>
  <c r="AZ129" i="2" l="1"/>
  <c r="AY129" i="2"/>
  <c r="BB129" i="2"/>
  <c r="BA129" i="2"/>
  <c r="AW129" i="2" l="1"/>
  <c r="AS130" i="2" s="1"/>
  <c r="AU130" i="2"/>
  <c r="AX129" i="2"/>
  <c r="AT130" i="2" s="1"/>
  <c r="AV130" i="2" l="1"/>
  <c r="BG130" i="2" l="1"/>
  <c r="BC130" i="2" s="1"/>
  <c r="BF130" i="2"/>
  <c r="BA130" i="2" s="1"/>
  <c r="BE130" i="2"/>
  <c r="BD130" i="2"/>
  <c r="BB130" i="2" l="1"/>
  <c r="AY130" i="2"/>
  <c r="AW130" i="2" s="1"/>
  <c r="AS131" i="2" s="1"/>
  <c r="AZ130" i="2"/>
  <c r="AX130" i="2" s="1"/>
  <c r="AT131" i="2" s="1"/>
  <c r="AV131" i="2" l="1"/>
  <c r="AU131" i="2"/>
  <c r="BG131" i="2" l="1"/>
  <c r="BC131" i="2" s="1"/>
  <c r="BE131" i="2"/>
  <c r="AY131" i="2" s="1"/>
  <c r="BF131" i="2"/>
  <c r="BA131" i="2" s="1"/>
  <c r="AZ131" i="2"/>
  <c r="BB131" i="2"/>
  <c r="BD131" i="2" l="1"/>
  <c r="AX131" i="2" s="1"/>
  <c r="AT132" i="2" s="1"/>
  <c r="AW131" i="2"/>
  <c r="AS132" i="2" s="1"/>
  <c r="AV132" i="2" l="1"/>
  <c r="AU132" i="2"/>
  <c r="BE132" i="2" l="1"/>
  <c r="BG132" i="2"/>
  <c r="BD132" i="2" s="1"/>
  <c r="BF132" i="2"/>
  <c r="AY132" i="2"/>
  <c r="BC132" i="2"/>
  <c r="BA132" i="2"/>
  <c r="AZ132" i="2"/>
  <c r="BB132" i="2"/>
  <c r="AX132" i="2" l="1"/>
  <c r="AT133" i="2" s="1"/>
  <c r="AW132" i="2"/>
  <c r="AS133" i="2" s="1"/>
  <c r="AU133" i="2" l="1"/>
  <c r="AV133" i="2"/>
  <c r="BE133" i="2" l="1"/>
  <c r="BF133" i="2"/>
  <c r="BG133" i="2"/>
  <c r="BD133" i="2" l="1"/>
  <c r="BC133" i="2"/>
  <c r="BA133" i="2"/>
  <c r="BB133" i="2"/>
  <c r="AZ133" i="2"/>
  <c r="AY133" i="2"/>
  <c r="AW133" i="2" s="1"/>
  <c r="AU134" i="2" l="1"/>
  <c r="AS134" i="2"/>
  <c r="AX133" i="2"/>
  <c r="AT134" i="2" s="1"/>
  <c r="AV134" i="2"/>
  <c r="BE134" i="2"/>
  <c r="AZ134" i="2" s="1"/>
  <c r="AY134" i="2" l="1"/>
  <c r="BG134" i="2"/>
  <c r="BD134" i="2" s="1"/>
  <c r="BF134" i="2"/>
  <c r="BC134" i="2" l="1"/>
  <c r="BB134" i="2"/>
  <c r="AX134" i="2" s="1"/>
  <c r="AT135" i="2" s="1"/>
  <c r="BA134" i="2"/>
  <c r="AW134" i="2" s="1"/>
  <c r="AU135" i="2" l="1"/>
  <c r="AS135" i="2"/>
  <c r="BE135" i="2" s="1"/>
  <c r="AV135" i="2"/>
  <c r="BG135" i="2"/>
  <c r="BD135" i="2" s="1"/>
  <c r="BF135" i="2"/>
  <c r="BB135" i="2" s="1"/>
  <c r="BC135" i="2"/>
  <c r="AZ135" i="2" l="1"/>
  <c r="AY135" i="2"/>
  <c r="BA135" i="2"/>
  <c r="AW135" i="2" s="1"/>
  <c r="AS136" i="2" s="1"/>
  <c r="AX135" i="2"/>
  <c r="AT136" i="2" s="1"/>
  <c r="AV136" i="2" l="1"/>
  <c r="AU136" i="2"/>
  <c r="BG136" i="2" l="1"/>
  <c r="BC136" i="2" s="1"/>
  <c r="BF136" i="2"/>
  <c r="BE136" i="2"/>
  <c r="AZ136" i="2" s="1"/>
  <c r="AY136" i="2"/>
  <c r="BA136" i="2" l="1"/>
  <c r="AW136" i="2" s="1"/>
  <c r="AS137" i="2" s="1"/>
  <c r="BB136" i="2"/>
  <c r="BD136" i="2"/>
  <c r="AX136" i="2" l="1"/>
  <c r="AT137" i="2" s="1"/>
  <c r="AU137" i="2"/>
  <c r="BF137" i="2" l="1"/>
  <c r="AV137" i="2"/>
  <c r="BB137" i="2" l="1"/>
  <c r="BA137" i="2"/>
  <c r="BE137" i="2"/>
  <c r="AY137" i="2" s="1"/>
  <c r="BG137" i="2"/>
  <c r="BC137" i="2" s="1"/>
  <c r="AW137" i="2" l="1"/>
  <c r="AS138" i="2" s="1"/>
  <c r="AU138" i="2"/>
  <c r="AZ137" i="2"/>
  <c r="BD137" i="2"/>
  <c r="AX137" i="2" l="1"/>
  <c r="AT138" i="2" s="1"/>
  <c r="AV138" i="2"/>
  <c r="BE138" i="2" l="1"/>
  <c r="AY138" i="2" s="1"/>
  <c r="BF138" i="2"/>
  <c r="BA138" i="2" s="1"/>
  <c r="BG138" i="2"/>
  <c r="BC138" i="2" s="1"/>
  <c r="AZ138" i="2" l="1"/>
  <c r="AW138" i="2"/>
  <c r="AS139" i="2" s="1"/>
  <c r="BB138" i="2"/>
  <c r="BD138" i="2"/>
  <c r="AU139" i="2" l="1"/>
  <c r="AX138" i="2"/>
  <c r="AT139" i="2" s="1"/>
  <c r="AV139" i="2" l="1"/>
  <c r="BE139" i="2"/>
  <c r="AY139" i="2" s="1"/>
  <c r="BG139" i="2"/>
  <c r="BC139" i="2" s="1"/>
  <c r="BF139" i="2"/>
  <c r="BA139" i="2" s="1"/>
  <c r="AW139" i="2" l="1"/>
  <c r="AS140" i="2" s="1"/>
  <c r="AZ139" i="2"/>
  <c r="BB139" i="2"/>
  <c r="BD139" i="2"/>
  <c r="AX139" i="2" l="1"/>
  <c r="AT140" i="2" s="1"/>
  <c r="AU140" i="2"/>
  <c r="AV140" i="2"/>
  <c r="BG140" i="2" l="1"/>
  <c r="BF140" i="2"/>
  <c r="BE140" i="2"/>
  <c r="AZ140" i="2" s="1"/>
  <c r="AY140" i="2" l="1"/>
  <c r="BA140" i="2"/>
  <c r="BB140" i="2"/>
  <c r="BD140" i="2"/>
  <c r="BC140" i="2"/>
  <c r="AW140" i="2" s="1"/>
  <c r="AS141" i="2" s="1"/>
  <c r="AX140" i="2" l="1"/>
  <c r="AT141" i="2" s="1"/>
  <c r="AV141" i="2"/>
  <c r="AU141" i="2"/>
  <c r="BE141" i="2" l="1"/>
  <c r="AZ141" i="2" s="1"/>
  <c r="BG141" i="2"/>
  <c r="BC141" i="2" s="1"/>
  <c r="BF141" i="2"/>
  <c r="BB141" i="2" s="1"/>
  <c r="BD141" i="2"/>
  <c r="AX141" i="2" l="1"/>
  <c r="AT142" i="2" s="1"/>
  <c r="BA141" i="2"/>
  <c r="AV142" i="2"/>
  <c r="AY141" i="2"/>
  <c r="AW141" i="2" l="1"/>
  <c r="AS142" i="2" s="1"/>
  <c r="AU142" i="2"/>
  <c r="BF142" i="2" l="1"/>
  <c r="BG142" i="2"/>
  <c r="BE142" i="2"/>
  <c r="AZ142" i="2" l="1"/>
  <c r="AY142" i="2"/>
  <c r="BD142" i="2"/>
  <c r="BC142" i="2"/>
  <c r="BA142" i="2"/>
  <c r="BB142" i="2"/>
  <c r="AX142" i="2" s="1"/>
  <c r="AT143" i="2" s="1"/>
  <c r="AV143" i="2" l="1"/>
  <c r="AW142" i="2"/>
  <c r="AS143" i="2" s="1"/>
  <c r="AU143" i="2" l="1"/>
  <c r="BF143" i="2" l="1"/>
  <c r="BB143" i="2" s="1"/>
  <c r="BE143" i="2"/>
  <c r="AZ143" i="2" s="1"/>
  <c r="BG143" i="2"/>
  <c r="BD143" i="2" s="1"/>
  <c r="BA143" i="2"/>
  <c r="AY143" i="2"/>
  <c r="BC143" i="2"/>
  <c r="AX143" i="2" l="1"/>
  <c r="AT144" i="2" s="1"/>
  <c r="AW143" i="2"/>
  <c r="AS144" i="2" s="1"/>
  <c r="AV144" i="2"/>
  <c r="AU144" i="2" l="1"/>
  <c r="BG144" i="2" l="1"/>
  <c r="BF144" i="2"/>
  <c r="BE144" i="2"/>
  <c r="AY144" i="2" l="1"/>
  <c r="AZ144" i="2"/>
  <c r="BA144" i="2"/>
  <c r="BB144" i="2"/>
  <c r="BD144" i="2"/>
  <c r="BC144" i="2"/>
  <c r="AX144" i="2" l="1"/>
  <c r="AT145" i="2" s="1"/>
  <c r="AW144" i="2"/>
  <c r="AS145" i="2" s="1"/>
  <c r="AU145" i="2" l="1"/>
  <c r="AV145" i="2"/>
  <c r="BG145" i="2" l="1"/>
  <c r="BE145" i="2"/>
  <c r="BF145" i="2"/>
  <c r="BB145" i="2" s="1"/>
  <c r="BA145" i="2" l="1"/>
  <c r="AZ145" i="2"/>
  <c r="AY145" i="2"/>
  <c r="BD145" i="2"/>
  <c r="BC145" i="2"/>
  <c r="AW145" i="2" l="1"/>
  <c r="AS146" i="2" s="1"/>
  <c r="AX145" i="2"/>
  <c r="AU146" i="2"/>
  <c r="AV146" i="2" l="1"/>
  <c r="AT146" i="2"/>
  <c r="BE146" i="2"/>
  <c r="AY146" i="2" s="1"/>
  <c r="BF146" i="2"/>
  <c r="BB146" i="2" s="1"/>
  <c r="BG146" i="2"/>
  <c r="BD146" i="2" s="1"/>
  <c r="AZ146" i="2"/>
  <c r="AX146" i="2" l="1"/>
  <c r="AT147" i="2" s="1"/>
  <c r="BA146" i="2"/>
  <c r="BC146" i="2"/>
  <c r="AV147" i="2"/>
  <c r="AW146" i="2" l="1"/>
  <c r="AS147" i="2" s="1"/>
  <c r="BE147" i="2"/>
  <c r="AZ147" i="2" s="1"/>
  <c r="AU147" i="2"/>
  <c r="AY147" i="2" l="1"/>
  <c r="BF147" i="2"/>
  <c r="BA147" i="2" s="1"/>
  <c r="BG147" i="2"/>
  <c r="BD147" i="2" s="1"/>
  <c r="BB147" i="2"/>
  <c r="AX147" i="2" l="1"/>
  <c r="AT148" i="2" s="1"/>
  <c r="BC147" i="2"/>
  <c r="AW147" i="2" s="1"/>
  <c r="AS148" i="2" s="1"/>
  <c r="AV148" i="2"/>
  <c r="AU148" i="2" l="1"/>
  <c r="BG148" i="2"/>
  <c r="BD148" i="2" s="1"/>
  <c r="BE148" i="2"/>
  <c r="AY148" i="2" s="1"/>
  <c r="BF148" i="2"/>
  <c r="BA148" i="2" s="1"/>
  <c r="BC148" i="2" l="1"/>
  <c r="AW148" i="2" s="1"/>
  <c r="AS149" i="2" s="1"/>
  <c r="AZ148" i="2"/>
  <c r="BB148" i="2"/>
  <c r="AU149" i="2" l="1"/>
  <c r="AX148" i="2"/>
  <c r="AT149" i="2" s="1"/>
  <c r="BE149" i="2" l="1"/>
  <c r="AV149" i="2"/>
  <c r="BG149" i="2" l="1"/>
  <c r="BC149" i="2" s="1"/>
  <c r="BF149" i="2"/>
  <c r="BA149" i="2" s="1"/>
  <c r="AY149" i="2"/>
  <c r="BD149" i="2" l="1"/>
  <c r="AW149" i="2"/>
  <c r="AS150" i="2" s="1"/>
  <c r="BB149" i="2"/>
  <c r="AZ149" i="2"/>
  <c r="AX149" i="2" l="1"/>
  <c r="AT150" i="2" s="1"/>
  <c r="AU150" i="2"/>
  <c r="AV150" i="2"/>
  <c r="BG150" i="2" l="1"/>
  <c r="BF150" i="2"/>
  <c r="BB150" i="2" s="1"/>
  <c r="BE150" i="2"/>
  <c r="AZ150" i="2" s="1"/>
  <c r="BD150" i="2"/>
  <c r="BA150" i="2"/>
  <c r="AX150" i="2" l="1"/>
  <c r="AT151" i="2" s="1"/>
  <c r="AY150" i="2"/>
  <c r="BC150" i="2"/>
  <c r="AW150" i="2" l="1"/>
  <c r="AS151" i="2" s="1"/>
  <c r="AV151" i="2"/>
  <c r="AU151" i="2" l="1"/>
  <c r="BG151" i="2"/>
  <c r="BE151" i="2" l="1"/>
  <c r="AZ151" i="2" s="1"/>
  <c r="BF151" i="2"/>
  <c r="BB151" i="2" s="1"/>
  <c r="BD151" i="2"/>
  <c r="BA151" i="2" l="1"/>
  <c r="AX151" i="2"/>
  <c r="AY151" i="2"/>
  <c r="BC151" i="2"/>
  <c r="AV152" i="2" l="1"/>
  <c r="AT152" i="2"/>
  <c r="AW151" i="2"/>
  <c r="AS152" i="2" s="1"/>
  <c r="AU152" i="2" l="1"/>
  <c r="BG152" i="2"/>
  <c r="BE152" i="2" l="1"/>
  <c r="BF152" i="2"/>
  <c r="AZ152" i="2"/>
  <c r="BD152" i="2"/>
  <c r="AY152" i="2" l="1"/>
  <c r="BA152" i="2"/>
  <c r="BB152" i="2"/>
  <c r="AX152" i="2" s="1"/>
  <c r="AT153" i="2" s="1"/>
  <c r="BC152" i="2"/>
  <c r="AV153" i="2" l="1"/>
  <c r="AW152" i="2"/>
  <c r="AS153" i="2" s="1"/>
  <c r="AU153" i="2" l="1"/>
  <c r="BG153" i="2"/>
  <c r="BE153" i="2" l="1"/>
  <c r="AZ153" i="2" s="1"/>
  <c r="BF153" i="2"/>
  <c r="BD153" i="2"/>
  <c r="AY153" i="2" l="1"/>
  <c r="BA153" i="2"/>
  <c r="BB153" i="2"/>
  <c r="AX153" i="2" s="1"/>
  <c r="AT154" i="2" s="1"/>
  <c r="BC153" i="2"/>
  <c r="AW153" i="2" l="1"/>
  <c r="AS154" i="2" s="1"/>
  <c r="AV154" i="2"/>
  <c r="BG154" i="2" l="1"/>
  <c r="AU154" i="2"/>
  <c r="BE154" i="2"/>
  <c r="BF154" i="2"/>
  <c r="BD154" i="2"/>
  <c r="AZ154" i="2"/>
  <c r="BA154" i="2"/>
  <c r="AY154" i="2"/>
  <c r="BC154" i="2" l="1"/>
  <c r="AW154" i="2" s="1"/>
  <c r="AS155" i="2" s="1"/>
  <c r="BB154" i="2"/>
  <c r="AX154" i="2" s="1"/>
  <c r="AT155" i="2" s="1"/>
  <c r="AV155" i="2" l="1"/>
  <c r="AU155" i="2"/>
  <c r="BG155" i="2" l="1"/>
  <c r="BC155" i="2" s="1"/>
  <c r="BE155" i="2"/>
  <c r="BF155" i="2"/>
  <c r="BA155" i="2" s="1"/>
  <c r="AY155" i="2"/>
  <c r="BB155" i="2"/>
  <c r="AZ155" i="2"/>
  <c r="BD155" i="2" l="1"/>
  <c r="AW155" i="2"/>
  <c r="AS156" i="2" s="1"/>
  <c r="AX155" i="2"/>
  <c r="AT156" i="2" s="1"/>
  <c r="AV156" i="2" l="1"/>
  <c r="BG156" i="2"/>
  <c r="AU156" i="2"/>
  <c r="BE156" i="2" l="1"/>
  <c r="BF156" i="2"/>
  <c r="BA156" i="2" s="1"/>
  <c r="BD156" i="2"/>
  <c r="AZ156" i="2"/>
  <c r="AY156" i="2"/>
  <c r="BC156" i="2" l="1"/>
  <c r="AW156" i="2" s="1"/>
  <c r="AS157" i="2" s="1"/>
  <c r="BB156" i="2"/>
  <c r="AX156" i="2" s="1"/>
  <c r="AT157" i="2" s="1"/>
  <c r="AV157" i="2" l="1"/>
  <c r="BG157" i="2"/>
  <c r="AU157" i="2"/>
  <c r="BE157" i="2" l="1"/>
  <c r="BF157" i="2"/>
  <c r="AY157" i="2"/>
  <c r="BC157" i="2"/>
  <c r="BA157" i="2"/>
  <c r="BB157" i="2"/>
  <c r="AZ157" i="2"/>
  <c r="BD157" i="2" l="1"/>
  <c r="AX157" i="2" s="1"/>
  <c r="AT158" i="2" s="1"/>
  <c r="AW157" i="2"/>
  <c r="AS158" i="2" s="1"/>
  <c r="AU158" i="2" l="1"/>
  <c r="AV158" i="2"/>
  <c r="BG158" i="2" l="1"/>
  <c r="BF158" i="2"/>
  <c r="BE158" i="2"/>
  <c r="AY158" i="2" s="1"/>
  <c r="BC158" i="2"/>
  <c r="BA158" i="2"/>
  <c r="BB158" i="2"/>
  <c r="AZ158" i="2"/>
  <c r="BD158" i="2" l="1"/>
  <c r="AX158" i="2" s="1"/>
  <c r="AT159" i="2" s="1"/>
  <c r="AW158" i="2"/>
  <c r="AS159" i="2" s="1"/>
  <c r="AV159" i="2" l="1"/>
  <c r="BG159" i="2"/>
  <c r="AU159" i="2"/>
  <c r="BE159" i="2" l="1"/>
  <c r="BF159" i="2"/>
  <c r="AZ159" i="2"/>
  <c r="BD159" i="2"/>
  <c r="AY159" i="2"/>
  <c r="BA159" i="2" l="1"/>
  <c r="BB159" i="2"/>
  <c r="AX159" i="2" s="1"/>
  <c r="AT160" i="2" s="1"/>
  <c r="BC159" i="2"/>
  <c r="AW159" i="2" l="1"/>
  <c r="AS160" i="2" s="1"/>
  <c r="AU160" i="2"/>
  <c r="AV160" i="2"/>
  <c r="BG160" i="2" l="1"/>
  <c r="BF160" i="2"/>
  <c r="BE160" i="2"/>
  <c r="AY160" i="2" s="1"/>
  <c r="BC160" i="2"/>
  <c r="BA160" i="2"/>
  <c r="AZ160" i="2"/>
  <c r="BB160" i="2"/>
  <c r="BD160" i="2" l="1"/>
  <c r="AX160" i="2" s="1"/>
  <c r="AT161" i="2" s="1"/>
  <c r="AW160" i="2"/>
  <c r="AS161" i="2" s="1"/>
  <c r="AV161" i="2" l="1"/>
  <c r="BG161" i="2"/>
  <c r="AU161" i="2"/>
  <c r="BE161" i="2" l="1"/>
  <c r="BF161" i="2"/>
  <c r="BD161" i="2"/>
  <c r="AZ161" i="2"/>
  <c r="AY161" i="2"/>
  <c r="BA161" i="2"/>
  <c r="BB161" i="2"/>
  <c r="AX161" i="2" l="1"/>
  <c r="BC161" i="2"/>
  <c r="AW161" i="2" s="1"/>
  <c r="AS162" i="2" s="1"/>
  <c r="AV162" i="2" l="1"/>
  <c r="AT162" i="2"/>
  <c r="BG162" i="2"/>
  <c r="AU162" i="2"/>
  <c r="BE162" i="2" l="1"/>
  <c r="BF162" i="2"/>
  <c r="BD162" i="2"/>
  <c r="AZ162" i="2"/>
  <c r="AY162" i="2"/>
  <c r="BA162" i="2" l="1"/>
  <c r="BB162" i="2"/>
  <c r="AX162" i="2" s="1"/>
  <c r="AT163" i="2" s="1"/>
  <c r="BC162" i="2"/>
  <c r="AW162" i="2" s="1"/>
  <c r="AS163" i="2" s="1"/>
  <c r="AU163" i="2" l="1"/>
  <c r="AV163" i="2"/>
  <c r="BG163" i="2" l="1"/>
  <c r="BF163" i="2"/>
  <c r="BA163" i="2" s="1"/>
  <c r="BE163" i="2"/>
  <c r="BD163" i="2"/>
  <c r="AZ163" i="2"/>
  <c r="AY163" i="2"/>
  <c r="BC163" i="2" l="1"/>
  <c r="AW163" i="2" s="1"/>
  <c r="AS164" i="2" s="1"/>
  <c r="BB163" i="2"/>
  <c r="AX163" i="2" s="1"/>
  <c r="AT164" i="2" s="1"/>
  <c r="AV164" i="2" l="1"/>
  <c r="BG164" i="2"/>
  <c r="AU164" i="2"/>
  <c r="BE164" i="2" l="1"/>
  <c r="BF164" i="2"/>
  <c r="BA164" i="2" s="1"/>
  <c r="BC164" i="2"/>
  <c r="AY164" i="2"/>
  <c r="BB164" i="2"/>
  <c r="AZ164" i="2"/>
  <c r="BD164" i="2" l="1"/>
  <c r="AX164" i="2" s="1"/>
  <c r="AT165" i="2" s="1"/>
  <c r="AW164" i="2"/>
  <c r="AS165" i="2" s="1"/>
  <c r="AV165" i="2" l="1"/>
  <c r="BG165" i="2"/>
  <c r="AU165" i="2"/>
  <c r="BE165" i="2" l="1"/>
  <c r="BF165" i="2"/>
  <c r="AZ165" i="2"/>
  <c r="BD165" i="2"/>
  <c r="AY165" i="2"/>
  <c r="BA165" i="2" l="1"/>
  <c r="BB165" i="2"/>
  <c r="AX165" i="2" s="1"/>
  <c r="AT166" i="2" s="1"/>
  <c r="BC165" i="2"/>
  <c r="AW165" i="2" s="1"/>
  <c r="AS166" i="2" s="1"/>
  <c r="AU166" i="2" l="1"/>
  <c r="AV166" i="2"/>
  <c r="BG166" i="2" l="1"/>
  <c r="BF166" i="2"/>
  <c r="BE166" i="2"/>
  <c r="AZ166" i="2" s="1"/>
  <c r="BD166" i="2"/>
  <c r="BA166" i="2"/>
  <c r="BB166" i="2"/>
  <c r="AY166" i="2" l="1"/>
  <c r="AX166" i="2"/>
  <c r="BC166" i="2"/>
  <c r="AW166" i="2" s="1"/>
  <c r="AS167" i="2" s="1"/>
  <c r="AV167" i="2" l="1"/>
  <c r="AT167" i="2"/>
  <c r="AU167" i="2"/>
  <c r="BG167" i="2"/>
  <c r="BE167" i="2" l="1"/>
  <c r="BF167" i="2"/>
  <c r="BD167" i="2"/>
  <c r="AZ167" i="2"/>
  <c r="AY167" i="2" l="1"/>
  <c r="BA167" i="2"/>
  <c r="BB167" i="2"/>
  <c r="AX167" i="2" s="1"/>
  <c r="AT168" i="2" s="1"/>
  <c r="BC167" i="2"/>
  <c r="AV168" i="2" l="1"/>
  <c r="AW167" i="2"/>
  <c r="AS168" i="2" s="1"/>
  <c r="AU168" i="2" l="1"/>
  <c r="BG168" i="2"/>
  <c r="BE168" i="2" l="1"/>
  <c r="BF168" i="2"/>
  <c r="BD168" i="2"/>
  <c r="AZ168" i="2"/>
  <c r="BA168" i="2" l="1"/>
  <c r="BB168" i="2"/>
  <c r="AX168" i="2" s="1"/>
  <c r="AT169" i="2" s="1"/>
  <c r="AY168" i="2"/>
  <c r="BC168" i="2"/>
  <c r="AV169" i="2" l="1"/>
  <c r="AW168" i="2"/>
  <c r="AS169" i="2" s="1"/>
  <c r="AU169" i="2" l="1"/>
  <c r="BG169" i="2"/>
  <c r="BE169" i="2" l="1"/>
  <c r="BF169" i="2"/>
  <c r="BD169" i="2"/>
  <c r="AY169" i="2" l="1"/>
  <c r="AZ169" i="2"/>
  <c r="BA169" i="2"/>
  <c r="BB169" i="2"/>
  <c r="BC169" i="2"/>
  <c r="AX169" i="2" l="1"/>
  <c r="AT170" i="2" s="1"/>
  <c r="AW169" i="2"/>
  <c r="AS170" i="2" s="1"/>
  <c r="AU170" i="2" l="1"/>
  <c r="AV170" i="2"/>
  <c r="BG170" i="2" l="1"/>
  <c r="BF170" i="2"/>
  <c r="BA170" i="2" s="1"/>
  <c r="BE170" i="2"/>
  <c r="BC170" i="2"/>
  <c r="AY170" i="2"/>
  <c r="BB170" i="2"/>
  <c r="AZ170" i="2"/>
  <c r="BD170" i="2" l="1"/>
  <c r="AX170" i="2" s="1"/>
  <c r="AT171" i="2" s="1"/>
  <c r="AW170" i="2"/>
  <c r="AS171" i="2" s="1"/>
  <c r="AV171" i="2" l="1"/>
  <c r="BG171" i="2"/>
  <c r="AU171" i="2"/>
  <c r="BE171" i="2" l="1"/>
  <c r="BF171" i="2"/>
  <c r="BD171" i="2"/>
  <c r="AY171" i="2" l="1"/>
  <c r="AZ171" i="2"/>
  <c r="BA171" i="2"/>
  <c r="BB171" i="2"/>
  <c r="BC171" i="2"/>
  <c r="AX171" i="2" l="1"/>
  <c r="AT172" i="2" s="1"/>
  <c r="AW171" i="2"/>
  <c r="AS172" i="2" s="1"/>
  <c r="AU172" i="2" l="1"/>
  <c r="AV172" i="2"/>
  <c r="BG172" i="2" l="1"/>
  <c r="BC172" i="2" s="1"/>
  <c r="BF172" i="2"/>
  <c r="BA172" i="2" s="1"/>
  <c r="BE172" i="2"/>
  <c r="AZ172" i="2" s="1"/>
  <c r="BB172" i="2"/>
  <c r="AY172" i="2" l="1"/>
  <c r="BD172" i="2"/>
  <c r="AX172" i="2" s="1"/>
  <c r="AT173" i="2" s="1"/>
  <c r="AW172" i="2"/>
  <c r="AS173" i="2" s="1"/>
  <c r="AV173" i="2" l="1"/>
  <c r="BG173" i="2"/>
  <c r="AU173" i="2"/>
  <c r="BE173" i="2" l="1"/>
  <c r="BF173" i="2"/>
  <c r="BA173" i="2" s="1"/>
  <c r="AY173" i="2"/>
  <c r="BD173" i="2"/>
  <c r="AZ173" i="2"/>
  <c r="BB173" i="2"/>
  <c r="AX173" i="2" l="1"/>
  <c r="AT174" i="2" s="1"/>
  <c r="BC173" i="2"/>
  <c r="AW173" i="2" s="1"/>
  <c r="AS174" i="2" s="1"/>
  <c r="AV174" i="2" l="1"/>
  <c r="AU174" i="2"/>
  <c r="BG174" i="2"/>
  <c r="BE174" i="2" l="1"/>
  <c r="AY174" i="2" s="1"/>
  <c r="BF174" i="2"/>
  <c r="BB174" i="2" s="1"/>
  <c r="BD174" i="2"/>
  <c r="BA174" i="2" l="1"/>
  <c r="AZ174" i="2"/>
  <c r="AX174" i="2" s="1"/>
  <c r="AT175" i="2" s="1"/>
  <c r="BC174" i="2"/>
  <c r="AW174" i="2" s="1"/>
  <c r="AS175" i="2" s="1"/>
  <c r="AU175" i="2" l="1"/>
  <c r="AV175" i="2"/>
  <c r="BG175" i="2" l="1"/>
  <c r="BD175" i="2" s="1"/>
  <c r="BF175" i="2"/>
  <c r="BE175" i="2"/>
  <c r="AZ175" i="2" s="1"/>
  <c r="BA175" i="2"/>
  <c r="AY175" i="2"/>
  <c r="BC175" i="2" l="1"/>
  <c r="AW175" i="2" s="1"/>
  <c r="AS176" i="2" s="1"/>
  <c r="BB175" i="2"/>
  <c r="AX175" i="2" s="1"/>
  <c r="AT176" i="2" s="1"/>
  <c r="AV176" i="2" l="1"/>
  <c r="AU176" i="2"/>
  <c r="BG176" i="2" l="1"/>
  <c r="BC176" i="2" s="1"/>
  <c r="BE176" i="2"/>
  <c r="AY176" i="2" s="1"/>
  <c r="BF176" i="2"/>
  <c r="BA176" i="2" s="1"/>
  <c r="BB176" i="2"/>
  <c r="AZ176" i="2"/>
  <c r="BD176" i="2" l="1"/>
  <c r="AX176" i="2" s="1"/>
  <c r="AT177" i="2" s="1"/>
  <c r="AW176" i="2"/>
  <c r="AS177" i="2" s="1"/>
  <c r="AU177" i="2" l="1"/>
  <c r="AV177" i="2"/>
  <c r="BG177" i="2" l="1"/>
  <c r="BF177" i="2"/>
  <c r="BE177" i="2"/>
  <c r="BC177" i="2"/>
  <c r="BA177" i="2"/>
  <c r="AY177" i="2"/>
  <c r="AZ177" i="2"/>
  <c r="BB177" i="2"/>
  <c r="BD177" i="2" l="1"/>
  <c r="AX177" i="2" s="1"/>
  <c r="AT178" i="2" s="1"/>
  <c r="AW177" i="2"/>
  <c r="AS178" i="2" s="1"/>
  <c r="AV178" i="2" l="1"/>
  <c r="AU178" i="2"/>
  <c r="BG178" i="2" l="1"/>
  <c r="BC178" i="2" s="1"/>
  <c r="BE178" i="2"/>
  <c r="BF178" i="2"/>
  <c r="BA178" i="2" s="1"/>
  <c r="AZ178" i="2"/>
  <c r="BB178" i="2"/>
  <c r="BD178" i="2" l="1"/>
  <c r="AX178" i="2" s="1"/>
  <c r="AT179" i="2" s="1"/>
  <c r="AY178" i="2"/>
  <c r="AW178" i="2" s="1"/>
  <c r="AS179" i="2" s="1"/>
  <c r="AU179" i="2" l="1"/>
  <c r="AV179" i="2"/>
  <c r="BG179" i="2" l="1"/>
  <c r="BF179" i="2"/>
  <c r="BE179" i="2"/>
  <c r="AY179" i="2" s="1"/>
  <c r="BD179" i="2"/>
  <c r="BA179" i="2"/>
  <c r="BB179" i="2" l="1"/>
  <c r="BC179" i="2"/>
  <c r="AW179" i="2" s="1"/>
  <c r="AS180" i="2" s="1"/>
  <c r="AZ179" i="2"/>
  <c r="AX179" i="2" l="1"/>
  <c r="AT180" i="2" s="1"/>
  <c r="AU180" i="2"/>
  <c r="AV180" i="2"/>
  <c r="BG180" i="2" l="1"/>
  <c r="BC180" i="2" s="1"/>
  <c r="BF180" i="2"/>
  <c r="BA180" i="2" s="1"/>
  <c r="BE180" i="2"/>
  <c r="AY180" i="2" s="1"/>
  <c r="BB180" i="2"/>
  <c r="AZ180" i="2" l="1"/>
  <c r="BD180" i="2"/>
  <c r="AX180" i="2" s="1"/>
  <c r="AT181" i="2" s="1"/>
  <c r="AW180" i="2"/>
  <c r="AS181" i="2" s="1"/>
  <c r="AV181" i="2" l="1"/>
  <c r="BG181" i="2"/>
  <c r="AU181" i="2"/>
  <c r="BE181" i="2" l="1"/>
  <c r="AY181" i="2" s="1"/>
  <c r="BF181" i="2"/>
  <c r="BD181" i="2"/>
  <c r="BA181" i="2"/>
  <c r="AZ181" i="2" l="1"/>
  <c r="BC181" i="2"/>
  <c r="AW181" i="2" s="1"/>
  <c r="AS182" i="2" s="1"/>
  <c r="BB181" i="2"/>
  <c r="AU182" i="2" l="1"/>
  <c r="AX181" i="2"/>
  <c r="AT182" i="2" s="1"/>
  <c r="BE182" i="2" l="1"/>
  <c r="AV182" i="2"/>
  <c r="BG182" i="2" l="1"/>
  <c r="BC182" i="2" s="1"/>
  <c r="BF182" i="2"/>
  <c r="BA182" i="2" s="1"/>
  <c r="AY182" i="2"/>
  <c r="AW182" i="2" l="1"/>
  <c r="BD182" i="2"/>
  <c r="AZ182" i="2"/>
  <c r="BB182" i="2"/>
  <c r="AU183" i="2" l="1"/>
  <c r="AS183" i="2"/>
  <c r="AX182" i="2"/>
  <c r="AT183" i="2" s="1"/>
  <c r="BG183" i="2" l="1"/>
  <c r="AV183" i="2"/>
  <c r="BE183" i="2" l="1"/>
  <c r="BF183" i="2"/>
  <c r="BA183" i="2" s="1"/>
  <c r="BC183" i="2"/>
  <c r="BD183" i="2" l="1"/>
  <c r="AZ183" i="2"/>
  <c r="AY183" i="2"/>
  <c r="AW183" i="2" s="1"/>
  <c r="AS184" i="2" s="1"/>
  <c r="BB183" i="2"/>
  <c r="AX183" i="2" l="1"/>
  <c r="AT184" i="2" s="1"/>
  <c r="AU184" i="2"/>
  <c r="AV184" i="2" l="1"/>
  <c r="BG184" i="2"/>
  <c r="BF184" i="2"/>
  <c r="BE184" i="2"/>
  <c r="BD184" i="2"/>
  <c r="BA184" i="2"/>
  <c r="AZ184" i="2"/>
  <c r="AY184" i="2"/>
  <c r="BC184" i="2" l="1"/>
  <c r="AW184" i="2" s="1"/>
  <c r="AS185" i="2" s="1"/>
  <c r="BB184" i="2"/>
  <c r="AX184" i="2" s="1"/>
  <c r="AT185" i="2" s="1"/>
  <c r="AV185" i="2" l="1"/>
  <c r="BG185" i="2"/>
  <c r="AU185" i="2"/>
  <c r="BE185" i="2" l="1"/>
  <c r="AY185" i="2" s="1"/>
  <c r="BF185" i="2"/>
  <c r="BA185" i="2" s="1"/>
  <c r="BC185" i="2"/>
  <c r="BB185" i="2"/>
  <c r="AZ185" i="2" l="1"/>
  <c r="BD185" i="2"/>
  <c r="AW185" i="2"/>
  <c r="AS186" i="2" s="1"/>
  <c r="AX185" i="2" l="1"/>
  <c r="AT186" i="2" s="1"/>
  <c r="AU186" i="2"/>
  <c r="AV186" i="2" l="1"/>
  <c r="BG186" i="2"/>
  <c r="BD186" i="2" s="1"/>
  <c r="BF186" i="2"/>
  <c r="BE186" i="2"/>
  <c r="AY186" i="2" s="1"/>
  <c r="BA186" i="2"/>
  <c r="BC186" i="2" l="1"/>
  <c r="AW186" i="2" s="1"/>
  <c r="AS187" i="2" s="1"/>
  <c r="BB186" i="2"/>
  <c r="AZ186" i="2"/>
  <c r="AX186" i="2" l="1"/>
  <c r="AT187" i="2" s="1"/>
  <c r="AU187" i="2"/>
  <c r="AV187" i="2" l="1"/>
  <c r="BG187" i="2"/>
  <c r="BF187" i="2"/>
  <c r="BE187" i="2"/>
  <c r="AZ187" i="2" s="1"/>
  <c r="BA187" i="2"/>
  <c r="BD187" i="2"/>
  <c r="AY187" i="2"/>
  <c r="BC187" i="2" l="1"/>
  <c r="AW187" i="2" s="1"/>
  <c r="AS188" i="2" s="1"/>
  <c r="BB187" i="2"/>
  <c r="AX187" i="2" s="1"/>
  <c r="AT188" i="2" s="1"/>
  <c r="AV188" i="2" l="1"/>
  <c r="AU188" i="2"/>
  <c r="BG188" i="2" l="1"/>
  <c r="BC188" i="2" s="1"/>
  <c r="BE188" i="2"/>
  <c r="BF188" i="2"/>
  <c r="BA188" i="2" s="1"/>
  <c r="AY188" i="2"/>
  <c r="AZ188" i="2"/>
  <c r="BB188" i="2"/>
  <c r="AW188" i="2" l="1"/>
  <c r="AS189" i="2" s="1"/>
  <c r="BD188" i="2"/>
  <c r="AX188" i="2" s="1"/>
  <c r="AT189" i="2" s="1"/>
  <c r="AU189" i="2" l="1"/>
  <c r="AV189" i="2"/>
  <c r="BE189" i="2"/>
  <c r="AY189" i="2" s="1"/>
  <c r="BG189" i="2" l="1"/>
  <c r="BD189" i="2" s="1"/>
  <c r="BF189" i="2"/>
  <c r="BA189" i="2" s="1"/>
  <c r="AZ189" i="2"/>
  <c r="BB189" i="2"/>
  <c r="BC189" i="2" l="1"/>
  <c r="AW189" i="2" s="1"/>
  <c r="AS190" i="2" s="1"/>
  <c r="AX189" i="2"/>
  <c r="AT190" i="2" s="1"/>
  <c r="AU190" i="2" l="1"/>
  <c r="BE190" i="2"/>
  <c r="AZ190" i="2" s="1"/>
  <c r="AV190" i="2"/>
  <c r="BG190" i="2" l="1"/>
  <c r="BC190" i="2" s="1"/>
  <c r="BF190" i="2"/>
  <c r="BA190" i="2" s="1"/>
  <c r="AY190" i="2"/>
  <c r="BB190" i="2" l="1"/>
  <c r="BD190" i="2"/>
  <c r="AX190" i="2" s="1"/>
  <c r="AT191" i="2" s="1"/>
  <c r="AW190" i="2"/>
  <c r="AU191" i="2" l="1"/>
  <c r="AS191" i="2"/>
  <c r="AV191" i="2"/>
  <c r="BE191" i="2"/>
  <c r="BG191" i="2" l="1"/>
  <c r="BD191" i="2" s="1"/>
  <c r="BF191" i="2"/>
  <c r="BA191" i="2" s="1"/>
  <c r="BB191" i="2" l="1"/>
  <c r="AZ191" i="2"/>
  <c r="AY191" i="2"/>
  <c r="BC191" i="2"/>
  <c r="AX191" i="2" l="1"/>
  <c r="AT192" i="2" s="1"/>
  <c r="AW191" i="2"/>
  <c r="AS192" i="2" s="1"/>
  <c r="AU192" i="2"/>
  <c r="AV192" i="2" l="1"/>
  <c r="BG192" i="2"/>
  <c r="BF192" i="2"/>
  <c r="BE192" i="2"/>
  <c r="BC192" i="2"/>
  <c r="BA192" i="2"/>
  <c r="AY192" i="2"/>
  <c r="AZ192" i="2"/>
  <c r="BB192" i="2"/>
  <c r="BD192" i="2" l="1"/>
  <c r="AX192" i="2" s="1"/>
  <c r="AT193" i="2" s="1"/>
  <c r="AW192" i="2"/>
  <c r="AS193" i="2" s="1"/>
  <c r="AV193" i="2" l="1"/>
  <c r="AU193" i="2"/>
  <c r="BG193" i="2" l="1"/>
  <c r="BC193" i="2" s="1"/>
  <c r="BE193" i="2"/>
  <c r="BF193" i="2"/>
  <c r="BA193" i="2" s="1"/>
  <c r="AY193" i="2"/>
  <c r="BB193" i="2" l="1"/>
  <c r="BD193" i="2"/>
  <c r="AW193" i="2"/>
  <c r="AS194" i="2" s="1"/>
  <c r="AZ193" i="2"/>
  <c r="AX193" i="2" l="1"/>
  <c r="AU194" i="2"/>
  <c r="AV194" i="2" l="1"/>
  <c r="AT194" i="2"/>
  <c r="BG194" i="2"/>
  <c r="BC194" i="2" s="1"/>
  <c r="BE194" i="2"/>
  <c r="BF194" i="2"/>
  <c r="BA194" i="2" s="1"/>
  <c r="AY194" i="2"/>
  <c r="AZ194" i="2"/>
  <c r="BB194" i="2"/>
  <c r="BD194" i="2" l="1"/>
  <c r="AX194" i="2" s="1"/>
  <c r="AT195" i="2" s="1"/>
  <c r="AW194" i="2"/>
  <c r="AS195" i="2" s="1"/>
  <c r="AU195" i="2" l="1"/>
  <c r="AV195" i="2"/>
  <c r="BG195" i="2" l="1"/>
  <c r="BD195" i="2" s="1"/>
  <c r="BF195" i="2"/>
  <c r="BE195" i="2"/>
  <c r="AZ195" i="2" s="1"/>
  <c r="BB195" i="2"/>
  <c r="BA195" i="2"/>
  <c r="AY195" i="2" l="1"/>
  <c r="AX195" i="2"/>
  <c r="AT196" i="2" s="1"/>
  <c r="BC195" i="2"/>
  <c r="AW195" i="2" s="1"/>
  <c r="AS196" i="2" s="1"/>
  <c r="AU196" i="2" l="1"/>
  <c r="AV196" i="2"/>
  <c r="BG196" i="2" l="1"/>
  <c r="BD196" i="2" s="1"/>
  <c r="BF196" i="2"/>
  <c r="BE196" i="2"/>
  <c r="AY196" i="2" s="1"/>
  <c r="BA196" i="2"/>
  <c r="BC196" i="2" l="1"/>
  <c r="AW196" i="2" s="1"/>
  <c r="AS197" i="2" s="1"/>
  <c r="AZ196" i="2"/>
  <c r="BB196" i="2"/>
  <c r="AU197" i="2" l="1"/>
  <c r="AX196" i="2"/>
  <c r="AT197" i="2" s="1"/>
  <c r="AV197" i="2" l="1"/>
  <c r="BE197" i="2"/>
  <c r="AY197" i="2" s="1"/>
  <c r="BG197" i="2" l="1"/>
  <c r="BF197" i="2"/>
  <c r="BA197" i="2" s="1"/>
  <c r="BC197" i="2"/>
  <c r="BB197" i="2"/>
  <c r="AZ197" i="2"/>
  <c r="AW197" i="2" l="1"/>
  <c r="AS198" i="2" s="1"/>
  <c r="BD197" i="2"/>
  <c r="AU198" i="2"/>
  <c r="AX197" i="2"/>
  <c r="AT198" i="2" s="1"/>
  <c r="BE198" i="2" l="1"/>
  <c r="AY198" i="2" s="1"/>
  <c r="AV198" i="2"/>
  <c r="BG198" i="2" l="1"/>
  <c r="BC198" i="2" s="1"/>
  <c r="BF198" i="2"/>
  <c r="BA198" i="2" s="1"/>
  <c r="AW198" i="2" s="1"/>
  <c r="AS199" i="2" s="1"/>
  <c r="BD198" i="2"/>
  <c r="AZ198" i="2"/>
  <c r="BB198" i="2"/>
  <c r="AX198" i="2" l="1"/>
  <c r="AU199" i="2"/>
  <c r="AV199" i="2" l="1"/>
  <c r="AT199" i="2"/>
  <c r="BG199" i="2"/>
  <c r="BD199" i="2" s="1"/>
  <c r="BF199" i="2" l="1"/>
  <c r="BB199" i="2" s="1"/>
  <c r="BE199" i="2"/>
  <c r="AY199" i="2" s="1"/>
  <c r="BC199" i="2"/>
  <c r="AZ199" i="2" l="1"/>
  <c r="BA199" i="2"/>
  <c r="AW199" i="2" s="1"/>
  <c r="AS200" i="2" s="1"/>
  <c r="AX199" i="2"/>
  <c r="AV200" i="2" l="1"/>
  <c r="AT200" i="2"/>
  <c r="AU200" i="2"/>
  <c r="BG200" i="2"/>
  <c r="BE200" i="2" l="1"/>
  <c r="BF200" i="2"/>
  <c r="BD200" i="2"/>
  <c r="AY200" i="2" l="1"/>
  <c r="AZ200" i="2"/>
  <c r="BA200" i="2"/>
  <c r="BB200" i="2"/>
  <c r="BC200" i="2"/>
  <c r="AX200" i="2" l="1"/>
  <c r="AT201" i="2" s="1"/>
  <c r="AW200" i="2"/>
  <c r="AS201" i="2" s="1"/>
  <c r="AU201" i="2" l="1"/>
  <c r="AV201" i="2"/>
  <c r="BG201" i="2" l="1"/>
  <c r="BF201" i="2"/>
  <c r="BA201" i="2" s="1"/>
  <c r="BE201" i="2"/>
  <c r="BD201" i="2"/>
  <c r="AZ201" i="2"/>
  <c r="AY201" i="2" l="1"/>
  <c r="BB201" i="2"/>
  <c r="AX201" i="2" s="1"/>
  <c r="AT202" i="2" s="1"/>
  <c r="BC201" i="2"/>
  <c r="AV202" i="2" l="1"/>
  <c r="AW201" i="2"/>
  <c r="AS202" i="2" s="1"/>
  <c r="AU202" i="2" l="1"/>
  <c r="BG202" i="2"/>
  <c r="BE202" i="2" l="1"/>
  <c r="BF202" i="2"/>
  <c r="BD202" i="2"/>
  <c r="BA202" i="2" l="1"/>
  <c r="BB202" i="2"/>
  <c r="AY202" i="2"/>
  <c r="AZ202" i="2"/>
  <c r="BC202" i="2"/>
  <c r="AX202" i="2" l="1"/>
  <c r="AT203" i="2" s="1"/>
  <c r="AV203" i="2"/>
  <c r="AW202" i="2"/>
  <c r="AS203" i="2" s="1"/>
  <c r="BG203" i="2" l="1"/>
  <c r="AU203" i="2"/>
  <c r="BE203" i="2" l="1"/>
  <c r="BF203" i="2"/>
  <c r="BD203" i="2"/>
  <c r="AY203" i="2" l="1"/>
  <c r="AZ203" i="2"/>
  <c r="BA203" i="2"/>
  <c r="BB203" i="2"/>
  <c r="BC203" i="2"/>
  <c r="AX203" i="2" l="1"/>
  <c r="AT204" i="2" s="1"/>
  <c r="AW203" i="2"/>
  <c r="AS204" i="2" s="1"/>
  <c r="AU204" i="2" l="1"/>
  <c r="AV204" i="2"/>
  <c r="BG204" i="2" l="1"/>
  <c r="BF204" i="2"/>
  <c r="BE204" i="2"/>
  <c r="AY204" i="2" s="1"/>
  <c r="BC204" i="2"/>
  <c r="BA204" i="2"/>
  <c r="BD204" i="2" l="1"/>
  <c r="AW204" i="2"/>
  <c r="AS205" i="2" s="1"/>
  <c r="AZ204" i="2"/>
  <c r="BB204" i="2"/>
  <c r="AX204" i="2" l="1"/>
  <c r="AU205" i="2"/>
  <c r="AV205" i="2" l="1"/>
  <c r="AT205" i="2"/>
  <c r="BG205" i="2"/>
  <c r="BC205" i="2" s="1"/>
  <c r="BF205" i="2" l="1"/>
  <c r="BA205" i="2" s="1"/>
  <c r="BE205" i="2"/>
  <c r="BB205" i="2"/>
  <c r="BD205" i="2"/>
  <c r="AY205" i="2" l="1"/>
  <c r="AW205" i="2" s="1"/>
  <c r="AS206" i="2" s="1"/>
  <c r="AZ205" i="2"/>
  <c r="AX205" i="2" s="1"/>
  <c r="AT206" i="2" s="1"/>
  <c r="AU206" i="2"/>
  <c r="AV206" i="2" l="1"/>
  <c r="BG206" i="2"/>
  <c r="BD206" i="2" s="1"/>
  <c r="BF206" i="2"/>
  <c r="BE206" i="2"/>
  <c r="AZ206" i="2" s="1"/>
  <c r="BB206" i="2"/>
  <c r="AY206" i="2"/>
  <c r="AX206" i="2" l="1"/>
  <c r="AT207" i="2" s="1"/>
  <c r="BA206" i="2"/>
  <c r="BC206" i="2"/>
  <c r="AW206" i="2" l="1"/>
  <c r="AV207" i="2"/>
  <c r="AU207" i="2" l="1"/>
  <c r="AS207" i="2"/>
  <c r="BG207" i="2"/>
  <c r="BF207" i="2"/>
  <c r="BE207" i="2"/>
  <c r="BD207" i="2"/>
  <c r="BA207" i="2"/>
  <c r="AZ207" i="2" l="1"/>
  <c r="AY207" i="2"/>
  <c r="BB207" i="2"/>
  <c r="BC207" i="2"/>
  <c r="AW207" i="2" l="1"/>
  <c r="AS208" i="2" s="1"/>
  <c r="AX207" i="2"/>
  <c r="AT208" i="2" s="1"/>
  <c r="AV208" i="2" l="1"/>
  <c r="AU208" i="2"/>
  <c r="BG208" i="2"/>
  <c r="BE208" i="2" l="1"/>
  <c r="BF208" i="2"/>
  <c r="BB208" i="2" s="1"/>
  <c r="AZ208" i="2"/>
  <c r="BC208" i="2"/>
  <c r="BA208" i="2"/>
  <c r="BD208" i="2" l="1"/>
  <c r="AY208" i="2"/>
  <c r="AW208" i="2" s="1"/>
  <c r="AS209" i="2" s="1"/>
  <c r="AX208" i="2"/>
  <c r="AT209" i="2" s="1"/>
  <c r="AU209" i="2" l="1"/>
  <c r="AV209" i="2"/>
  <c r="BG209" i="2" l="1"/>
  <c r="BF209" i="2"/>
  <c r="BE209" i="2"/>
  <c r="BD209" i="2"/>
  <c r="BA209" i="2"/>
  <c r="AY209" i="2"/>
  <c r="AZ209" i="2" l="1"/>
  <c r="BC209" i="2"/>
  <c r="AW209" i="2" s="1"/>
  <c r="AS210" i="2" s="1"/>
  <c r="BB209" i="2"/>
  <c r="AU210" i="2" l="1"/>
  <c r="AX209" i="2"/>
  <c r="AT210" i="2" s="1"/>
  <c r="BE210" i="2" l="1"/>
  <c r="AV210" i="2"/>
  <c r="BG210" i="2" l="1"/>
  <c r="BF210" i="2"/>
  <c r="AY210" i="2"/>
  <c r="AZ210" i="2"/>
  <c r="BC210" i="2"/>
  <c r="BA210" i="2"/>
  <c r="AW210" i="2" l="1"/>
  <c r="BD210" i="2"/>
  <c r="BB210" i="2"/>
  <c r="AU211" i="2" l="1"/>
  <c r="AS211" i="2"/>
  <c r="AX210" i="2"/>
  <c r="AT211" i="2" s="1"/>
  <c r="AV211" i="2" l="1"/>
  <c r="BE211" i="2"/>
  <c r="AY211" i="2" s="1"/>
  <c r="BG211" i="2"/>
  <c r="BF211" i="2"/>
  <c r="BA211" i="2" s="1"/>
  <c r="BC211" i="2"/>
  <c r="BB211" i="2" l="1"/>
  <c r="AZ211" i="2"/>
  <c r="AW211" i="2"/>
  <c r="BD211" i="2"/>
  <c r="AU212" i="2" l="1"/>
  <c r="AS212" i="2"/>
  <c r="AX211" i="2"/>
  <c r="AT212" i="2" s="1"/>
  <c r="BE212" i="2" l="1"/>
  <c r="AV212" i="2"/>
  <c r="BG212" i="2"/>
  <c r="BC212" i="2" s="1"/>
  <c r="BF212" i="2"/>
  <c r="AY212" i="2"/>
  <c r="BA212" i="2"/>
  <c r="BD212" i="2" l="1"/>
  <c r="AW212" i="2"/>
  <c r="AS213" i="2" s="1"/>
  <c r="AZ212" i="2"/>
  <c r="BB212" i="2"/>
  <c r="AX212" i="2" l="1"/>
  <c r="AT213" i="2" s="1"/>
  <c r="AU213" i="2"/>
  <c r="BE213" i="2" l="1"/>
  <c r="AV213" i="2"/>
  <c r="BG213" i="2" l="1"/>
  <c r="BC213" i="2" s="1"/>
  <c r="BF213" i="2"/>
  <c r="BA213" i="2" s="1"/>
  <c r="AY213" i="2"/>
  <c r="BB213" i="2" l="1"/>
  <c r="AW213" i="2"/>
  <c r="AS214" i="2" s="1"/>
  <c r="BD213" i="2"/>
  <c r="AZ213" i="2"/>
  <c r="AX213" i="2" l="1"/>
  <c r="AT214" i="2" s="1"/>
  <c r="AU214" i="2"/>
  <c r="AV214" i="2"/>
  <c r="BE214" i="2"/>
  <c r="BG214" i="2" l="1"/>
  <c r="BF214" i="2"/>
  <c r="BD214" i="2"/>
  <c r="AY214" i="2" l="1"/>
  <c r="AZ214" i="2"/>
  <c r="BA214" i="2"/>
  <c r="BB214" i="2"/>
  <c r="BC214" i="2"/>
  <c r="AX214" i="2" l="1"/>
  <c r="AT215" i="2" s="1"/>
  <c r="AW214" i="2"/>
  <c r="AS215" i="2" s="1"/>
  <c r="AU215" i="2" l="1"/>
  <c r="AV215" i="2"/>
  <c r="BG215" i="2" l="1"/>
  <c r="BF215" i="2"/>
  <c r="BE215" i="2"/>
  <c r="AZ215" i="2" s="1"/>
  <c r="BD215" i="2"/>
  <c r="BB215" i="2"/>
  <c r="AX215" i="2" l="1"/>
  <c r="AT216" i="2" s="1"/>
  <c r="AY215" i="2"/>
  <c r="AV216" i="2"/>
  <c r="BA215" i="2"/>
  <c r="BC215" i="2"/>
  <c r="AW215" i="2" l="1"/>
  <c r="AS216" i="2" s="1"/>
  <c r="BG216" i="2" s="1"/>
  <c r="AU216" i="2"/>
  <c r="BE216" i="2" l="1"/>
  <c r="BF216" i="2"/>
  <c r="BB216" i="2" s="1"/>
  <c r="AZ216" i="2"/>
  <c r="BD216" i="2"/>
  <c r="BA216" i="2"/>
  <c r="AY216" i="2"/>
  <c r="AX216" i="2" l="1"/>
  <c r="AT217" i="2" s="1"/>
  <c r="BC216" i="2"/>
  <c r="AW216" i="2" s="1"/>
  <c r="AS217" i="2" s="1"/>
  <c r="AU217" i="2" l="1"/>
  <c r="AV217" i="2"/>
  <c r="BG217" i="2" l="1"/>
  <c r="BF217" i="2"/>
  <c r="BE217" i="2"/>
  <c r="BD217" i="2"/>
  <c r="AY217" i="2" l="1"/>
  <c r="AZ217" i="2"/>
  <c r="BA217" i="2"/>
  <c r="BB217" i="2"/>
  <c r="BC217" i="2"/>
  <c r="AX217" i="2" l="1"/>
  <c r="AT218" i="2" s="1"/>
  <c r="AW217" i="2"/>
  <c r="AS218" i="2" s="1"/>
  <c r="AU218" i="2" l="1"/>
  <c r="AV218" i="2"/>
  <c r="BG218" i="2" l="1"/>
  <c r="BF218" i="2"/>
  <c r="BE218" i="2"/>
  <c r="BD218" i="2"/>
  <c r="BA218" i="2"/>
  <c r="AY218" i="2" l="1"/>
  <c r="AZ218" i="2"/>
  <c r="BC218" i="2"/>
  <c r="BB218" i="2"/>
  <c r="AX218" i="2" l="1"/>
  <c r="AT219" i="2" s="1"/>
  <c r="AW218" i="2"/>
  <c r="AS219" i="2" s="1"/>
  <c r="AU219" i="2" l="1"/>
  <c r="AV219" i="2"/>
  <c r="BG219" i="2" l="1"/>
  <c r="BF219" i="2"/>
  <c r="BE219" i="2"/>
  <c r="AY219" i="2" s="1"/>
  <c r="BD219" i="2"/>
  <c r="BA219" i="2" l="1"/>
  <c r="BB219" i="2"/>
  <c r="BC219" i="2"/>
  <c r="AZ219" i="2"/>
  <c r="AX219" i="2" l="1"/>
  <c r="AT220" i="2" s="1"/>
  <c r="AW219" i="2"/>
  <c r="AV220" i="2"/>
  <c r="AS220" i="2" l="1"/>
  <c r="AU220" i="2"/>
  <c r="BE220" i="2"/>
  <c r="BF220" i="2"/>
  <c r="BA220" i="2" s="1"/>
  <c r="AZ220" i="2"/>
  <c r="AY220" i="2"/>
  <c r="BB220" i="2"/>
  <c r="BG220" i="2" l="1"/>
  <c r="BD220" i="2" l="1"/>
  <c r="AX220" i="2" s="1"/>
  <c r="AT221" i="2" s="1"/>
  <c r="BC220" i="2"/>
  <c r="AW220" i="2" s="1"/>
  <c r="AV221" i="2"/>
  <c r="AS221" i="2" l="1"/>
  <c r="AU221" i="2"/>
  <c r="BE221" i="2"/>
  <c r="BG221" i="2"/>
  <c r="BC221" i="2" s="1"/>
  <c r="BF221" i="2"/>
  <c r="BA221" i="2" s="1"/>
  <c r="AY221" i="2"/>
  <c r="BD221" i="2"/>
  <c r="BB221" i="2"/>
  <c r="AZ221" i="2"/>
  <c r="AW221" i="2" l="1"/>
  <c r="AS222" i="2" s="1"/>
  <c r="AX221" i="2"/>
  <c r="AT222" i="2" s="1"/>
  <c r="AU222" i="2"/>
  <c r="AV222" i="2" l="1"/>
  <c r="BE222" i="2"/>
  <c r="BG222" i="2" l="1"/>
  <c r="BD222" i="2" s="1"/>
  <c r="BF222" i="2"/>
  <c r="AY222" i="2"/>
  <c r="AZ222" i="2"/>
  <c r="BA222" i="2"/>
  <c r="BB222" i="2"/>
  <c r="BC222" i="2" l="1"/>
  <c r="AX222" i="2"/>
  <c r="AT223" i="2" s="1"/>
  <c r="AW222" i="2"/>
  <c r="AS223" i="2" s="1"/>
  <c r="BG223" i="2" s="1"/>
  <c r="AV223" i="2"/>
  <c r="AU223" i="2"/>
  <c r="BE223" i="2" l="1"/>
  <c r="BF223" i="2"/>
  <c r="BA223" i="2" s="1"/>
  <c r="BC223" i="2"/>
  <c r="AZ223" i="2"/>
  <c r="AY223" i="2"/>
  <c r="BB223" i="2"/>
  <c r="BD223" i="2" l="1"/>
  <c r="AW223" i="2"/>
  <c r="AX223" i="2"/>
  <c r="AT224" i="2" s="1"/>
  <c r="AU224" i="2" l="1"/>
  <c r="AS224" i="2"/>
  <c r="AV224" i="2"/>
  <c r="BE224" i="2" l="1"/>
  <c r="BG224" i="2"/>
  <c r="BF224" i="2"/>
  <c r="BB224" i="2" s="1"/>
  <c r="AZ224" i="2"/>
  <c r="BC224" i="2"/>
  <c r="BA224" i="2"/>
  <c r="BD224" i="2"/>
  <c r="AY224" i="2"/>
  <c r="AX224" i="2" l="1"/>
  <c r="AT225" i="2" s="1"/>
  <c r="AW224" i="2"/>
  <c r="AU225" i="2" l="1"/>
  <c r="AS225" i="2"/>
  <c r="BG225" i="2" s="1"/>
  <c r="BC225" i="2" s="1"/>
  <c r="AV225" i="2"/>
  <c r="BE225" i="2"/>
  <c r="AZ225" i="2" s="1"/>
  <c r="BF225" i="2"/>
  <c r="BB225" i="2" s="1"/>
  <c r="AY225" i="2"/>
  <c r="BA225" i="2" l="1"/>
  <c r="BD225" i="2"/>
  <c r="AX225" i="2" s="1"/>
  <c r="AT226" i="2" s="1"/>
  <c r="AW225" i="2"/>
  <c r="AS226" i="2" s="1"/>
  <c r="AU226" i="2" l="1"/>
  <c r="AV226" i="2"/>
  <c r="BG226" i="2" l="1"/>
  <c r="BF226" i="2"/>
  <c r="BE226" i="2"/>
  <c r="AZ226" i="2" s="1"/>
  <c r="BA226" i="2"/>
  <c r="BD226" i="2"/>
  <c r="AY226" i="2"/>
  <c r="BC226" i="2" l="1"/>
  <c r="BB226" i="2"/>
  <c r="AX226" i="2" s="1"/>
  <c r="AT227" i="2" s="1"/>
  <c r="AW226" i="2"/>
  <c r="AS227" i="2" s="1"/>
  <c r="AU227" i="2" l="1"/>
  <c r="AV227" i="2"/>
  <c r="BG227" i="2" l="1"/>
  <c r="BC227" i="2" s="1"/>
  <c r="BF227" i="2"/>
  <c r="BE227" i="2"/>
  <c r="AY227" i="2" s="1"/>
  <c r="BA227" i="2"/>
  <c r="BB227" i="2"/>
  <c r="AZ227" i="2"/>
  <c r="BD227" i="2" l="1"/>
  <c r="AX227" i="2" s="1"/>
  <c r="AT228" i="2" s="1"/>
  <c r="AW227" i="2"/>
  <c r="AS228" i="2" s="1"/>
  <c r="AV228" i="2" l="1"/>
  <c r="AU228" i="2"/>
  <c r="BG228" i="2"/>
  <c r="BE228" i="2" l="1"/>
  <c r="BF228" i="2"/>
  <c r="BD228" i="2"/>
  <c r="BC228" i="2" l="1"/>
  <c r="AY228" i="2"/>
  <c r="AZ228" i="2"/>
  <c r="BA228" i="2"/>
  <c r="BB228" i="2"/>
  <c r="AX228" i="2" l="1"/>
  <c r="AT229" i="2" s="1"/>
  <c r="AV229" i="2"/>
  <c r="AW228" i="2"/>
  <c r="AS229" i="2" s="1"/>
  <c r="BG229" i="2" l="1"/>
  <c r="AU229" i="2"/>
  <c r="BE229" i="2" l="1"/>
  <c r="BF229" i="2"/>
  <c r="BD229" i="2"/>
  <c r="BC229" i="2" l="1"/>
  <c r="AY229" i="2"/>
  <c r="AZ229" i="2"/>
  <c r="BA229" i="2"/>
  <c r="BB229" i="2"/>
  <c r="AX229" i="2" l="1"/>
  <c r="AT230" i="2" s="1"/>
  <c r="AW229" i="2"/>
  <c r="AS230" i="2" s="1"/>
  <c r="AU230" i="2" l="1"/>
  <c r="AV230" i="2"/>
  <c r="BG230" i="2" l="1"/>
  <c r="BF230" i="2"/>
  <c r="BA230" i="2" s="1"/>
  <c r="BE230" i="2"/>
  <c r="AZ230" i="2" s="1"/>
  <c r="BC230" i="2"/>
  <c r="BB230" i="2"/>
  <c r="BD230" i="2" l="1"/>
  <c r="AX230" i="2"/>
  <c r="AT231" i="2" s="1"/>
  <c r="AY230" i="2"/>
  <c r="AW230" i="2" s="1"/>
  <c r="AS231" i="2" s="1"/>
  <c r="AU231" i="2" l="1"/>
  <c r="AV231" i="2"/>
  <c r="BG231" i="2" l="1"/>
  <c r="BF231" i="2"/>
  <c r="BE231" i="2"/>
  <c r="BD231" i="2"/>
  <c r="BA231" i="2"/>
  <c r="AZ231" i="2"/>
  <c r="AY231" i="2"/>
  <c r="BC231" i="2" l="1"/>
  <c r="AW231" i="2" s="1"/>
  <c r="AS232" i="2" s="1"/>
  <c r="BB231" i="2"/>
  <c r="AX231" i="2" s="1"/>
  <c r="AT232" i="2" s="1"/>
  <c r="AV232" i="2" l="1"/>
  <c r="AU232" i="2"/>
  <c r="BG232" i="2"/>
  <c r="BE232" i="2" l="1"/>
  <c r="AY232" i="2" s="1"/>
  <c r="BF232" i="2"/>
  <c r="BA232" i="2" s="1"/>
  <c r="BD232" i="2"/>
  <c r="BC232" i="2" l="1"/>
  <c r="AW232" i="2" s="1"/>
  <c r="AS233" i="2" s="1"/>
  <c r="AZ232" i="2"/>
  <c r="BB232" i="2"/>
  <c r="AU233" i="2" l="1"/>
  <c r="AX232" i="2"/>
  <c r="AT233" i="2" s="1"/>
  <c r="BE233" i="2" l="1"/>
  <c r="AV233" i="2"/>
  <c r="BG233" i="2" l="1"/>
  <c r="BF233" i="2"/>
  <c r="BA233" i="2" s="1"/>
  <c r="BC233" i="2"/>
  <c r="BD233" i="2" l="1"/>
  <c r="AZ233" i="2"/>
  <c r="AY233" i="2"/>
  <c r="AW233" i="2" s="1"/>
  <c r="AS234" i="2" s="1"/>
  <c r="BB233" i="2"/>
  <c r="AU234" i="2" l="1"/>
  <c r="AX233" i="2"/>
  <c r="AT234" i="2" s="1"/>
  <c r="AV234" i="2" l="1"/>
  <c r="BE234" i="2"/>
  <c r="BG234" i="2" l="1"/>
  <c r="BF234" i="2"/>
  <c r="BA234" i="2" s="1"/>
  <c r="BC234" i="2"/>
  <c r="BD234" i="2" l="1"/>
  <c r="AZ234" i="2"/>
  <c r="AY234" i="2"/>
  <c r="AW234" i="2" s="1"/>
  <c r="AS235" i="2" s="1"/>
  <c r="BB234" i="2"/>
  <c r="AU235" i="2" l="1"/>
  <c r="AX234" i="2"/>
  <c r="AT235" i="2" s="1"/>
  <c r="AV235" i="2" l="1"/>
  <c r="BE235" i="2"/>
  <c r="BG235" i="2" l="1"/>
  <c r="BF235" i="2"/>
  <c r="BA235" i="2" s="1"/>
  <c r="AY235" i="2"/>
  <c r="BB235" i="2"/>
  <c r="AZ235" i="2"/>
  <c r="BD235" i="2"/>
  <c r="BC235" i="2" l="1"/>
  <c r="AW235" i="2" s="1"/>
  <c r="AS236" i="2" s="1"/>
  <c r="AX235" i="2"/>
  <c r="AT236" i="2" s="1"/>
  <c r="AU236" i="2" l="1"/>
  <c r="AV236" i="2"/>
  <c r="BG236" i="2" l="1"/>
  <c r="BF236" i="2"/>
  <c r="BA236" i="2" s="1"/>
  <c r="BE236" i="2"/>
  <c r="BD236" i="2"/>
  <c r="BC236" i="2"/>
  <c r="BB236" i="2"/>
  <c r="AZ236" i="2" l="1"/>
  <c r="AX236" i="2" s="1"/>
  <c r="AT237" i="2" s="1"/>
  <c r="AY236" i="2"/>
  <c r="AW236" i="2" s="1"/>
  <c r="AS237" i="2" s="1"/>
  <c r="AU237" i="2" l="1"/>
  <c r="AV237" i="2"/>
  <c r="BG237" i="2" l="1"/>
  <c r="BC237" i="2" s="1"/>
  <c r="BF237" i="2"/>
  <c r="BA237" i="2" s="1"/>
  <c r="BE237" i="2"/>
  <c r="AZ237" i="2" s="1"/>
  <c r="BB237" i="2"/>
  <c r="AY237" i="2" l="1"/>
  <c r="AW237" i="2" s="1"/>
  <c r="AS238" i="2" s="1"/>
  <c r="BD237" i="2"/>
  <c r="AX237" i="2" s="1"/>
  <c r="AT238" i="2" s="1"/>
  <c r="AU238" i="2" l="1"/>
  <c r="AV238" i="2"/>
  <c r="BE238" i="2" l="1"/>
  <c r="AZ238" i="2" s="1"/>
  <c r="BG238" i="2"/>
  <c r="BF238" i="2"/>
  <c r="BA238" i="2" s="1"/>
  <c r="BC238" i="2"/>
  <c r="BD238" i="2"/>
  <c r="AY238" i="2"/>
  <c r="BB238" i="2"/>
  <c r="AX238" i="2" s="1"/>
  <c r="AT239" i="2" s="1"/>
  <c r="AW238" i="2" l="1"/>
  <c r="AS239" i="2" s="1"/>
  <c r="AV239" i="2"/>
  <c r="AU239" i="2"/>
  <c r="BG239" i="2"/>
  <c r="BE239" i="2" l="1"/>
  <c r="BF239" i="2"/>
  <c r="AY239" i="2"/>
  <c r="BA239" i="2"/>
  <c r="BC239" i="2"/>
  <c r="BB239" i="2"/>
  <c r="AZ239" i="2"/>
  <c r="BD239" i="2" l="1"/>
  <c r="AX239" i="2"/>
  <c r="AW239" i="2"/>
  <c r="AS240" i="2" s="1"/>
  <c r="AV240" i="2" l="1"/>
  <c r="AT240" i="2"/>
  <c r="AU240" i="2"/>
  <c r="BG240" i="2"/>
  <c r="BE240" i="2" l="1"/>
  <c r="AZ240" i="2" s="1"/>
  <c r="BF240" i="2"/>
  <c r="BD240" i="2"/>
  <c r="BC240" i="2" l="1"/>
  <c r="AY240" i="2"/>
  <c r="BA240" i="2"/>
  <c r="BB240" i="2"/>
  <c r="AX240" i="2" s="1"/>
  <c r="AT241" i="2" s="1"/>
  <c r="AV241" i="2" l="1"/>
  <c r="AW240" i="2"/>
  <c r="AS241" i="2" s="1"/>
  <c r="BG241" i="2" l="1"/>
  <c r="AU241" i="2"/>
  <c r="BE241" i="2" l="1"/>
  <c r="BF241" i="2"/>
  <c r="BD241" i="2"/>
  <c r="AZ241" i="2"/>
  <c r="BB241" i="2"/>
  <c r="AY241" i="2"/>
  <c r="BA241" i="2"/>
  <c r="BC241" i="2" l="1"/>
  <c r="AW241" i="2"/>
  <c r="AS242" i="2" s="1"/>
  <c r="AX241" i="2"/>
  <c r="AT242" i="2" s="1"/>
  <c r="AV242" i="2" l="1"/>
  <c r="AU242" i="2"/>
  <c r="BG242" i="2"/>
  <c r="BE242" i="2" l="1"/>
  <c r="BF242" i="2"/>
  <c r="BA242" i="2" s="1"/>
  <c r="BC242" i="2"/>
  <c r="AY242" i="2"/>
  <c r="BB242" i="2"/>
  <c r="AZ242" i="2"/>
  <c r="BD242" i="2" l="1"/>
  <c r="AX242" i="2" s="1"/>
  <c r="AT243" i="2" s="1"/>
  <c r="AW242" i="2"/>
  <c r="AS243" i="2" s="1"/>
  <c r="AU243" i="2" l="1"/>
  <c r="AV243" i="2"/>
  <c r="BE243" i="2"/>
  <c r="BG243" i="2" l="1"/>
  <c r="BF243" i="2"/>
  <c r="BA243" i="2" s="1"/>
  <c r="BC243" i="2"/>
  <c r="AZ243" i="2"/>
  <c r="AY243" i="2"/>
  <c r="BB243" i="2"/>
  <c r="AW243" i="2" l="1"/>
  <c r="AS244" i="2" s="1"/>
  <c r="BD243" i="2"/>
  <c r="AX243" i="2" s="1"/>
  <c r="AT244" i="2" s="1"/>
  <c r="AU244" i="2" l="1"/>
  <c r="AV244" i="2"/>
  <c r="BE244" i="2"/>
  <c r="AY244" i="2" s="1"/>
  <c r="BG244" i="2" l="1"/>
  <c r="BF244" i="2"/>
  <c r="BC244" i="2"/>
  <c r="AZ244" i="2"/>
  <c r="BA244" i="2"/>
  <c r="AW244" i="2" s="1"/>
  <c r="AS245" i="2" s="1"/>
  <c r="BD244" i="2"/>
  <c r="BB244" i="2"/>
  <c r="AX244" i="2" l="1"/>
  <c r="AT245" i="2" s="1"/>
  <c r="AV245" i="2"/>
  <c r="AU245" i="2"/>
  <c r="BG245" i="2"/>
  <c r="BE245" i="2" l="1"/>
  <c r="BF245" i="2"/>
  <c r="BD245" i="2"/>
  <c r="BA245" i="2"/>
  <c r="AY245" i="2"/>
  <c r="BC245" i="2" l="1"/>
  <c r="AW245" i="2" s="1"/>
  <c r="AS246" i="2" s="1"/>
  <c r="AZ245" i="2"/>
  <c r="BB245" i="2"/>
  <c r="AU246" i="2" l="1"/>
  <c r="AX245" i="2"/>
  <c r="AT246" i="2" s="1"/>
  <c r="BE246" i="2" l="1"/>
  <c r="AV246" i="2"/>
  <c r="BG246" i="2" l="1"/>
  <c r="BF246" i="2"/>
  <c r="BC246" i="2"/>
  <c r="AY246" i="2"/>
  <c r="BA246" i="2"/>
  <c r="AW246" i="2" l="1"/>
  <c r="AS247" i="2" s="1"/>
  <c r="BD246" i="2"/>
  <c r="AZ246" i="2"/>
  <c r="AU247" i="2"/>
  <c r="BB246" i="2"/>
  <c r="AX246" i="2" l="1"/>
  <c r="AT247" i="2" s="1"/>
  <c r="AV247" i="2" l="1"/>
  <c r="BG247" i="2"/>
  <c r="BE247" i="2" l="1"/>
  <c r="BF247" i="2"/>
  <c r="AY247" i="2"/>
  <c r="BC247" i="2"/>
  <c r="BA247" i="2"/>
  <c r="BD247" i="2" l="1"/>
  <c r="AZ247" i="2"/>
  <c r="AW247" i="2"/>
  <c r="AS248" i="2" s="1"/>
  <c r="BB247" i="2"/>
  <c r="AU248" i="2" l="1"/>
  <c r="AX247" i="2"/>
  <c r="AT248" i="2" s="1"/>
  <c r="AV248" i="2" l="1"/>
  <c r="BE248" i="2"/>
  <c r="AY248" i="2" s="1"/>
  <c r="BG248" i="2" l="1"/>
  <c r="BF248" i="2"/>
  <c r="BA248" i="2" s="1"/>
  <c r="BC248" i="2"/>
  <c r="BB248" i="2"/>
  <c r="AZ248" i="2"/>
  <c r="AW248" i="2" l="1"/>
  <c r="BD248" i="2"/>
  <c r="AX248" i="2" s="1"/>
  <c r="AT249" i="2" s="1"/>
  <c r="AU249" i="2" l="1"/>
  <c r="AS249" i="2"/>
  <c r="BF249" i="2"/>
  <c r="AV249" i="2"/>
  <c r="BE249" i="2" l="1"/>
  <c r="AY249" i="2" s="1"/>
  <c r="BG249" i="2"/>
  <c r="AZ249" i="2"/>
  <c r="BA249" i="2" l="1"/>
  <c r="BB249" i="2"/>
  <c r="BD249" i="2"/>
  <c r="BC249" i="2"/>
  <c r="AX249" i="2" l="1"/>
  <c r="AT250" i="2" s="1"/>
  <c r="AV250" i="2"/>
  <c r="AW249" i="2"/>
  <c r="AS250" i="2" s="1"/>
  <c r="AU250" i="2" l="1"/>
  <c r="BF250" i="2" l="1"/>
  <c r="BG250" i="2"/>
  <c r="BE250" i="2"/>
  <c r="AZ250" i="2" s="1"/>
  <c r="AY250" i="2" l="1"/>
  <c r="BA250" i="2"/>
  <c r="BB250" i="2"/>
  <c r="BC250" i="2"/>
  <c r="BD250" i="2"/>
  <c r="AX250" i="2" s="1"/>
  <c r="AT251" i="2" s="1"/>
  <c r="AW250" i="2" l="1"/>
  <c r="AS251" i="2" s="1"/>
  <c r="AV251" i="2"/>
  <c r="AU251" i="2"/>
  <c r="BF251" i="2" l="1"/>
  <c r="BG251" i="2"/>
  <c r="BE251" i="2"/>
  <c r="AZ251" i="2" s="1"/>
  <c r="AY251" i="2" l="1"/>
  <c r="BA251" i="2"/>
  <c r="BB251" i="2"/>
  <c r="BD251" i="2"/>
  <c r="BC251" i="2"/>
  <c r="AX251" i="2" l="1"/>
  <c r="AT252" i="2" s="1"/>
  <c r="AW251" i="2"/>
  <c r="AV252" i="2"/>
  <c r="AU252" i="2" l="1"/>
  <c r="AS252" i="2"/>
  <c r="BG252" i="2"/>
  <c r="BF252" i="2"/>
  <c r="BA252" i="2" s="1"/>
  <c r="BE252" i="2"/>
  <c r="AZ252" i="2" s="1"/>
  <c r="AY252" i="2" l="1"/>
  <c r="BC252" i="2"/>
  <c r="BD252" i="2"/>
  <c r="BB252" i="2"/>
  <c r="AW252" i="2" l="1"/>
  <c r="AS253" i="2" s="1"/>
  <c r="AX252" i="2"/>
  <c r="AT253" i="2" s="1"/>
  <c r="AU253" i="2"/>
  <c r="AV253" i="2" l="1"/>
  <c r="BF253" i="2"/>
  <c r="BG253" i="2"/>
  <c r="BE253" i="2"/>
  <c r="AZ253" i="2" s="1"/>
  <c r="AY253" i="2" l="1"/>
  <c r="BA253" i="2"/>
  <c r="BB253" i="2"/>
  <c r="BD253" i="2"/>
  <c r="BC253" i="2"/>
  <c r="AW253" i="2" l="1"/>
  <c r="AS254" i="2" s="1"/>
  <c r="AX253" i="2"/>
  <c r="AT254" i="2" s="1"/>
  <c r="AU254" i="2"/>
  <c r="BG254" i="2" l="1"/>
  <c r="AV254" i="2"/>
  <c r="BE254" i="2"/>
  <c r="BF254" i="2"/>
  <c r="BA254" i="2" s="1"/>
  <c r="AZ254" i="2"/>
  <c r="AY254" i="2"/>
  <c r="BB254" i="2" l="1"/>
  <c r="BC254" i="2"/>
  <c r="AW254" i="2" s="1"/>
  <c r="BD254" i="2"/>
  <c r="AU255" i="2" l="1"/>
  <c r="AS255" i="2"/>
  <c r="AX254" i="2"/>
  <c r="AT255" i="2" s="1"/>
  <c r="BE255" i="2" l="1"/>
  <c r="AV255" i="2"/>
  <c r="BG255" i="2"/>
  <c r="BF255" i="2"/>
  <c r="BA255" i="2" s="1"/>
  <c r="AY255" i="2"/>
  <c r="BC255" i="2"/>
  <c r="BD255" i="2" l="1"/>
  <c r="AW255" i="2"/>
  <c r="AS256" i="2" s="1"/>
  <c r="AZ255" i="2"/>
  <c r="BB255" i="2"/>
  <c r="AX255" i="2" l="1"/>
  <c r="AT256" i="2" s="1"/>
  <c r="AU256" i="2"/>
  <c r="BE256" i="2" l="1"/>
  <c r="AV256" i="2"/>
  <c r="BG256" i="2" l="1"/>
  <c r="BF256" i="2"/>
  <c r="BC256" i="2"/>
  <c r="BA256" i="2"/>
  <c r="BD256" i="2" l="1"/>
  <c r="AZ256" i="2"/>
  <c r="AY256" i="2"/>
  <c r="AW256" i="2" s="1"/>
  <c r="AS257" i="2" s="1"/>
  <c r="BB256" i="2"/>
  <c r="AU257" i="2" l="1"/>
  <c r="AX256" i="2"/>
  <c r="AT257" i="2" s="1"/>
  <c r="AV257" i="2" l="1"/>
  <c r="BE257" i="2"/>
  <c r="BG257" i="2" l="1"/>
  <c r="BF257" i="2"/>
  <c r="BC257" i="2"/>
  <c r="BA257" i="2"/>
  <c r="BD257" i="2" l="1"/>
  <c r="AZ257" i="2"/>
  <c r="AY257" i="2"/>
  <c r="AW257" i="2" s="1"/>
  <c r="AS258" i="2" s="1"/>
  <c r="BB257" i="2"/>
  <c r="AU258" i="2" l="1"/>
  <c r="AX257" i="2"/>
  <c r="AT258" i="2" s="1"/>
  <c r="AV258" i="2" l="1"/>
  <c r="BE258" i="2"/>
  <c r="AY258" i="2" s="1"/>
  <c r="BG258" i="2" l="1"/>
  <c r="BF258" i="2"/>
  <c r="BA258" i="2" s="1"/>
  <c r="BC258" i="2"/>
  <c r="BB258" i="2"/>
  <c r="AZ258" i="2"/>
  <c r="AW258" i="2" l="1"/>
  <c r="AS259" i="2" s="1"/>
  <c r="BD258" i="2"/>
  <c r="AX258" i="2" s="1"/>
  <c r="AT259" i="2" s="1"/>
  <c r="AU259" i="2"/>
  <c r="AV259" i="2" l="1"/>
  <c r="BE259" i="2"/>
  <c r="BG259" i="2" l="1"/>
  <c r="BF259" i="2"/>
  <c r="BC259" i="2"/>
  <c r="BD259" i="2"/>
  <c r="BA259" i="2"/>
  <c r="AZ259" i="2" l="1"/>
  <c r="AY259" i="2"/>
  <c r="AW259" i="2" s="1"/>
  <c r="AS260" i="2" s="1"/>
  <c r="BB259" i="2"/>
  <c r="AU260" i="2" l="1"/>
  <c r="AX259" i="2"/>
  <c r="AT260" i="2" s="1"/>
  <c r="AV260" i="2" l="1"/>
  <c r="BE260" i="2"/>
  <c r="AY260" i="2" s="1"/>
  <c r="BG260" i="2" l="1"/>
  <c r="BF260" i="2"/>
  <c r="BC260" i="2"/>
  <c r="BA260" i="2"/>
  <c r="BD260" i="2"/>
  <c r="BB260" i="2"/>
  <c r="AZ260" i="2"/>
  <c r="AW260" i="2" l="1"/>
  <c r="AS261" i="2" s="1"/>
  <c r="AX260" i="2"/>
  <c r="AT261" i="2" s="1"/>
  <c r="AU261" i="2"/>
  <c r="AV261" i="2" l="1"/>
  <c r="BE261" i="2"/>
  <c r="BG261" i="2" l="1"/>
  <c r="BF261" i="2"/>
  <c r="BD261" i="2"/>
  <c r="BC261" i="2"/>
  <c r="BA261" i="2"/>
  <c r="BB261" i="2"/>
  <c r="AY261" i="2"/>
  <c r="AZ261" i="2"/>
  <c r="AX261" i="2" l="1"/>
  <c r="AT262" i="2" s="1"/>
  <c r="AV262" i="2"/>
  <c r="AW261" i="2"/>
  <c r="AS262" i="2" s="1"/>
  <c r="AU262" i="2" l="1"/>
  <c r="BG262" i="2"/>
  <c r="BE262" i="2" l="1"/>
  <c r="BF262" i="2"/>
  <c r="BD262" i="2"/>
  <c r="BC262" i="2" l="1"/>
  <c r="AY262" i="2"/>
  <c r="AZ262" i="2"/>
  <c r="BA262" i="2"/>
  <c r="BB262" i="2"/>
  <c r="AX262" i="2" l="1"/>
  <c r="AT263" i="2" s="1"/>
  <c r="AW262" i="2"/>
  <c r="AS263" i="2" s="1"/>
  <c r="AU263" i="2" l="1"/>
  <c r="AV263" i="2"/>
  <c r="BG263" i="2" l="1"/>
  <c r="BF263" i="2"/>
  <c r="BE263" i="2"/>
  <c r="AY263" i="2" s="1"/>
  <c r="BA263" i="2"/>
  <c r="BC263" i="2"/>
  <c r="BB263" i="2"/>
  <c r="AZ263" i="2"/>
  <c r="BD263" i="2" l="1"/>
  <c r="AX263" i="2" s="1"/>
  <c r="AT264" i="2" s="1"/>
  <c r="AW263" i="2"/>
  <c r="AS264" i="2" s="1"/>
  <c r="AU264" i="2" l="1"/>
  <c r="AV264" i="2"/>
  <c r="BG264" i="2" l="1"/>
  <c r="BC264" i="2" s="1"/>
  <c r="BF264" i="2"/>
  <c r="BE264" i="2"/>
  <c r="AY264" i="2" s="1"/>
  <c r="BA264" i="2"/>
  <c r="AZ264" i="2"/>
  <c r="BB264" i="2" l="1"/>
  <c r="BD264" i="2"/>
  <c r="AX264" i="2" s="1"/>
  <c r="AT265" i="2" s="1"/>
  <c r="AW264" i="2"/>
  <c r="AS265" i="2" s="1"/>
  <c r="AV265" i="2" l="1"/>
  <c r="AU265" i="2"/>
  <c r="BG265" i="2"/>
  <c r="BE265" i="2" l="1"/>
  <c r="BF265" i="2"/>
  <c r="BD265" i="2"/>
  <c r="BC265" i="2" l="1"/>
  <c r="BA265" i="2"/>
  <c r="BB265" i="2"/>
  <c r="AY265" i="2"/>
  <c r="AZ265" i="2"/>
  <c r="AX265" i="2" l="1"/>
  <c r="AT266" i="2" s="1"/>
  <c r="AW265" i="2"/>
  <c r="AS266" i="2" s="1"/>
  <c r="AV266" i="2"/>
  <c r="AU266" i="2"/>
  <c r="BG266" i="2" l="1"/>
  <c r="BD266" i="2" s="1"/>
  <c r="BE266" i="2"/>
  <c r="BF266" i="2"/>
  <c r="BA266" i="2" s="1"/>
  <c r="AY266" i="2"/>
  <c r="BC266" i="2" l="1"/>
  <c r="AW266" i="2" s="1"/>
  <c r="AS267" i="2" s="1"/>
  <c r="AZ266" i="2"/>
  <c r="BB266" i="2"/>
  <c r="AU267" i="2" l="1"/>
  <c r="AX266" i="2"/>
  <c r="AT267" i="2" s="1"/>
  <c r="BE267" i="2" l="1"/>
  <c r="AY267" i="2" s="1"/>
  <c r="AV267" i="2"/>
  <c r="BG267" i="2" l="1"/>
  <c r="BC267" i="2" s="1"/>
  <c r="BF267" i="2"/>
  <c r="BA267" i="2" s="1"/>
  <c r="AW267" i="2" s="1"/>
  <c r="AS268" i="2" s="1"/>
  <c r="BD267" i="2"/>
  <c r="AZ267" i="2"/>
  <c r="BB267" i="2" l="1"/>
  <c r="AX267" i="2"/>
  <c r="AT268" i="2" s="1"/>
  <c r="AU268" i="2"/>
  <c r="AV268" i="2" l="1"/>
  <c r="BE268" i="2"/>
  <c r="BG268" i="2" l="1"/>
  <c r="BF268" i="2"/>
  <c r="BC268" i="2"/>
  <c r="BA268" i="2"/>
  <c r="AY268" i="2"/>
  <c r="BD268" i="2" l="1"/>
  <c r="AW268" i="2"/>
  <c r="AS269" i="2" s="1"/>
  <c r="AZ268" i="2"/>
  <c r="BB268" i="2"/>
  <c r="AX268" i="2" l="1"/>
  <c r="AT269" i="2" s="1"/>
  <c r="AU269" i="2"/>
  <c r="BE269" i="2" l="1"/>
  <c r="AV269" i="2"/>
  <c r="BG269" i="2" l="1"/>
  <c r="BF269" i="2"/>
  <c r="BA269" i="2" s="1"/>
  <c r="AY269" i="2"/>
  <c r="BC269" i="2"/>
  <c r="BB269" i="2" l="1"/>
  <c r="BD269" i="2"/>
  <c r="AW269" i="2"/>
  <c r="AS270" i="2" s="1"/>
  <c r="AZ269" i="2"/>
  <c r="AX269" i="2" l="1"/>
  <c r="AT270" i="2" s="1"/>
  <c r="AU270" i="2"/>
  <c r="AV270" i="2" l="1"/>
  <c r="BE270" i="2"/>
  <c r="BG270" i="2" l="1"/>
  <c r="BC270" i="2" s="1"/>
  <c r="BF270" i="2"/>
  <c r="BA270" i="2" s="1"/>
  <c r="BD270" i="2" l="1"/>
  <c r="AZ270" i="2"/>
  <c r="AY270" i="2"/>
  <c r="AW270" i="2" s="1"/>
  <c r="AS271" i="2" s="1"/>
  <c r="BB270" i="2"/>
  <c r="AU271" i="2" l="1"/>
  <c r="AX270" i="2"/>
  <c r="AT271" i="2" s="1"/>
  <c r="AV271" i="2" l="1"/>
  <c r="BE271" i="2"/>
  <c r="BG271" i="2" l="1"/>
  <c r="BC271" i="2" s="1"/>
  <c r="BF271" i="2"/>
  <c r="BA271" i="2" s="1"/>
  <c r="BD271" i="2" l="1"/>
  <c r="AZ271" i="2"/>
  <c r="AY271" i="2"/>
  <c r="AW271" i="2" s="1"/>
  <c r="AS272" i="2" s="1"/>
  <c r="BB271" i="2"/>
  <c r="AU272" i="2" l="1"/>
  <c r="AX271" i="2"/>
  <c r="AT272" i="2" s="1"/>
  <c r="AV272" i="2" l="1"/>
  <c r="BE272" i="2"/>
  <c r="AY272" i="2" s="1"/>
  <c r="BG272" i="2" l="1"/>
  <c r="BC272" i="2" s="1"/>
  <c r="BF272" i="2"/>
  <c r="BA272" i="2" s="1"/>
  <c r="AZ272" i="2"/>
  <c r="BB272" i="2" l="1"/>
  <c r="BD272" i="2"/>
  <c r="AX272" i="2" s="1"/>
  <c r="AT273" i="2" s="1"/>
  <c r="AW272" i="2"/>
  <c r="AU273" i="2" l="1"/>
  <c r="AS273" i="2"/>
  <c r="AV273" i="2"/>
  <c r="BE273" i="2"/>
  <c r="BG273" i="2" l="1"/>
  <c r="BF273" i="2"/>
  <c r="AY273" i="2"/>
  <c r="AZ273" i="2"/>
  <c r="BA273" i="2"/>
  <c r="BC273" i="2"/>
  <c r="BD273" i="2" l="1"/>
  <c r="AW273" i="2"/>
  <c r="BB273" i="2"/>
  <c r="AX273" i="2" s="1"/>
  <c r="AT274" i="2" s="1"/>
  <c r="AU274" i="2" l="1"/>
  <c r="AS274" i="2"/>
  <c r="AV274" i="2"/>
  <c r="BE274" i="2"/>
  <c r="BG274" i="2" l="1"/>
  <c r="BF274" i="2"/>
  <c r="BC274" i="2"/>
  <c r="BD274" i="2"/>
  <c r="AY274" i="2"/>
  <c r="BA274" i="2"/>
  <c r="AW274" i="2" l="1"/>
  <c r="AS275" i="2" s="1"/>
  <c r="AZ274" i="2"/>
  <c r="AU275" i="2"/>
  <c r="BB274" i="2"/>
  <c r="AX274" i="2" s="1"/>
  <c r="AT275" i="2" s="1"/>
  <c r="AV275" i="2" l="1"/>
  <c r="BE275" i="2"/>
  <c r="BG275" i="2" l="1"/>
  <c r="BF275" i="2"/>
  <c r="BA275" i="2" s="1"/>
  <c r="AZ275" i="2"/>
  <c r="AY275" i="2"/>
  <c r="BB275" i="2"/>
  <c r="BD275" i="2"/>
  <c r="BC275" i="2" l="1"/>
  <c r="AW275" i="2" s="1"/>
  <c r="AS276" i="2" s="1"/>
  <c r="AX275" i="2"/>
  <c r="AT276" i="2" s="1"/>
  <c r="AU276" i="2" l="1"/>
  <c r="AV276" i="2"/>
  <c r="BG276" i="2" l="1"/>
  <c r="BF276" i="2"/>
  <c r="BA276" i="2" s="1"/>
  <c r="BD276" i="2"/>
  <c r="BE276" i="2"/>
  <c r="AY276" i="2" s="1"/>
  <c r="BC276" i="2"/>
  <c r="BB276" i="2"/>
  <c r="AZ276" i="2" l="1"/>
  <c r="AW276" i="2"/>
  <c r="AS277" i="2" s="1"/>
  <c r="AX276" i="2"/>
  <c r="AU277" i="2"/>
  <c r="AV277" i="2" l="1"/>
  <c r="AT277" i="2"/>
  <c r="BG277" i="2"/>
  <c r="BE277" i="2"/>
  <c r="BF277" i="2"/>
  <c r="BB277" i="2" s="1"/>
  <c r="BC277" i="2"/>
  <c r="AZ277" i="2"/>
  <c r="BA277" i="2"/>
  <c r="AY277" i="2"/>
  <c r="BD277" i="2" l="1"/>
  <c r="AW277" i="2"/>
  <c r="AS278" i="2" s="1"/>
  <c r="AX277" i="2"/>
  <c r="AT278" i="2" s="1"/>
  <c r="AU278" i="2" l="1"/>
  <c r="AV278" i="2"/>
  <c r="BE278" i="2"/>
  <c r="BG278" i="2" l="1"/>
  <c r="BF278" i="2"/>
  <c r="BA278" i="2" s="1"/>
  <c r="BC278" i="2"/>
  <c r="BD278" i="2" l="1"/>
  <c r="AZ278" i="2"/>
  <c r="AY278" i="2"/>
  <c r="AW278" i="2" s="1"/>
  <c r="AS279" i="2" s="1"/>
  <c r="BB278" i="2"/>
  <c r="AU279" i="2" l="1"/>
  <c r="AX278" i="2"/>
  <c r="AT279" i="2" s="1"/>
  <c r="BE279" i="2" l="1"/>
  <c r="AV279" i="2"/>
  <c r="BG279" i="2" l="1"/>
  <c r="BF279" i="2"/>
  <c r="BC279" i="2"/>
  <c r="BD279" i="2"/>
  <c r="BA279" i="2"/>
  <c r="AZ279" i="2" l="1"/>
  <c r="AY279" i="2"/>
  <c r="AW279" i="2" s="1"/>
  <c r="AS280" i="2" s="1"/>
  <c r="BB279" i="2"/>
  <c r="AU280" i="2" l="1"/>
  <c r="AX279" i="2"/>
  <c r="AT280" i="2" s="1"/>
  <c r="AV280" i="2" l="1"/>
  <c r="BE280" i="2"/>
  <c r="BG280" i="2" l="1"/>
  <c r="BF280" i="2"/>
  <c r="BA280" i="2" s="1"/>
  <c r="BD280" i="2"/>
  <c r="BB280" i="2" l="1"/>
  <c r="AZ280" i="2"/>
  <c r="AX280" i="2" s="1"/>
  <c r="AT281" i="2" s="1"/>
  <c r="AY280" i="2"/>
  <c r="BC280" i="2"/>
  <c r="AW280" i="2" l="1"/>
  <c r="AV281" i="2"/>
  <c r="AU281" i="2" l="1"/>
  <c r="AS281" i="2"/>
  <c r="BG281" i="2"/>
  <c r="BF281" i="2"/>
  <c r="BA281" i="2" s="1"/>
  <c r="BE281" i="2"/>
  <c r="AY281" i="2" s="1"/>
  <c r="BD281" i="2"/>
  <c r="BC281" i="2"/>
  <c r="BB281" i="2"/>
  <c r="AZ281" i="2" l="1"/>
  <c r="AW281" i="2"/>
  <c r="AS282" i="2" s="1"/>
  <c r="AX281" i="2"/>
  <c r="AU282" i="2"/>
  <c r="AV282" i="2" l="1"/>
  <c r="AT282" i="2"/>
  <c r="BG282" i="2"/>
  <c r="BC282" i="2" s="1"/>
  <c r="BE282" i="2"/>
  <c r="BF282" i="2"/>
  <c r="BA282" i="2" s="1"/>
  <c r="AY282" i="2"/>
  <c r="AZ282" i="2"/>
  <c r="BB282" i="2" l="1"/>
  <c r="BD282" i="2"/>
  <c r="AW282" i="2"/>
  <c r="AS283" i="2" s="1"/>
  <c r="AX282" i="2" l="1"/>
  <c r="AT283" i="2" s="1"/>
  <c r="AU283" i="2"/>
  <c r="AV283" i="2"/>
  <c r="BG283" i="2" l="1"/>
  <c r="BF283" i="2"/>
  <c r="BB283" i="2" s="1"/>
  <c r="BE283" i="2"/>
  <c r="AZ283" i="2" s="1"/>
  <c r="BC283" i="2"/>
  <c r="BA283" i="2"/>
  <c r="AY283" i="2" l="1"/>
  <c r="BD283" i="2"/>
  <c r="AX283" i="2" s="1"/>
  <c r="AT284" i="2" s="1"/>
  <c r="AW283" i="2"/>
  <c r="AS284" i="2" s="1"/>
  <c r="AV284" i="2" l="1"/>
  <c r="BG284" i="2"/>
  <c r="AU284" i="2"/>
  <c r="BE284" i="2" l="1"/>
  <c r="BF284" i="2"/>
  <c r="AZ284" i="2"/>
  <c r="BA284" i="2"/>
  <c r="BC284" i="2"/>
  <c r="AY284" i="2"/>
  <c r="BD284" i="2" l="1"/>
  <c r="AW284" i="2"/>
  <c r="BB284" i="2"/>
  <c r="AX284" i="2" s="1"/>
  <c r="AT285" i="2" s="1"/>
  <c r="AU285" i="2" l="1"/>
  <c r="AS285" i="2"/>
  <c r="AV285" i="2"/>
  <c r="BG285" i="2" l="1"/>
  <c r="BC285" i="2" s="1"/>
  <c r="BF285" i="2"/>
  <c r="BA285" i="2" s="1"/>
  <c r="BE285" i="2"/>
  <c r="AZ285" i="2" s="1"/>
  <c r="BD285" i="2"/>
  <c r="BB285" i="2"/>
  <c r="AY285" i="2" l="1"/>
  <c r="AW285" i="2" s="1"/>
  <c r="AS286" i="2" s="1"/>
  <c r="AX285" i="2"/>
  <c r="AT286" i="2" s="1"/>
  <c r="AU286" i="2"/>
  <c r="AV286" i="2" l="1"/>
  <c r="BG286" i="2"/>
  <c r="BE286" i="2"/>
  <c r="BF286" i="2"/>
  <c r="BC286" i="2"/>
  <c r="BA286" i="2"/>
  <c r="AY286" i="2"/>
  <c r="BB286" i="2"/>
  <c r="AZ286" i="2"/>
  <c r="BD286" i="2" l="1"/>
  <c r="AX286" i="2" s="1"/>
  <c r="AT287" i="2" s="1"/>
  <c r="AW286" i="2"/>
  <c r="AS287" i="2" s="1"/>
  <c r="AU287" i="2" l="1"/>
  <c r="AV287" i="2"/>
  <c r="BG287" i="2" l="1"/>
  <c r="BF287" i="2"/>
  <c r="BE287" i="2"/>
  <c r="AZ287" i="2" s="1"/>
  <c r="BB287" i="2"/>
  <c r="BA287" i="2"/>
  <c r="BD287" i="2"/>
  <c r="AY287" i="2"/>
  <c r="BC287" i="2" l="1"/>
  <c r="AW287" i="2" s="1"/>
  <c r="AS288" i="2" s="1"/>
  <c r="AX287" i="2"/>
  <c r="AT288" i="2" s="1"/>
  <c r="AU288" i="2" l="1"/>
  <c r="AV288" i="2"/>
  <c r="BG288" i="2" l="1"/>
  <c r="BF288" i="2"/>
  <c r="BE288" i="2"/>
  <c r="BC288" i="2"/>
  <c r="AY288" i="2"/>
  <c r="BA288" i="2"/>
  <c r="BD288" i="2" l="1"/>
  <c r="AW288" i="2"/>
  <c r="AZ288" i="2"/>
  <c r="BB288" i="2"/>
  <c r="AU289" i="2" l="1"/>
  <c r="AS289" i="2"/>
  <c r="AX288" i="2"/>
  <c r="AT289" i="2" s="1"/>
  <c r="BG289" i="2" l="1"/>
  <c r="AV289" i="2"/>
  <c r="BE289" i="2" l="1"/>
  <c r="BF289" i="2"/>
  <c r="BA289" i="2" s="1"/>
  <c r="BC289" i="2"/>
  <c r="BD289" i="2" l="1"/>
  <c r="AZ289" i="2"/>
  <c r="AY289" i="2"/>
  <c r="AW289" i="2" s="1"/>
  <c r="AS290" i="2" s="1"/>
  <c r="BB289" i="2"/>
  <c r="AU290" i="2" l="1"/>
  <c r="AX289" i="2"/>
  <c r="AT290" i="2" s="1"/>
  <c r="AV290" i="2" l="1"/>
  <c r="BE290" i="2"/>
  <c r="BG290" i="2" l="1"/>
  <c r="BF290" i="2"/>
  <c r="BA290" i="2" s="1"/>
  <c r="AY290" i="2"/>
  <c r="BC290" i="2"/>
  <c r="BD290" i="2" l="1"/>
  <c r="AW290" i="2"/>
  <c r="AS291" i="2" s="1"/>
  <c r="AZ290" i="2"/>
  <c r="BB290" i="2"/>
  <c r="AX290" i="2" l="1"/>
  <c r="AT291" i="2" s="1"/>
  <c r="AU291" i="2"/>
  <c r="AV291" i="2" l="1"/>
  <c r="BE291" i="2"/>
  <c r="BG291" i="2" l="1"/>
  <c r="BF291" i="2"/>
  <c r="AY291" i="2"/>
  <c r="BC291" i="2"/>
  <c r="BA291" i="2"/>
  <c r="BD291" i="2" l="1"/>
  <c r="BB291" i="2"/>
  <c r="AW291" i="2"/>
  <c r="AS292" i="2" s="1"/>
  <c r="AZ291" i="2"/>
  <c r="AX291" i="2" l="1"/>
  <c r="AT292" i="2" s="1"/>
  <c r="AV292" i="2"/>
  <c r="BG292" i="2"/>
  <c r="AU292" i="2"/>
  <c r="BE292" i="2" l="1"/>
  <c r="BF292" i="2"/>
  <c r="BD292" i="2"/>
  <c r="BA292" i="2"/>
  <c r="AZ292" i="2"/>
  <c r="AY292" i="2"/>
  <c r="BC292" i="2" l="1"/>
  <c r="AW292" i="2" s="1"/>
  <c r="AS293" i="2" s="1"/>
  <c r="BB292" i="2"/>
  <c r="AX292" i="2" s="1"/>
  <c r="AT293" i="2" s="1"/>
  <c r="AV293" i="2" l="1"/>
  <c r="AU293" i="2"/>
  <c r="BG293" i="2"/>
  <c r="BE293" i="2" l="1"/>
  <c r="BF293" i="2"/>
  <c r="BA293" i="2" s="1"/>
  <c r="BC293" i="2"/>
  <c r="AY293" i="2"/>
  <c r="BB293" i="2"/>
  <c r="AZ293" i="2"/>
  <c r="BD293" i="2" l="1"/>
  <c r="AX293" i="2" s="1"/>
  <c r="AT294" i="2" s="1"/>
  <c r="AW293" i="2"/>
  <c r="AS294" i="2" s="1"/>
  <c r="AU294" i="2" l="1"/>
  <c r="AV294" i="2"/>
  <c r="BG294" i="2" l="1"/>
  <c r="BF294" i="2"/>
  <c r="BA294" i="2" s="1"/>
  <c r="BE294" i="2"/>
  <c r="BC294" i="2"/>
  <c r="AY294" i="2"/>
  <c r="BB294" i="2"/>
  <c r="AZ294" i="2"/>
  <c r="BD294" i="2" l="1"/>
  <c r="AX294" i="2" s="1"/>
  <c r="AT295" i="2" s="1"/>
  <c r="AW294" i="2"/>
  <c r="AS295" i="2" s="1"/>
  <c r="AV295" i="2" l="1"/>
  <c r="AU295" i="2"/>
  <c r="BG295" i="2"/>
  <c r="BE295" i="2" l="1"/>
  <c r="BF295" i="2"/>
  <c r="BD295" i="2"/>
  <c r="BC295" i="2" l="1"/>
  <c r="AY295" i="2"/>
  <c r="AZ295" i="2"/>
  <c r="BA295" i="2"/>
  <c r="BB295" i="2"/>
  <c r="AX295" i="2" l="1"/>
  <c r="AT296" i="2" s="1"/>
  <c r="AW295" i="2"/>
  <c r="AS296" i="2" s="1"/>
  <c r="AU296" i="2" l="1"/>
  <c r="AV296" i="2"/>
  <c r="BG296" i="2" l="1"/>
  <c r="BF296" i="2"/>
  <c r="BA296" i="2" s="1"/>
  <c r="BE296" i="2"/>
  <c r="AY296" i="2" s="1"/>
  <c r="BD296" i="2"/>
  <c r="BC296" i="2" l="1"/>
  <c r="BB296" i="2"/>
  <c r="AW296" i="2"/>
  <c r="AS297" i="2" s="1"/>
  <c r="AZ296" i="2"/>
  <c r="AX296" i="2" l="1"/>
  <c r="AT297" i="2" s="1"/>
  <c r="AU297" i="2"/>
  <c r="AV297" i="2"/>
  <c r="BG297" i="2" l="1"/>
  <c r="BF297" i="2"/>
  <c r="BB297" i="2" s="1"/>
  <c r="BE297" i="2"/>
  <c r="AZ297" i="2" s="1"/>
  <c r="BC297" i="2"/>
  <c r="AY297" i="2"/>
  <c r="BA297" i="2" l="1"/>
  <c r="BD297" i="2"/>
  <c r="AX297" i="2" s="1"/>
  <c r="AT298" i="2" s="1"/>
  <c r="AW297" i="2"/>
  <c r="AS298" i="2" s="1"/>
  <c r="AU298" i="2" l="1"/>
  <c r="BE298" i="2"/>
  <c r="AV298" i="2"/>
  <c r="BG298" i="2" l="1"/>
  <c r="BF298" i="2"/>
  <c r="BA298" i="2" s="1"/>
  <c r="BC298" i="2"/>
  <c r="BD298" i="2" l="1"/>
  <c r="AZ298" i="2"/>
  <c r="AY298" i="2"/>
  <c r="AW298" i="2" s="1"/>
  <c r="AS299" i="2" s="1"/>
  <c r="BB298" i="2"/>
  <c r="AU299" i="2" l="1"/>
  <c r="AX298" i="2"/>
  <c r="AT299" i="2" s="1"/>
  <c r="AV299" i="2" l="1"/>
  <c r="BE299" i="2"/>
  <c r="BG299" i="2" l="1"/>
  <c r="BF299" i="2"/>
  <c r="AY299" i="2"/>
  <c r="BC299" i="2"/>
  <c r="AZ299" i="2"/>
  <c r="BA299" i="2"/>
  <c r="AW299" i="2" s="1"/>
  <c r="AS300" i="2" s="1"/>
  <c r="BD299" i="2" l="1"/>
  <c r="AU300" i="2"/>
  <c r="BB299" i="2"/>
  <c r="AX299" i="2" s="1"/>
  <c r="AT300" i="2" s="1"/>
  <c r="BE300" i="2" l="1"/>
  <c r="AV300" i="2"/>
  <c r="BG300" i="2" l="1"/>
  <c r="BC300" i="2" s="1"/>
  <c r="BF300" i="2"/>
  <c r="BA300" i="2" s="1"/>
  <c r="AZ300" i="2"/>
  <c r="AY300" i="2"/>
  <c r="BB300" i="2"/>
  <c r="BD300" i="2" l="1"/>
  <c r="AW300" i="2"/>
  <c r="AX300" i="2"/>
  <c r="AV301" i="2" l="1"/>
  <c r="AT301" i="2"/>
  <c r="AU301" i="2"/>
  <c r="AS301" i="2"/>
  <c r="BG301" i="2"/>
  <c r="BF301" i="2"/>
  <c r="BA301" i="2" s="1"/>
  <c r="BE301" i="2"/>
  <c r="BC301" i="2"/>
  <c r="AY301" i="2"/>
  <c r="BD301" i="2" l="1"/>
  <c r="AZ301" i="2"/>
  <c r="AW301" i="2"/>
  <c r="AS302" i="2" s="1"/>
  <c r="BB301" i="2"/>
  <c r="AU302" i="2" l="1"/>
  <c r="AX301" i="2"/>
  <c r="AT302" i="2" s="1"/>
  <c r="BE302" i="2" l="1"/>
  <c r="AV302" i="2"/>
  <c r="BG302" i="2" l="1"/>
  <c r="BF302" i="2"/>
  <c r="BA302" i="2" s="1"/>
  <c r="BC302" i="2"/>
  <c r="BD302" i="2" l="1"/>
  <c r="AZ302" i="2"/>
  <c r="AY302" i="2"/>
  <c r="AW302" i="2" s="1"/>
  <c r="AS303" i="2" s="1"/>
  <c r="BB302" i="2"/>
  <c r="AU303" i="2" l="1"/>
  <c r="AX302" i="2"/>
  <c r="AT303" i="2" s="1"/>
  <c r="AV303" i="2" l="1"/>
  <c r="BE303" i="2"/>
  <c r="BG303" i="2" l="1"/>
  <c r="BC303" i="2" s="1"/>
  <c r="BF303" i="2"/>
  <c r="BA303" i="2" s="1"/>
  <c r="AY303" i="2"/>
  <c r="BB303" i="2" l="1"/>
  <c r="AW303" i="2"/>
  <c r="AS304" i="2" s="1"/>
  <c r="BD303" i="2"/>
  <c r="AU304" i="2"/>
  <c r="AZ303" i="2"/>
  <c r="AX303" i="2" s="1"/>
  <c r="AT304" i="2" s="1"/>
  <c r="AV304" i="2" l="1"/>
  <c r="BE304" i="2"/>
  <c r="BG304" i="2" l="1"/>
  <c r="BF304" i="2"/>
  <c r="BA304" i="2" s="1"/>
  <c r="AZ304" i="2"/>
  <c r="AY304" i="2"/>
  <c r="BB304" i="2"/>
  <c r="BD304" i="2"/>
  <c r="BC304" i="2" l="1"/>
  <c r="AW304" i="2" s="1"/>
  <c r="AS305" i="2" s="1"/>
  <c r="AX304" i="2"/>
  <c r="AT305" i="2" s="1"/>
  <c r="AU305" i="2" l="1"/>
  <c r="AV305" i="2"/>
  <c r="BG305" i="2" l="1"/>
  <c r="BD305" i="2" s="1"/>
  <c r="BF305" i="2"/>
  <c r="BA305" i="2" s="1"/>
  <c r="BE305" i="2"/>
  <c r="AY305" i="2" s="1"/>
  <c r="BB305" i="2"/>
  <c r="AZ305" i="2" l="1"/>
  <c r="BC305" i="2"/>
  <c r="AW305" i="2" s="1"/>
  <c r="AX305" i="2"/>
  <c r="AV306" i="2" l="1"/>
  <c r="AT306" i="2"/>
  <c r="AU306" i="2"/>
  <c r="AS306" i="2"/>
  <c r="BF306" i="2" l="1"/>
  <c r="BB306" i="2" s="1"/>
  <c r="BA306" i="2"/>
  <c r="BE306" i="2"/>
  <c r="AZ306" i="2" s="1"/>
  <c r="BG306" i="2"/>
  <c r="BC306" i="2" s="1"/>
  <c r="BD306" i="2" l="1"/>
  <c r="AX306" i="2" s="1"/>
  <c r="AT307" i="2" s="1"/>
  <c r="AY306" i="2"/>
  <c r="AW306" i="2" s="1"/>
  <c r="AS307" i="2" s="1"/>
  <c r="AV307" i="2" l="1"/>
  <c r="BG307" i="2"/>
  <c r="BC307" i="2" s="1"/>
  <c r="AU307" i="2"/>
  <c r="BF307" i="2"/>
  <c r="BE307" i="2"/>
  <c r="AZ307" i="2" s="1"/>
  <c r="BA307" i="2"/>
  <c r="AY307" i="2" l="1"/>
  <c r="BD307" i="2"/>
  <c r="AW307" i="2"/>
  <c r="AU308" i="2" s="1"/>
  <c r="BB307" i="2"/>
  <c r="AS308" i="2" l="1"/>
  <c r="AX307" i="2"/>
  <c r="AV308" i="2" l="1"/>
  <c r="AT308" i="2"/>
  <c r="BE308" i="2"/>
  <c r="AY308" i="2" s="1"/>
  <c r="BF308" i="2" l="1"/>
  <c r="BA308" i="2" s="1"/>
  <c r="BB308" i="2"/>
  <c r="BG308" i="2"/>
  <c r="BC308" i="2" s="1"/>
  <c r="AZ308" i="2"/>
  <c r="AW308" i="2" l="1"/>
  <c r="AS309" i="2" s="1"/>
  <c r="AU309" i="2"/>
  <c r="BD308" i="2"/>
  <c r="AX308" i="2" s="1"/>
  <c r="AV309" i="2" l="1"/>
  <c r="AT309" i="2"/>
  <c r="BE309" i="2"/>
  <c r="AY309" i="2" s="1"/>
  <c r="BF309" i="2" l="1"/>
  <c r="BA309" i="2" s="1"/>
  <c r="BG309" i="2"/>
  <c r="BC309" i="2" s="1"/>
  <c r="AZ309" i="2"/>
  <c r="BD309" i="2" l="1"/>
  <c r="AW309" i="2"/>
  <c r="AS310" i="2" s="1"/>
  <c r="BB309" i="2"/>
  <c r="AX309" i="2" s="1"/>
  <c r="AT310" i="2" s="1"/>
  <c r="AU310" i="2"/>
  <c r="AV310" i="2" l="1"/>
  <c r="BE310" i="2"/>
  <c r="AY310" i="2" s="1"/>
  <c r="BF310" i="2"/>
  <c r="BA310" i="2" s="1"/>
  <c r="BB310" i="2" l="1"/>
  <c r="BG310" i="2"/>
  <c r="BC310" i="2" s="1"/>
  <c r="AW310" i="2" s="1"/>
  <c r="AS311" i="2" s="1"/>
  <c r="AZ310" i="2"/>
  <c r="BD310" i="2" l="1"/>
  <c r="AX310" i="2" s="1"/>
  <c r="AT311" i="2" s="1"/>
  <c r="AU311" i="2"/>
  <c r="AV311" i="2"/>
  <c r="BG311" i="2" l="1"/>
  <c r="BC311" i="2" s="1"/>
  <c r="BF311" i="2"/>
  <c r="BE311" i="2"/>
  <c r="AY311" i="2" s="1"/>
  <c r="BA311" i="2"/>
  <c r="BB311" i="2"/>
  <c r="AZ311" i="2"/>
  <c r="BD311" i="2" l="1"/>
  <c r="AX311" i="2" s="1"/>
  <c r="AT312" i="2" s="1"/>
  <c r="AW311" i="2"/>
  <c r="AS312" i="2" s="1"/>
  <c r="AU312" i="2" l="1"/>
  <c r="AV312" i="2"/>
  <c r="BG312" i="2" l="1"/>
  <c r="BD312" i="2" s="1"/>
  <c r="BF312" i="2"/>
  <c r="BE312" i="2"/>
  <c r="AZ312" i="2" s="1"/>
  <c r="BA312" i="2"/>
  <c r="AY312" i="2" l="1"/>
  <c r="BC312" i="2"/>
  <c r="AW312" i="2" s="1"/>
  <c r="AS313" i="2" s="1"/>
  <c r="BB312" i="2"/>
  <c r="AX312" i="2" s="1"/>
  <c r="AT313" i="2" s="1"/>
  <c r="AU313" i="2" l="1"/>
  <c r="AV313" i="2"/>
  <c r="BG313" i="2" l="1"/>
  <c r="BC313" i="2" s="1"/>
  <c r="BF313" i="2"/>
  <c r="BA313" i="2" s="1"/>
  <c r="BE313" i="2"/>
  <c r="AY313" i="2" s="1"/>
  <c r="BD313" i="2" l="1"/>
  <c r="AW313" i="2"/>
  <c r="AS314" i="2" s="1"/>
  <c r="AZ313" i="2"/>
  <c r="BB313" i="2"/>
  <c r="AX313" i="2" l="1"/>
  <c r="AT314" i="2" s="1"/>
  <c r="AU314" i="2"/>
  <c r="BE314" i="2" l="1"/>
  <c r="AV314" i="2"/>
  <c r="BG314" i="2" l="1"/>
  <c r="BF314" i="2"/>
  <c r="BA314" i="2" s="1"/>
  <c r="AY314" i="2"/>
  <c r="BC314" i="2"/>
  <c r="BB314" i="2" l="1"/>
  <c r="AW314" i="2"/>
  <c r="AS315" i="2" s="1"/>
  <c r="BD314" i="2"/>
  <c r="AU315" i="2"/>
  <c r="AZ314" i="2"/>
  <c r="AX314" i="2" l="1"/>
  <c r="AV315" i="2" l="1"/>
  <c r="AT315" i="2"/>
  <c r="BG315" i="2"/>
  <c r="BE315" i="2" l="1"/>
  <c r="BF315" i="2"/>
  <c r="BA315" i="2" s="1"/>
  <c r="BC315" i="2"/>
  <c r="BD315" i="2"/>
  <c r="BB315" i="2"/>
  <c r="AY315" i="2" l="1"/>
  <c r="AW315" i="2" s="1"/>
  <c r="AS316" i="2" s="1"/>
  <c r="AZ315" i="2"/>
  <c r="AX315" i="2" s="1"/>
  <c r="AT316" i="2" s="1"/>
  <c r="AV316" i="2" l="1"/>
  <c r="BG316" i="2"/>
  <c r="AU316" i="2"/>
  <c r="BE316" i="2" l="1"/>
  <c r="BF316" i="2"/>
  <c r="BC316" i="2"/>
  <c r="BD316" i="2" l="1"/>
  <c r="AY316" i="2"/>
  <c r="AZ316" i="2"/>
  <c r="BA316" i="2"/>
  <c r="BB316" i="2"/>
  <c r="AX316" i="2" l="1"/>
  <c r="AT317" i="2" s="1"/>
  <c r="AW316" i="2"/>
  <c r="AS317" i="2" s="1"/>
  <c r="AU317" i="2" l="1"/>
  <c r="AV317" i="2"/>
  <c r="BG317" i="2" l="1"/>
  <c r="BF317" i="2"/>
  <c r="BE317" i="2"/>
  <c r="AY317" i="2" s="1"/>
  <c r="BC317" i="2"/>
  <c r="AZ317" i="2" l="1"/>
  <c r="BA317" i="2"/>
  <c r="AW317" i="2" s="1"/>
  <c r="AS318" i="2" s="1"/>
  <c r="BB317" i="2"/>
  <c r="BD317" i="2"/>
  <c r="AX317" i="2" l="1"/>
  <c r="AT318" i="2" s="1"/>
  <c r="AV318" i="2"/>
  <c r="BG318" i="2"/>
  <c r="AU318" i="2"/>
  <c r="BE318" i="2" l="1"/>
  <c r="BF318" i="2"/>
  <c r="BC318" i="2"/>
  <c r="BA318" i="2"/>
  <c r="BD318" i="2"/>
  <c r="BB318" i="2"/>
  <c r="AY318" i="2" l="1"/>
  <c r="AW318" i="2" s="1"/>
  <c r="AS319" i="2" s="1"/>
  <c r="AZ318" i="2"/>
  <c r="AX318" i="2" s="1"/>
  <c r="AT319" i="2" s="1"/>
  <c r="AV319" i="2" l="1"/>
  <c r="AU319" i="2"/>
  <c r="BG319" i="2"/>
  <c r="BE319" i="2" l="1"/>
  <c r="BF319" i="2"/>
  <c r="AZ319" i="2"/>
  <c r="AY319" i="2"/>
  <c r="BA319" i="2"/>
  <c r="BC319" i="2"/>
  <c r="BB319" i="2"/>
  <c r="BD319" i="2" l="1"/>
  <c r="AX319" i="2" s="1"/>
  <c r="AT320" i="2" s="1"/>
  <c r="AW319" i="2"/>
  <c r="AS320" i="2" s="1"/>
  <c r="AV320" i="2" l="1"/>
  <c r="AU320" i="2"/>
  <c r="BG320" i="2" l="1"/>
  <c r="BE320" i="2"/>
  <c r="BF320" i="2"/>
  <c r="BA320" i="2" s="1"/>
  <c r="BC320" i="2"/>
  <c r="AY320" i="2"/>
  <c r="BD320" i="2"/>
  <c r="BB320" i="2"/>
  <c r="AZ320" i="2"/>
  <c r="AW320" i="2" l="1"/>
  <c r="AS321" i="2" s="1"/>
  <c r="AX320" i="2"/>
  <c r="AT321" i="2" s="1"/>
  <c r="AU321" i="2"/>
  <c r="BE321" i="2" l="1"/>
  <c r="AV321" i="2"/>
  <c r="BG321" i="2" l="1"/>
  <c r="BF321" i="2"/>
  <c r="BC321" i="2"/>
  <c r="BA321" i="2" l="1"/>
  <c r="BB321" i="2"/>
  <c r="AZ321" i="2"/>
  <c r="AY321" i="2"/>
  <c r="BD321" i="2"/>
  <c r="AW321" i="2" l="1"/>
  <c r="AS322" i="2" s="1"/>
  <c r="AX321" i="2"/>
  <c r="AT322" i="2" s="1"/>
  <c r="AU322" i="2" l="1"/>
  <c r="AV322" i="2"/>
  <c r="BE322" i="2"/>
  <c r="BG322" i="2" l="1"/>
  <c r="BF322" i="2"/>
  <c r="BC322" i="2"/>
  <c r="AY322" i="2"/>
  <c r="BD322" i="2"/>
  <c r="BA322" i="2"/>
  <c r="BB322" i="2"/>
  <c r="AZ322" i="2"/>
  <c r="AX322" i="2" l="1"/>
  <c r="AT323" i="2" s="1"/>
  <c r="AW322" i="2"/>
  <c r="AS323" i="2" s="1"/>
  <c r="AU323" i="2" l="1"/>
  <c r="AV323" i="2"/>
  <c r="BG323" i="2" l="1"/>
  <c r="BF323" i="2"/>
  <c r="BE323" i="2"/>
  <c r="BC323" i="2"/>
  <c r="AY323" i="2"/>
  <c r="BA323" i="2" l="1"/>
  <c r="AW323" i="2" s="1"/>
  <c r="AS324" i="2" s="1"/>
  <c r="BB323" i="2"/>
  <c r="AZ323" i="2"/>
  <c r="BD323" i="2"/>
  <c r="AU324" i="2" l="1"/>
  <c r="AX323" i="2"/>
  <c r="AT324" i="2" s="1"/>
  <c r="AV324" i="2" l="1"/>
  <c r="BE324" i="2"/>
  <c r="AY324" i="2" s="1"/>
  <c r="BG324" i="2" l="1"/>
  <c r="BC324" i="2" s="1"/>
  <c r="BF324" i="2"/>
  <c r="BA324" i="2" s="1"/>
  <c r="AW324" i="2" s="1"/>
  <c r="AS325" i="2" s="1"/>
  <c r="BD324" i="2"/>
  <c r="AZ324" i="2"/>
  <c r="BB324" i="2"/>
  <c r="AX324" i="2" l="1"/>
  <c r="AT325" i="2" s="1"/>
  <c r="AU325" i="2"/>
  <c r="AV325" i="2" l="1"/>
  <c r="BE325" i="2"/>
  <c r="BG325" i="2" l="1"/>
  <c r="BF325" i="2"/>
  <c r="BC325" i="2"/>
  <c r="AZ325" i="2" l="1"/>
  <c r="AY325" i="2"/>
  <c r="BA325" i="2"/>
  <c r="BB325" i="2"/>
  <c r="BD325" i="2"/>
  <c r="AW325" i="2" l="1"/>
  <c r="AX325" i="2"/>
  <c r="AT326" i="2" s="1"/>
  <c r="AU326" i="2" l="1"/>
  <c r="AS326" i="2"/>
  <c r="AV326" i="2"/>
  <c r="BE326" i="2"/>
  <c r="BG326" i="2" l="1"/>
  <c r="BF326" i="2"/>
  <c r="BC326" i="2"/>
  <c r="BD326" i="2" l="1"/>
  <c r="AZ326" i="2"/>
  <c r="AY326" i="2"/>
  <c r="BA326" i="2"/>
  <c r="BB326" i="2"/>
  <c r="AW326" i="2" l="1"/>
  <c r="AS327" i="2" s="1"/>
  <c r="AU327" i="2"/>
  <c r="AX326" i="2"/>
  <c r="AT327" i="2" s="1"/>
  <c r="BE327" i="2" l="1"/>
  <c r="AY327" i="2" s="1"/>
  <c r="AV327" i="2"/>
  <c r="BG327" i="2" l="1"/>
  <c r="BF327" i="2"/>
  <c r="BA327" i="2" s="1"/>
  <c r="BC327" i="2"/>
  <c r="AZ327" i="2"/>
  <c r="BB327" i="2" l="1"/>
  <c r="AW327" i="2"/>
  <c r="BD327" i="2"/>
  <c r="AX327" i="2" s="1"/>
  <c r="AT328" i="2" s="1"/>
  <c r="AU328" i="2" l="1"/>
  <c r="AS328" i="2"/>
  <c r="AV328" i="2"/>
  <c r="BE328" i="2"/>
  <c r="AY328" i="2" s="1"/>
  <c r="BG328" i="2" l="1"/>
  <c r="BC328" i="2" s="1"/>
  <c r="BF328" i="2"/>
  <c r="BA328" i="2" s="1"/>
  <c r="AZ328" i="2"/>
  <c r="BD328" i="2" l="1"/>
  <c r="BB328" i="2"/>
  <c r="AX328" i="2" s="1"/>
  <c r="AT329" i="2" s="1"/>
  <c r="AW328" i="2"/>
  <c r="AS329" i="2" s="1"/>
  <c r="AU329" i="2" l="1"/>
  <c r="AV329" i="2"/>
  <c r="BF329" i="2"/>
  <c r="BG329" i="2" l="1"/>
  <c r="BC329" i="2" s="1"/>
  <c r="BE329" i="2"/>
  <c r="AY329" i="2" s="1"/>
  <c r="BD329" i="2" l="1"/>
  <c r="AZ329" i="2"/>
  <c r="BA329" i="2"/>
  <c r="AW329" i="2" s="1"/>
  <c r="AS330" i="2" s="1"/>
  <c r="BB329" i="2"/>
  <c r="AX329" i="2" l="1"/>
  <c r="AT330" i="2" s="1"/>
  <c r="AU330" i="2"/>
  <c r="AV330" i="2"/>
  <c r="BG330" i="2" l="1"/>
  <c r="BC330" i="2" s="1"/>
  <c r="BF330" i="2"/>
  <c r="BA330" i="2" s="1"/>
  <c r="BE330" i="2"/>
  <c r="AZ330" i="2" s="1"/>
  <c r="BB330" i="2"/>
  <c r="AY330" i="2"/>
  <c r="AW330" i="2" l="1"/>
  <c r="AS331" i="2" s="1"/>
  <c r="BD330" i="2"/>
  <c r="AX330" i="2" s="1"/>
  <c r="AT331" i="2" s="1"/>
  <c r="AU331" i="2"/>
  <c r="AV331" i="2" l="1"/>
  <c r="BF331" i="2"/>
  <c r="BG331" i="2" l="1"/>
  <c r="BE331" i="2"/>
  <c r="AZ331" i="2" l="1"/>
  <c r="AY331" i="2"/>
  <c r="BA331" i="2"/>
  <c r="BB331" i="2"/>
  <c r="BC331" i="2"/>
  <c r="BD331" i="2"/>
  <c r="AX331" i="2" l="1"/>
  <c r="AT332" i="2" s="1"/>
  <c r="AW331" i="2"/>
  <c r="AS332" i="2" s="1"/>
  <c r="AU332" i="2" l="1"/>
  <c r="AV332" i="2"/>
  <c r="BG332" i="2" l="1"/>
  <c r="BF332" i="2"/>
  <c r="BE332" i="2"/>
  <c r="AZ332" i="2" s="1"/>
  <c r="AY332" i="2" l="1"/>
  <c r="BA332" i="2"/>
  <c r="BB332" i="2"/>
  <c r="BC332" i="2"/>
  <c r="AW332" i="2" s="1"/>
  <c r="AS333" i="2" s="1"/>
  <c r="BD332" i="2"/>
  <c r="AX332" i="2" l="1"/>
  <c r="AT333" i="2" s="1"/>
  <c r="AU333" i="2"/>
  <c r="AV333" i="2" l="1"/>
  <c r="BG333" i="2" l="1"/>
  <c r="BC333" i="2" s="1"/>
  <c r="BF333" i="2"/>
  <c r="BE333" i="2"/>
  <c r="BD333" i="2" l="1"/>
  <c r="BA333" i="2"/>
  <c r="BB333" i="2"/>
  <c r="AY333" i="2"/>
  <c r="AZ333" i="2"/>
  <c r="AX333" i="2" s="1"/>
  <c r="AT334" i="2" s="1"/>
  <c r="AW333" i="2" l="1"/>
  <c r="AS334" i="2" s="1"/>
  <c r="AV334" i="2"/>
  <c r="AU334" i="2"/>
  <c r="BG334" i="2"/>
  <c r="BE334" i="2" l="1"/>
  <c r="AZ334" i="2" s="1"/>
  <c r="BF334" i="2"/>
  <c r="BB334" i="2" s="1"/>
  <c r="AY334" i="2" l="1"/>
  <c r="BD334" i="2"/>
  <c r="AX334" i="2" s="1"/>
  <c r="AT335" i="2" s="1"/>
  <c r="BC334" i="2"/>
  <c r="BA334" i="2"/>
  <c r="AV335" i="2"/>
  <c r="AW334" i="2" l="1"/>
  <c r="AS335" i="2" s="1"/>
  <c r="AU335" i="2"/>
  <c r="BE335" i="2"/>
  <c r="BF335" i="2" l="1"/>
  <c r="BA335" i="2" s="1"/>
  <c r="BG335" i="2"/>
  <c r="BC335" i="2" s="1"/>
  <c r="AZ335" i="2"/>
  <c r="AY335" i="2"/>
  <c r="BB335" i="2"/>
  <c r="AW335" i="2" l="1"/>
  <c r="AS336" i="2" s="1"/>
  <c r="BD335" i="2"/>
  <c r="AX335" i="2" s="1"/>
  <c r="AT336" i="2" s="1"/>
  <c r="AU336" i="2"/>
  <c r="BE336" i="2" l="1"/>
  <c r="AV336" i="2"/>
  <c r="BG336" i="2" l="1"/>
  <c r="BF336" i="2"/>
  <c r="AY336" i="2"/>
  <c r="BC336" i="2"/>
  <c r="BA336" i="2"/>
  <c r="BD336" i="2" l="1"/>
  <c r="AW336" i="2"/>
  <c r="AS337" i="2" s="1"/>
  <c r="AZ336" i="2"/>
  <c r="BB336" i="2"/>
  <c r="AX336" i="2" l="1"/>
  <c r="AT337" i="2" s="1"/>
  <c r="AV337" i="2"/>
  <c r="BG337" i="2"/>
  <c r="AU337" i="2"/>
  <c r="BE337" i="2" l="1"/>
  <c r="BF337" i="2"/>
  <c r="BC337" i="2"/>
  <c r="AY337" i="2"/>
  <c r="BA337" i="2"/>
  <c r="BB337" i="2"/>
  <c r="AZ337" i="2"/>
  <c r="BD337" i="2" l="1"/>
  <c r="AX337" i="2"/>
  <c r="AW337" i="2"/>
  <c r="AS338" i="2" s="1"/>
  <c r="AV338" i="2" l="1"/>
  <c r="AT338" i="2"/>
  <c r="BG338" i="2"/>
  <c r="AU338" i="2"/>
  <c r="BE338" i="2" l="1"/>
  <c r="BF338" i="2"/>
  <c r="BD338" i="2"/>
  <c r="AZ338" i="2"/>
  <c r="BB338" i="2"/>
  <c r="AY338" i="2"/>
  <c r="BC338" i="2" l="1"/>
  <c r="AX338" i="2"/>
  <c r="AT339" i="2" s="1"/>
  <c r="BA338" i="2"/>
  <c r="AW338" i="2" s="1"/>
  <c r="AS339" i="2" s="1"/>
  <c r="AU339" i="2" l="1"/>
  <c r="AV339" i="2"/>
  <c r="BG339" i="2" l="1"/>
  <c r="BF339" i="2"/>
  <c r="BE339" i="2"/>
  <c r="AY339" i="2" s="1"/>
  <c r="BC339" i="2"/>
  <c r="BA339" i="2"/>
  <c r="BB339" i="2"/>
  <c r="AZ339" i="2"/>
  <c r="BD339" i="2" l="1"/>
  <c r="AW339" i="2"/>
  <c r="AS340" i="2" s="1"/>
  <c r="AX339" i="2"/>
  <c r="AT340" i="2" s="1"/>
  <c r="AV340" i="2" l="1"/>
  <c r="BG340" i="2"/>
  <c r="AU340" i="2"/>
  <c r="BE340" i="2" l="1"/>
  <c r="BF340" i="2"/>
  <c r="BA340" i="2" s="1"/>
  <c r="AY340" i="2"/>
  <c r="BC340" i="2"/>
  <c r="BB340" i="2"/>
  <c r="AZ340" i="2"/>
  <c r="BD340" i="2" l="1"/>
  <c r="AW340" i="2"/>
  <c r="AS341" i="2" s="1"/>
  <c r="AX340" i="2"/>
  <c r="AT341" i="2" s="1"/>
  <c r="AV341" i="2" l="1"/>
  <c r="BG341" i="2"/>
  <c r="AU341" i="2"/>
  <c r="BE341" i="2" l="1"/>
  <c r="BF341" i="2"/>
  <c r="BC341" i="2"/>
  <c r="AZ341" i="2"/>
  <c r="BA341" i="2"/>
  <c r="AY341" i="2"/>
  <c r="BD341" i="2" l="1"/>
  <c r="AW341" i="2"/>
  <c r="AS342" i="2" s="1"/>
  <c r="BB341" i="2"/>
  <c r="AX341" i="2" s="1"/>
  <c r="AT342" i="2" s="1"/>
  <c r="AV342" i="2" l="1"/>
  <c r="AU342" i="2"/>
  <c r="BG342" i="2"/>
  <c r="BE342" i="2" l="1"/>
  <c r="AZ342" i="2" s="1"/>
  <c r="BF342" i="2"/>
  <c r="BA342" i="2" s="1"/>
  <c r="BC342" i="2"/>
  <c r="BB342" i="2"/>
  <c r="AY342" i="2" l="1"/>
  <c r="BD342" i="2"/>
  <c r="AX342" i="2" s="1"/>
  <c r="AT343" i="2" s="1"/>
  <c r="AW342" i="2"/>
  <c r="AS343" i="2" s="1"/>
  <c r="AV343" i="2" l="1"/>
  <c r="BG343" i="2"/>
  <c r="AU343" i="2"/>
  <c r="BE343" i="2" l="1"/>
  <c r="BF343" i="2"/>
  <c r="BD343" i="2"/>
  <c r="AZ343" i="2"/>
  <c r="AY343" i="2"/>
  <c r="BC343" i="2" l="1"/>
  <c r="BA343" i="2"/>
  <c r="AW343" i="2" s="1"/>
  <c r="AS344" i="2" s="1"/>
  <c r="BB343" i="2"/>
  <c r="AX343" i="2" s="1"/>
  <c r="AT344" i="2" s="1"/>
  <c r="AV344" i="2" l="1"/>
  <c r="BG344" i="2"/>
  <c r="AU344" i="2"/>
  <c r="BE344" i="2" l="1"/>
  <c r="BF344" i="2"/>
  <c r="BD344" i="2"/>
  <c r="BA344" i="2"/>
  <c r="AZ344" i="2"/>
  <c r="AY344" i="2"/>
  <c r="BC344" i="2" l="1"/>
  <c r="AW344" i="2" s="1"/>
  <c r="AS345" i="2" s="1"/>
  <c r="BB344" i="2"/>
  <c r="AX344" i="2" s="1"/>
  <c r="AT345" i="2" s="1"/>
  <c r="AU345" i="2" l="1"/>
  <c r="AV345" i="2"/>
  <c r="BG345" i="2" l="1"/>
  <c r="BC345" i="2" s="1"/>
  <c r="BF345" i="2"/>
  <c r="BA345" i="2" s="1"/>
  <c r="BE345" i="2"/>
  <c r="AZ345" i="2" s="1"/>
  <c r="BD345" i="2"/>
  <c r="AY345" i="2"/>
  <c r="BB345" i="2"/>
  <c r="AW345" i="2" l="1"/>
  <c r="AS346" i="2" s="1"/>
  <c r="AX345" i="2"/>
  <c r="AU346" i="2"/>
  <c r="AV346" i="2" l="1"/>
  <c r="AT346" i="2"/>
  <c r="BF346" i="2" l="1"/>
  <c r="BA346" i="2" s="1"/>
  <c r="BE346" i="2"/>
  <c r="BG346" i="2"/>
  <c r="BC346" i="2" s="1"/>
  <c r="BD346" i="2"/>
  <c r="BB346" i="2"/>
  <c r="AZ346" i="2" l="1"/>
  <c r="AY346" i="2"/>
  <c r="AW346" i="2" s="1"/>
  <c r="AS347" i="2" s="1"/>
  <c r="AX346" i="2"/>
  <c r="AT347" i="2" s="1"/>
  <c r="AV347" i="2"/>
  <c r="AU347" i="2"/>
  <c r="BG347" i="2"/>
  <c r="BE347" i="2" l="1"/>
  <c r="BF347" i="2"/>
  <c r="BC347" i="2"/>
  <c r="BA347" i="2"/>
  <c r="AZ347" i="2"/>
  <c r="AY347" i="2"/>
  <c r="BB347" i="2"/>
  <c r="BD347" i="2" l="1"/>
  <c r="AW347" i="2"/>
  <c r="AX347" i="2"/>
  <c r="AT348" i="2" s="1"/>
  <c r="AU348" i="2" l="1"/>
  <c r="AS348" i="2"/>
  <c r="AV348" i="2"/>
  <c r="BG348" i="2" l="1"/>
  <c r="BE348" i="2"/>
  <c r="BF348" i="2"/>
  <c r="BA348" i="2" s="1"/>
  <c r="BC348" i="2"/>
  <c r="BD348" i="2" l="1"/>
  <c r="AZ348" i="2"/>
  <c r="AY348" i="2"/>
  <c r="AW348" i="2" s="1"/>
  <c r="AS349" i="2" s="1"/>
  <c r="BB348" i="2"/>
  <c r="AU349" i="2" l="1"/>
  <c r="AX348" i="2"/>
  <c r="AT349" i="2" s="1"/>
  <c r="BE349" i="2" l="1"/>
  <c r="AV349" i="2"/>
  <c r="BG349" i="2" l="1"/>
  <c r="BF349" i="2"/>
  <c r="AY349" i="2"/>
  <c r="AZ349" i="2"/>
  <c r="BC349" i="2"/>
  <c r="BA349" i="2"/>
  <c r="AW349" i="2" l="1"/>
  <c r="AS350" i="2" s="1"/>
  <c r="BD349" i="2"/>
  <c r="AU350" i="2"/>
  <c r="BB349" i="2"/>
  <c r="AX349" i="2" l="1"/>
  <c r="AT350" i="2" s="1"/>
  <c r="AV350" i="2" l="1"/>
  <c r="BG350" i="2"/>
  <c r="BE350" i="2" l="1"/>
  <c r="BF350" i="2"/>
  <c r="BA350" i="2" s="1"/>
  <c r="AY350" i="2"/>
  <c r="BC350" i="2"/>
  <c r="BD350" i="2" l="1"/>
  <c r="AZ350" i="2"/>
  <c r="AW350" i="2"/>
  <c r="AS351" i="2" s="1"/>
  <c r="BB350" i="2"/>
  <c r="AU351" i="2" l="1"/>
  <c r="AX350" i="2"/>
  <c r="AT351" i="2" s="1"/>
  <c r="BE351" i="2" l="1"/>
  <c r="AV351" i="2"/>
  <c r="BG351" i="2" l="1"/>
  <c r="BC351" i="2" s="1"/>
  <c r="BF351" i="2"/>
  <c r="BA351" i="2" s="1"/>
  <c r="AZ351" i="2"/>
  <c r="AY351" i="2"/>
  <c r="BD351" i="2"/>
  <c r="BB351" i="2"/>
  <c r="AW351" i="2" l="1"/>
  <c r="AS352" i="2" s="1"/>
  <c r="AX351" i="2"/>
  <c r="AU352" i="2"/>
  <c r="AV352" i="2" l="1"/>
  <c r="AT352" i="2"/>
  <c r="BE352" i="2"/>
  <c r="BF352" i="2"/>
  <c r="BA352" i="2"/>
  <c r="AY352" i="2"/>
  <c r="BG352" i="2" l="1"/>
  <c r="BD352" i="2" s="1"/>
  <c r="BC352" i="2"/>
  <c r="AW352" i="2" s="1"/>
  <c r="AS353" i="2" s="1"/>
  <c r="AZ352" i="2"/>
  <c r="BB352" i="2"/>
  <c r="AU353" i="2" l="1"/>
  <c r="AX352" i="2"/>
  <c r="AT353" i="2" s="1"/>
  <c r="BE353" i="2" l="1"/>
  <c r="AV353" i="2"/>
  <c r="BG353" i="2" l="1"/>
  <c r="BF353" i="2"/>
  <c r="BC353" i="2"/>
  <c r="BA353" i="2"/>
  <c r="AY353" i="2"/>
  <c r="BD353" i="2" l="1"/>
  <c r="AW353" i="2"/>
  <c r="AZ353" i="2"/>
  <c r="BB353" i="2"/>
  <c r="AU354" i="2" l="1"/>
  <c r="AS354" i="2"/>
  <c r="AX353" i="2"/>
  <c r="AT354" i="2" s="1"/>
  <c r="AV354" i="2" l="1"/>
  <c r="BE354" i="2"/>
  <c r="BG354" i="2" l="1"/>
  <c r="BF354" i="2"/>
  <c r="AY354" i="2"/>
  <c r="BC354" i="2"/>
  <c r="BA354" i="2"/>
  <c r="BD354" i="2" l="1"/>
  <c r="AZ354" i="2"/>
  <c r="AW354" i="2"/>
  <c r="AS355" i="2" s="1"/>
  <c r="BB354" i="2"/>
  <c r="AU355" i="2" l="1"/>
  <c r="AX354" i="2"/>
  <c r="AT355" i="2" s="1"/>
  <c r="BE355" i="2" l="1"/>
  <c r="AY355" i="2" s="1"/>
  <c r="AV355" i="2"/>
  <c r="BG355" i="2" l="1"/>
  <c r="BF355" i="2"/>
  <c r="BA355" i="2" s="1"/>
  <c r="BD355" i="2"/>
  <c r="BC355" i="2"/>
  <c r="BB355" i="2"/>
  <c r="AZ355" i="2"/>
  <c r="AW355" i="2" l="1"/>
  <c r="AS356" i="2" s="1"/>
  <c r="AX355" i="2"/>
  <c r="AU356" i="2"/>
  <c r="AV356" i="2" l="1"/>
  <c r="AT356" i="2"/>
  <c r="BG356" i="2"/>
  <c r="BF356" i="2"/>
  <c r="BE356" i="2"/>
  <c r="AY356" i="2" s="1"/>
  <c r="BA356" i="2"/>
  <c r="BD356" i="2"/>
  <c r="BC356" i="2"/>
  <c r="BB356" i="2"/>
  <c r="AZ356" i="2"/>
  <c r="AW356" i="2" l="1"/>
  <c r="AS357" i="2" s="1"/>
  <c r="AU357" i="2"/>
  <c r="AX356" i="2"/>
  <c r="AV357" i="2" s="1"/>
  <c r="AT357" i="2" l="1"/>
  <c r="BE357" i="2"/>
  <c r="BG357" i="2" l="1"/>
  <c r="BD357" i="2" s="1"/>
  <c r="BF357" i="2"/>
  <c r="BA357" i="2" l="1"/>
  <c r="BB357" i="2"/>
  <c r="AY357" i="2"/>
  <c r="AZ357" i="2"/>
  <c r="BC357" i="2"/>
  <c r="AX357" i="2" l="1"/>
  <c r="AT358" i="2" s="1"/>
  <c r="AW357" i="2"/>
  <c r="AS358" i="2" s="1"/>
  <c r="AU358" i="2" l="1"/>
  <c r="AV358" i="2"/>
  <c r="BG358" i="2" l="1"/>
  <c r="BD358" i="2" s="1"/>
  <c r="BF358" i="2"/>
  <c r="BA358" i="2" s="1"/>
  <c r="BE358" i="2"/>
  <c r="AY358" i="2" s="1"/>
  <c r="BB358" i="2"/>
  <c r="AZ358" i="2" l="1"/>
  <c r="AX358" i="2" s="1"/>
  <c r="AT359" i="2" s="1"/>
  <c r="BC358" i="2"/>
  <c r="AW358" i="2" s="1"/>
  <c r="AS359" i="2" s="1"/>
  <c r="AV359" i="2" l="1"/>
  <c r="BG359" i="2"/>
  <c r="AU359" i="2"/>
  <c r="BE359" i="2" l="1"/>
  <c r="AY359" i="2" s="1"/>
  <c r="BF359" i="2"/>
  <c r="BD359" i="2"/>
  <c r="AZ359" i="2" l="1"/>
  <c r="BA359" i="2"/>
  <c r="BB359" i="2"/>
  <c r="BC359" i="2"/>
  <c r="AX359" i="2" l="1"/>
  <c r="AW359" i="2"/>
  <c r="AV360" i="2" l="1"/>
  <c r="AT360" i="2"/>
  <c r="AU360" i="2"/>
  <c r="AS360" i="2"/>
  <c r="BG360" i="2"/>
  <c r="BC360" i="2" s="1"/>
  <c r="BF360" i="2" l="1"/>
  <c r="BA360" i="2" s="1"/>
  <c r="BE360" i="2"/>
  <c r="AZ360" i="2" s="1"/>
  <c r="BD360" i="2"/>
  <c r="BB360" i="2"/>
  <c r="AX360" i="2" l="1"/>
  <c r="AT361" i="2" s="1"/>
  <c r="AY360" i="2"/>
  <c r="AW360" i="2" s="1"/>
  <c r="AS361" i="2" s="1"/>
  <c r="AV361" i="2"/>
  <c r="AU361" i="2" l="1"/>
  <c r="BG361" i="2"/>
  <c r="BD361" i="2" s="1"/>
  <c r="BE361" i="2"/>
  <c r="AY361" i="2" s="1"/>
  <c r="BF361" i="2"/>
  <c r="BA361" i="2" s="1"/>
  <c r="AZ361" i="2"/>
  <c r="BB361" i="2"/>
  <c r="AX361" i="2" l="1"/>
  <c r="AT362" i="2" s="1"/>
  <c r="BC361" i="2"/>
  <c r="AW361" i="2" s="1"/>
  <c r="AS362" i="2" s="1"/>
  <c r="AV362" i="2" l="1"/>
  <c r="BG362" i="2"/>
  <c r="AU362" i="2"/>
  <c r="BE362" i="2" l="1"/>
  <c r="BF362" i="2"/>
  <c r="BD362" i="2"/>
  <c r="BA362" i="2" l="1"/>
  <c r="BB362" i="2"/>
  <c r="AY362" i="2"/>
  <c r="AZ362" i="2"/>
  <c r="BC362" i="2"/>
  <c r="AX362" i="2" l="1"/>
  <c r="AT363" i="2" s="1"/>
  <c r="AV363" i="2"/>
  <c r="AW362" i="2"/>
  <c r="AS363" i="2" s="1"/>
  <c r="AU363" i="2" l="1"/>
  <c r="BG363" i="2"/>
  <c r="BE363" i="2" l="1"/>
  <c r="BF363" i="2"/>
  <c r="BD363" i="2"/>
  <c r="AY363" i="2" l="1"/>
  <c r="AZ363" i="2"/>
  <c r="BA363" i="2"/>
  <c r="BB363" i="2"/>
  <c r="BC363" i="2"/>
  <c r="AX363" i="2" l="1"/>
  <c r="AT364" i="2" s="1"/>
  <c r="AW363" i="2"/>
  <c r="AS364" i="2" s="1"/>
  <c r="AU364" i="2" l="1"/>
  <c r="AV364" i="2"/>
  <c r="BG364" i="2" l="1"/>
  <c r="BC364" i="2" s="1"/>
  <c r="BF364" i="2"/>
  <c r="BE364" i="2"/>
  <c r="AY364" i="2" s="1"/>
  <c r="BA364" i="2"/>
  <c r="BD364" i="2" l="1"/>
  <c r="AW364" i="2"/>
  <c r="AS365" i="2" s="1"/>
  <c r="BB364" i="2"/>
  <c r="AZ364" i="2"/>
  <c r="AX364" i="2" l="1"/>
  <c r="AT365" i="2" s="1"/>
  <c r="AU365" i="2"/>
  <c r="BE365" i="2" l="1"/>
  <c r="AV365" i="2"/>
  <c r="BG365" i="2" l="1"/>
  <c r="BC365" i="2" s="1"/>
  <c r="BF365" i="2"/>
  <c r="BA365" i="2" s="1"/>
  <c r="AY365" i="2"/>
  <c r="BD365" i="2" l="1"/>
  <c r="AW365" i="2"/>
  <c r="AS366" i="2" s="1"/>
  <c r="AZ365" i="2"/>
  <c r="BB365" i="2"/>
  <c r="AX365" i="2" l="1"/>
  <c r="AT366" i="2" s="1"/>
  <c r="AU366" i="2"/>
  <c r="BE366" i="2" l="1"/>
  <c r="AV366" i="2"/>
  <c r="BG366" i="2" l="1"/>
  <c r="BF366" i="2"/>
  <c r="BA366" i="2" s="1"/>
  <c r="AY366" i="2"/>
  <c r="BC366" i="2"/>
  <c r="BD366" i="2" l="1"/>
  <c r="BB366" i="2"/>
  <c r="AW366" i="2"/>
  <c r="AS367" i="2" s="1"/>
  <c r="AZ366" i="2"/>
  <c r="AX366" i="2" l="1"/>
  <c r="AT367" i="2" s="1"/>
  <c r="AU367" i="2"/>
  <c r="AV367" i="2"/>
  <c r="BG367" i="2" l="1"/>
  <c r="BF367" i="2"/>
  <c r="BE367" i="2"/>
  <c r="AZ367" i="2" s="1"/>
  <c r="BD367" i="2"/>
  <c r="BA367" i="2"/>
  <c r="AY367" i="2"/>
  <c r="BC367" i="2" l="1"/>
  <c r="AW367" i="2" s="1"/>
  <c r="AS368" i="2" s="1"/>
  <c r="BB367" i="2"/>
  <c r="AX367" i="2" s="1"/>
  <c r="AT368" i="2" s="1"/>
  <c r="AU368" i="2" l="1"/>
  <c r="AV368" i="2"/>
  <c r="BG368" i="2" l="1"/>
  <c r="BF368" i="2"/>
  <c r="BE368" i="2"/>
  <c r="BC368" i="2"/>
  <c r="BA368" i="2"/>
  <c r="AZ368" i="2"/>
  <c r="BD368" i="2" l="1"/>
  <c r="AY368" i="2"/>
  <c r="AW368" i="2" s="1"/>
  <c r="AS369" i="2" s="1"/>
  <c r="BB368" i="2"/>
  <c r="AX368" i="2" s="1"/>
  <c r="AT369" i="2" s="1"/>
  <c r="AV369" i="2" l="1"/>
  <c r="BG369" i="2"/>
  <c r="AU369" i="2"/>
  <c r="BE369" i="2" l="1"/>
  <c r="BF369" i="2"/>
  <c r="BB369" i="2" s="1"/>
  <c r="BD369" i="2"/>
  <c r="AZ369" i="2"/>
  <c r="BA369" i="2"/>
  <c r="AY369" i="2"/>
  <c r="AX369" i="2" l="1"/>
  <c r="AT370" i="2" s="1"/>
  <c r="AV370" i="2"/>
  <c r="BC369" i="2"/>
  <c r="AW369" i="2" s="1"/>
  <c r="AS370" i="2" s="1"/>
  <c r="AU370" i="2" l="1"/>
  <c r="BG370" i="2"/>
  <c r="BE370" i="2" l="1"/>
  <c r="BF370" i="2"/>
  <c r="BD370" i="2"/>
  <c r="AY370" i="2" l="1"/>
  <c r="AZ370" i="2"/>
  <c r="BA370" i="2"/>
  <c r="BB370" i="2"/>
  <c r="BC370" i="2"/>
  <c r="AX370" i="2" l="1"/>
  <c r="AT371" i="2" s="1"/>
  <c r="AW370" i="2"/>
  <c r="AS371" i="2" s="1"/>
  <c r="AU371" i="2" l="1"/>
  <c r="AV371" i="2"/>
  <c r="BG371" i="2" l="1"/>
  <c r="BC371" i="2" s="1"/>
  <c r="BF371" i="2"/>
  <c r="BE371" i="2"/>
  <c r="AZ371" i="2" s="1"/>
  <c r="BA371" i="2"/>
  <c r="AY371" i="2" l="1"/>
  <c r="AW371" i="2" s="1"/>
  <c r="AS372" i="2" s="1"/>
  <c r="BD371" i="2"/>
  <c r="BB371" i="2"/>
  <c r="AX371" i="2" l="1"/>
  <c r="AT372" i="2" s="1"/>
  <c r="AU372" i="2"/>
  <c r="AV372" i="2" l="1"/>
  <c r="BE372" i="2"/>
  <c r="BG372" i="2" l="1"/>
  <c r="BC372" i="2" s="1"/>
  <c r="BF372" i="2"/>
  <c r="BA372" i="2" s="1"/>
  <c r="AY372" i="2"/>
  <c r="BD372" i="2" l="1"/>
  <c r="AW372" i="2"/>
  <c r="AS373" i="2" s="1"/>
  <c r="BB372" i="2"/>
  <c r="AZ372" i="2"/>
  <c r="AX372" i="2" l="1"/>
  <c r="AT373" i="2" s="1"/>
  <c r="AV373" i="2"/>
  <c r="AU373" i="2"/>
  <c r="BG373" i="2"/>
  <c r="BE373" i="2" l="1"/>
  <c r="BF373" i="2"/>
  <c r="BC373" i="2"/>
  <c r="BA373" i="2"/>
  <c r="AY373" i="2"/>
  <c r="BD373" i="2" l="1"/>
  <c r="AW373" i="2"/>
  <c r="AS374" i="2" s="1"/>
  <c r="BB373" i="2"/>
  <c r="AZ373" i="2"/>
  <c r="AX373" i="2" l="1"/>
  <c r="AT374" i="2" s="1"/>
  <c r="AU374" i="2"/>
  <c r="BE374" i="2" l="1"/>
  <c r="AV374" i="2"/>
  <c r="BG374" i="2" l="1"/>
  <c r="BF374" i="2"/>
  <c r="BA374" i="2" s="1"/>
  <c r="AY374" i="2"/>
  <c r="BC374" i="2"/>
  <c r="BD374" i="2" l="1"/>
  <c r="AW374" i="2"/>
  <c r="AS375" i="2" s="1"/>
  <c r="BB374" i="2"/>
  <c r="AZ374" i="2"/>
  <c r="AX374" i="2" l="1"/>
  <c r="AT375" i="2" s="1"/>
  <c r="AU375" i="2"/>
  <c r="AV375" i="2"/>
  <c r="BG375" i="2" l="1"/>
  <c r="BF375" i="2"/>
  <c r="BE375" i="2"/>
  <c r="AY375" i="2" s="1"/>
  <c r="BC375" i="2"/>
  <c r="BA375" i="2"/>
  <c r="BB375" i="2"/>
  <c r="AZ375" i="2"/>
  <c r="BD375" i="2" l="1"/>
  <c r="AW375" i="2"/>
  <c r="AS376" i="2" s="1"/>
  <c r="AX375" i="2"/>
  <c r="AT376" i="2" s="1"/>
  <c r="AV376" i="2" l="1"/>
  <c r="AU376" i="2"/>
  <c r="BG376" i="2" l="1"/>
  <c r="BE376" i="2"/>
  <c r="BF376" i="2"/>
  <c r="BB376" i="2" s="1"/>
  <c r="BD376" i="2"/>
  <c r="AZ376" i="2"/>
  <c r="AY376" i="2"/>
  <c r="BA376" i="2"/>
  <c r="AX376" i="2" l="1"/>
  <c r="AT377" i="2" s="1"/>
  <c r="AV377" i="2"/>
  <c r="BC376" i="2"/>
  <c r="AW376" i="2" s="1"/>
  <c r="AS377" i="2" s="1"/>
  <c r="AU377" i="2" l="1"/>
  <c r="BG377" i="2"/>
  <c r="BE377" i="2" l="1"/>
  <c r="AZ377" i="2" s="1"/>
  <c r="BF377" i="2"/>
  <c r="BD377" i="2"/>
  <c r="AY377" i="2" l="1"/>
  <c r="BA377" i="2"/>
  <c r="BB377" i="2"/>
  <c r="AX377" i="2" s="1"/>
  <c r="AT378" i="2" s="1"/>
  <c r="BC377" i="2"/>
  <c r="AV378" i="2" l="1"/>
  <c r="AW377" i="2"/>
  <c r="AS378" i="2" s="1"/>
  <c r="AU378" i="2" l="1"/>
  <c r="BG378" i="2"/>
  <c r="BE378" i="2" l="1"/>
  <c r="BF378" i="2"/>
  <c r="BB378" i="2" s="1"/>
  <c r="AZ378" i="2"/>
  <c r="BD378" i="2"/>
  <c r="BA378" i="2" l="1"/>
  <c r="AX378" i="2"/>
  <c r="AT379" i="2" s="1"/>
  <c r="AY378" i="2"/>
  <c r="BC378" i="2"/>
  <c r="AW378" i="2" l="1"/>
  <c r="AS379" i="2" s="1"/>
  <c r="AV379" i="2"/>
  <c r="AU379" i="2" l="1"/>
  <c r="BG379" i="2"/>
  <c r="BE379" i="2" l="1"/>
  <c r="BF379" i="2"/>
  <c r="BD379" i="2"/>
  <c r="BB379" i="2"/>
  <c r="AZ379" i="2"/>
  <c r="AY379" i="2"/>
  <c r="BA379" i="2"/>
  <c r="AX379" i="2" l="1"/>
  <c r="AT380" i="2" s="1"/>
  <c r="AV380" i="2"/>
  <c r="BC379" i="2"/>
  <c r="AW379" i="2" s="1"/>
  <c r="AS380" i="2" s="1"/>
  <c r="AU380" i="2" l="1"/>
  <c r="BG380" i="2"/>
  <c r="BE380" i="2" l="1"/>
  <c r="BF380" i="2"/>
  <c r="BD380" i="2"/>
  <c r="AZ380" i="2"/>
  <c r="AY380" i="2" l="1"/>
  <c r="BA380" i="2"/>
  <c r="BB380" i="2"/>
  <c r="AX380" i="2" s="1"/>
  <c r="AT381" i="2" s="1"/>
  <c r="BC380" i="2"/>
  <c r="AV381" i="2" l="1"/>
  <c r="AW380" i="2"/>
  <c r="AS381" i="2" s="1"/>
  <c r="AU381" i="2" l="1"/>
  <c r="BG381" i="2"/>
  <c r="BE381" i="2" l="1"/>
  <c r="BF381" i="2"/>
  <c r="BB381" i="2" s="1"/>
  <c r="AZ381" i="2"/>
  <c r="BD381" i="2"/>
  <c r="AY381" i="2"/>
  <c r="BA381" i="2"/>
  <c r="AX381" i="2" l="1"/>
  <c r="AT382" i="2" s="1"/>
  <c r="BC381" i="2"/>
  <c r="AW381" i="2" s="1"/>
  <c r="AS382" i="2" s="1"/>
  <c r="AU382" i="2" l="1"/>
  <c r="AV382" i="2"/>
  <c r="BG382" i="2" l="1"/>
  <c r="BF382" i="2"/>
  <c r="BE382" i="2"/>
  <c r="AZ382" i="2" s="1"/>
  <c r="BD382" i="2"/>
  <c r="BA382" i="2"/>
  <c r="AY382" i="2" l="1"/>
  <c r="BC382" i="2"/>
  <c r="AW382" i="2" s="1"/>
  <c r="AS383" i="2" s="1"/>
  <c r="BB382" i="2"/>
  <c r="AX382" i="2" s="1"/>
  <c r="AT383" i="2" s="1"/>
  <c r="AV383" i="2" l="1"/>
  <c r="BG383" i="2"/>
  <c r="AU383" i="2"/>
  <c r="BE383" i="2" l="1"/>
  <c r="BF383" i="2"/>
  <c r="BC383" i="2"/>
  <c r="BA383" i="2"/>
  <c r="AY383" i="2"/>
  <c r="AZ383" i="2"/>
  <c r="BB383" i="2"/>
  <c r="BD383" i="2" l="1"/>
  <c r="AW383" i="2"/>
  <c r="AS384" i="2" s="1"/>
  <c r="AX383" i="2"/>
  <c r="AT384" i="2" s="1"/>
  <c r="AV384" i="2" l="1"/>
  <c r="AU384" i="2"/>
  <c r="BG384" i="2"/>
  <c r="BE384" i="2" l="1"/>
  <c r="BF384" i="2"/>
  <c r="BD384" i="2"/>
  <c r="AY384" i="2"/>
  <c r="BA384" i="2"/>
  <c r="BB384" i="2"/>
  <c r="AZ384" i="2"/>
  <c r="AX384" i="2" l="1"/>
  <c r="AT385" i="2" s="1"/>
  <c r="AV385" i="2"/>
  <c r="BC384" i="2"/>
  <c r="AW384" i="2" s="1"/>
  <c r="AS385" i="2" s="1"/>
  <c r="AU385" i="2" l="1"/>
  <c r="BG385" i="2"/>
  <c r="BE385" i="2" l="1"/>
  <c r="BF385" i="2"/>
  <c r="BD385" i="2"/>
  <c r="BA385" i="2" l="1"/>
  <c r="BB385" i="2"/>
  <c r="AY385" i="2"/>
  <c r="AZ385" i="2"/>
  <c r="BC385" i="2"/>
  <c r="AX385" i="2" l="1"/>
  <c r="AT386" i="2" s="1"/>
  <c r="AW385" i="2"/>
  <c r="AS386" i="2" s="1"/>
  <c r="AV386" i="2" l="1"/>
  <c r="BG386" i="2"/>
  <c r="AU386" i="2"/>
  <c r="BE386" i="2" l="1"/>
  <c r="BF386" i="2"/>
  <c r="AZ386" i="2"/>
  <c r="BD386" i="2"/>
  <c r="AY386" i="2"/>
  <c r="BA386" i="2" l="1"/>
  <c r="BB386" i="2"/>
  <c r="AX386" i="2" s="1"/>
  <c r="AT387" i="2" s="1"/>
  <c r="BC386" i="2"/>
  <c r="AW386" i="2" l="1"/>
  <c r="AS387" i="2" s="1"/>
  <c r="AV387" i="2"/>
  <c r="AU387" i="2"/>
  <c r="BG387" i="2"/>
  <c r="BE387" i="2" l="1"/>
  <c r="BF387" i="2"/>
  <c r="BA387" i="2" s="1"/>
  <c r="AZ387" i="2"/>
  <c r="BC387" i="2"/>
  <c r="BB387" i="2"/>
  <c r="BD387" i="2" l="1"/>
  <c r="AX387" i="2" s="1"/>
  <c r="AT388" i="2" s="1"/>
  <c r="AY387" i="2"/>
  <c r="AW387" i="2" s="1"/>
  <c r="AS388" i="2" s="1"/>
  <c r="AU388" i="2" l="1"/>
  <c r="AV388" i="2"/>
  <c r="BF388" i="2" l="1"/>
  <c r="BG388" i="2"/>
  <c r="BD388" i="2" s="1"/>
  <c r="BE388" i="2"/>
  <c r="BA388" i="2"/>
  <c r="AZ388" i="2"/>
  <c r="AY388" i="2" l="1"/>
  <c r="BC388" i="2"/>
  <c r="BB388" i="2"/>
  <c r="AX388" i="2" s="1"/>
  <c r="AT389" i="2" s="1"/>
  <c r="AV389" i="2" l="1"/>
  <c r="AW388" i="2"/>
  <c r="AS389" i="2" s="1"/>
  <c r="AU389" i="2" l="1"/>
  <c r="BG389" i="2"/>
  <c r="BE389" i="2" l="1"/>
  <c r="BF389" i="2"/>
  <c r="BD389" i="2"/>
  <c r="BA389" i="2" l="1"/>
  <c r="BB389" i="2"/>
  <c r="AY389" i="2"/>
  <c r="AZ389" i="2"/>
  <c r="BC389" i="2"/>
  <c r="AX389" i="2" l="1"/>
  <c r="AT390" i="2" s="1"/>
  <c r="AW389" i="2"/>
  <c r="AS390" i="2" s="1"/>
  <c r="AU390" i="2" l="1"/>
  <c r="AV390" i="2"/>
  <c r="BG390" i="2" l="1"/>
  <c r="BF390" i="2"/>
  <c r="BE390" i="2"/>
  <c r="BD390" i="2"/>
  <c r="BA390" i="2"/>
  <c r="AY390" i="2"/>
  <c r="BC390" i="2" l="1"/>
  <c r="AW390" i="2" s="1"/>
  <c r="AS391" i="2" s="1"/>
  <c r="AZ390" i="2"/>
  <c r="BB390" i="2"/>
  <c r="AU391" i="2" l="1"/>
  <c r="AX390" i="2"/>
  <c r="AT391" i="2" s="1"/>
  <c r="AV391" i="2" l="1"/>
  <c r="BE391" i="2"/>
  <c r="AY391" i="2" s="1"/>
  <c r="BG391" i="2" l="1"/>
  <c r="BF391" i="2"/>
  <c r="BA391" i="2" s="1"/>
  <c r="BC391" i="2"/>
  <c r="BD391" i="2"/>
  <c r="AZ391" i="2"/>
  <c r="AW391" i="2" l="1"/>
  <c r="AS392" i="2" s="1"/>
  <c r="BB391" i="2"/>
  <c r="AU392" i="2"/>
  <c r="AX391" i="2"/>
  <c r="AT392" i="2" s="1"/>
  <c r="AV392" i="2" l="1"/>
  <c r="BE392" i="2"/>
  <c r="AY392" i="2" s="1"/>
  <c r="BG392" i="2" l="1"/>
  <c r="BF392" i="2"/>
  <c r="BA392" i="2" s="1"/>
  <c r="BC392" i="2"/>
  <c r="AZ392" i="2"/>
  <c r="BB392" i="2"/>
  <c r="AW392" i="2" l="1"/>
  <c r="AS393" i="2" s="1"/>
  <c r="BD392" i="2"/>
  <c r="AX392" i="2" s="1"/>
  <c r="AT393" i="2" s="1"/>
  <c r="AU393" i="2"/>
  <c r="AV393" i="2" l="1"/>
  <c r="BE393" i="2"/>
  <c r="BG393" i="2" l="1"/>
  <c r="BC393" i="2" s="1"/>
  <c r="BF393" i="2"/>
  <c r="AY393" i="2"/>
  <c r="AZ393" i="2"/>
  <c r="BA393" i="2"/>
  <c r="BD393" i="2" l="1"/>
  <c r="AW393" i="2"/>
  <c r="BB393" i="2"/>
  <c r="AU394" i="2" l="1"/>
  <c r="AS394" i="2"/>
  <c r="AX393" i="2"/>
  <c r="AT394" i="2" s="1"/>
  <c r="AV394" i="2" l="1"/>
  <c r="BG394" i="2"/>
  <c r="BE394" i="2" l="1"/>
  <c r="BF394" i="2"/>
  <c r="AY394" i="2"/>
  <c r="BC394" i="2"/>
  <c r="BA394" i="2"/>
  <c r="BD394" i="2" l="1"/>
  <c r="BB394" i="2"/>
  <c r="AW394" i="2"/>
  <c r="AS395" i="2" s="1"/>
  <c r="AZ394" i="2"/>
  <c r="AX394" i="2" l="1"/>
  <c r="AT395" i="2" s="1"/>
  <c r="AU395" i="2"/>
  <c r="AV395" i="2" l="1"/>
  <c r="BG395" i="2"/>
  <c r="BF395" i="2"/>
  <c r="BE395" i="2"/>
  <c r="BD395" i="2"/>
  <c r="BA395" i="2"/>
  <c r="AY395" i="2"/>
  <c r="BC395" i="2" l="1"/>
  <c r="AW395" i="2" s="1"/>
  <c r="AS396" i="2" s="1"/>
  <c r="AZ395" i="2"/>
  <c r="BB395" i="2"/>
  <c r="AU396" i="2" l="1"/>
  <c r="AX395" i="2"/>
  <c r="AT396" i="2" s="1"/>
  <c r="BE396" i="2" l="1"/>
  <c r="AY396" i="2" s="1"/>
  <c r="AV396" i="2"/>
  <c r="BG396" i="2" l="1"/>
  <c r="BC396" i="2" s="1"/>
  <c r="BF396" i="2"/>
  <c r="BA396" i="2" s="1"/>
  <c r="AW396" i="2" s="1"/>
  <c r="AS397" i="2" s="1"/>
  <c r="BD396" i="2"/>
  <c r="AZ396" i="2"/>
  <c r="BB396" i="2"/>
  <c r="AX396" i="2" l="1"/>
  <c r="AT397" i="2" s="1"/>
  <c r="AU397" i="2"/>
  <c r="AV397" i="2" l="1"/>
  <c r="BE397" i="2"/>
  <c r="BG397" i="2" l="1"/>
  <c r="BF397" i="2"/>
  <c r="BA397" i="2" s="1"/>
  <c r="BD397" i="2"/>
  <c r="BB397" i="2" l="1"/>
  <c r="BC397" i="2"/>
  <c r="AZ397" i="2"/>
  <c r="AY397" i="2"/>
  <c r="AX397" i="2" l="1"/>
  <c r="AT398" i="2" s="1"/>
  <c r="AV398" i="2"/>
  <c r="AW397" i="2"/>
  <c r="AS398" i="2" s="1"/>
  <c r="BG398" i="2" l="1"/>
  <c r="AU398" i="2"/>
  <c r="BE398" i="2" l="1"/>
  <c r="AZ398" i="2" s="1"/>
  <c r="BF398" i="2"/>
  <c r="AY398" i="2"/>
  <c r="BD398" i="2"/>
  <c r="BA398" i="2" l="1"/>
  <c r="BB398" i="2"/>
  <c r="AX398" i="2" s="1"/>
  <c r="AT399" i="2" s="1"/>
  <c r="BC398" i="2"/>
  <c r="AW398" i="2" l="1"/>
  <c r="AS399" i="2" s="1"/>
  <c r="AU399" i="2"/>
  <c r="AV399" i="2"/>
  <c r="BG399" i="2" l="1"/>
  <c r="BF399" i="2"/>
  <c r="BA399" i="2" s="1"/>
  <c r="BE399" i="2"/>
  <c r="AY399" i="2" s="1"/>
  <c r="BC399" i="2"/>
  <c r="AZ399" i="2"/>
  <c r="BD399" i="2" l="1"/>
  <c r="AW399" i="2"/>
  <c r="AS400" i="2" s="1"/>
  <c r="BB399" i="2"/>
  <c r="AX399" i="2" s="1"/>
  <c r="AT400" i="2" s="1"/>
  <c r="AV400" i="2" l="1"/>
  <c r="BG400" i="2"/>
  <c r="AU400" i="2"/>
  <c r="BE400" i="2" l="1"/>
  <c r="BF400" i="2"/>
  <c r="BA400" i="2" s="1"/>
  <c r="BC400" i="2"/>
  <c r="AY400" i="2"/>
  <c r="BB400" i="2"/>
  <c r="AZ400" i="2" l="1"/>
  <c r="BD400" i="2"/>
  <c r="AW400" i="2"/>
  <c r="AS401" i="2" s="1"/>
  <c r="AX400" i="2" l="1"/>
  <c r="AT401" i="2" s="1"/>
  <c r="AV401" i="2"/>
  <c r="BG401" i="2"/>
  <c r="AU401" i="2"/>
  <c r="BE401" i="2" l="1"/>
  <c r="AZ401" i="2" s="1"/>
  <c r="BF401" i="2"/>
  <c r="BD401" i="2"/>
  <c r="AY401" i="2" l="1"/>
  <c r="BA401" i="2"/>
  <c r="BB401" i="2"/>
  <c r="AX401" i="2" s="1"/>
  <c r="AT402" i="2" s="1"/>
  <c r="BC401" i="2"/>
  <c r="AW401" i="2" l="1"/>
  <c r="AS402" i="2" s="1"/>
  <c r="AV402" i="2"/>
  <c r="AU402" i="2"/>
  <c r="BG402" i="2"/>
  <c r="BE402" i="2" l="1"/>
  <c r="BF402" i="2"/>
  <c r="BA402" i="2" s="1"/>
  <c r="AY402" i="2"/>
  <c r="BC402" i="2"/>
  <c r="BB402" i="2"/>
  <c r="AZ402" i="2"/>
  <c r="BD402" i="2" l="1"/>
  <c r="AW402" i="2"/>
  <c r="AS403" i="2" s="1"/>
  <c r="AX402" i="2"/>
  <c r="AT403" i="2" s="1"/>
  <c r="AV403" i="2" l="1"/>
  <c r="BG403" i="2"/>
  <c r="AU403" i="2"/>
  <c r="BE403" i="2" l="1"/>
  <c r="BF403" i="2"/>
  <c r="BC403" i="2"/>
  <c r="AY403" i="2"/>
  <c r="BA403" i="2"/>
  <c r="BD403" i="2" l="1"/>
  <c r="AW403" i="2"/>
  <c r="AS404" i="2" s="1"/>
  <c r="AZ403" i="2"/>
  <c r="BB403" i="2"/>
  <c r="AX403" i="2" l="1"/>
  <c r="AT404" i="2" s="1"/>
  <c r="AV404" i="2"/>
  <c r="AU404" i="2"/>
  <c r="BG404" i="2"/>
  <c r="BE404" i="2" l="1"/>
  <c r="AZ404" i="2" s="1"/>
  <c r="BF404" i="2"/>
  <c r="BC404" i="2"/>
  <c r="BA404" i="2"/>
  <c r="BB404" i="2"/>
  <c r="AY404" i="2" l="1"/>
  <c r="AW404" i="2" s="1"/>
  <c r="AS405" i="2" s="1"/>
  <c r="BD404" i="2"/>
  <c r="AX404" i="2" s="1"/>
  <c r="AT405" i="2" s="1"/>
  <c r="AU405" i="2" l="1"/>
  <c r="AV405" i="2"/>
  <c r="BG405" i="2" l="1"/>
  <c r="BC405" i="2" s="1"/>
  <c r="BF405" i="2"/>
  <c r="BE405" i="2"/>
  <c r="AY405" i="2" s="1"/>
  <c r="BA405" i="2"/>
  <c r="BB405" i="2"/>
  <c r="AZ405" i="2" l="1"/>
  <c r="BD405" i="2"/>
  <c r="AX405" i="2" s="1"/>
  <c r="AT406" i="2" s="1"/>
  <c r="AW405" i="2"/>
  <c r="AS406" i="2" s="1"/>
  <c r="AV406" i="2" l="1"/>
  <c r="AU406" i="2"/>
  <c r="BG406" i="2"/>
  <c r="BE406" i="2" l="1"/>
  <c r="BF406" i="2"/>
  <c r="BD406" i="2"/>
  <c r="AY406" i="2" l="1"/>
  <c r="AZ406" i="2"/>
  <c r="BA406" i="2"/>
  <c r="BB406" i="2"/>
  <c r="BC406" i="2"/>
  <c r="AX406" i="2" l="1"/>
  <c r="AT407" i="2" s="1"/>
  <c r="AV407" i="2"/>
  <c r="AW406" i="2"/>
  <c r="AS407" i="2" s="1"/>
  <c r="AU407" i="2" l="1"/>
  <c r="BG407" i="2"/>
  <c r="BE407" i="2" l="1"/>
  <c r="BF407" i="2"/>
  <c r="BB407" i="2" s="1"/>
  <c r="AZ407" i="2"/>
  <c r="BD407" i="2"/>
  <c r="AY407" i="2"/>
  <c r="BA407" i="2" l="1"/>
  <c r="AX407" i="2"/>
  <c r="AT408" i="2" s="1"/>
  <c r="BC407" i="2"/>
  <c r="AW407" i="2" l="1"/>
  <c r="AV408" i="2"/>
  <c r="AU408" i="2" l="1"/>
  <c r="AS408" i="2"/>
  <c r="BG408" i="2"/>
  <c r="BF408" i="2"/>
  <c r="BB408" i="2" s="1"/>
  <c r="BE408" i="2"/>
  <c r="AZ408" i="2" s="1"/>
  <c r="BA408" i="2"/>
  <c r="BD408" i="2"/>
  <c r="AY408" i="2"/>
  <c r="AX408" i="2" l="1"/>
  <c r="AT409" i="2" s="1"/>
  <c r="BC408" i="2"/>
  <c r="AW408" i="2" s="1"/>
  <c r="AS409" i="2" s="1"/>
  <c r="AU409" i="2" l="1"/>
  <c r="AV409" i="2"/>
  <c r="BG409" i="2" l="1"/>
  <c r="BF409" i="2"/>
  <c r="BE409" i="2"/>
  <c r="AZ409" i="2" s="1"/>
  <c r="BD409" i="2"/>
  <c r="BA409" i="2"/>
  <c r="AY409" i="2"/>
  <c r="BB409" i="2"/>
  <c r="AX409" i="2" l="1"/>
  <c r="AT410" i="2" s="1"/>
  <c r="BC409" i="2"/>
  <c r="AW409" i="2" s="1"/>
  <c r="AS410" i="2" s="1"/>
  <c r="AU410" i="2" l="1"/>
  <c r="AV410" i="2"/>
  <c r="BG410" i="2" l="1"/>
  <c r="BF410" i="2"/>
  <c r="BE410" i="2"/>
  <c r="AZ410" i="2" s="1"/>
  <c r="BD410" i="2"/>
  <c r="BA410" i="2"/>
  <c r="AY410" i="2" l="1"/>
  <c r="BC410" i="2"/>
  <c r="BB410" i="2"/>
  <c r="AX410" i="2" s="1"/>
  <c r="AT411" i="2" s="1"/>
  <c r="AW410" i="2" l="1"/>
  <c r="AS411" i="2" s="1"/>
  <c r="AV411" i="2"/>
  <c r="AU411" i="2"/>
  <c r="BG411" i="2" l="1"/>
  <c r="BE411" i="2"/>
  <c r="BF411" i="2"/>
  <c r="BA411" i="2" s="1"/>
  <c r="BD411" i="2"/>
  <c r="AZ411" i="2"/>
  <c r="BB411" i="2" l="1"/>
  <c r="AX411" i="2" s="1"/>
  <c r="AT412" i="2" s="1"/>
  <c r="AY411" i="2"/>
  <c r="BC411" i="2"/>
  <c r="AV412" i="2" l="1"/>
  <c r="AW411" i="2"/>
  <c r="AS412" i="2" s="1"/>
  <c r="AU412" i="2" l="1"/>
  <c r="BG412" i="2"/>
  <c r="BE412" i="2" l="1"/>
  <c r="BF412" i="2"/>
  <c r="BD412" i="2"/>
  <c r="AY412" i="2" l="1"/>
  <c r="AZ412" i="2"/>
  <c r="BA412" i="2"/>
  <c r="BB412" i="2"/>
  <c r="BC412" i="2"/>
  <c r="AX412" i="2" l="1"/>
  <c r="AT413" i="2" s="1"/>
  <c r="AW412" i="2"/>
  <c r="AS413" i="2" s="1"/>
  <c r="AU413" i="2" l="1"/>
  <c r="AV413" i="2"/>
  <c r="BG413" i="2" l="1"/>
  <c r="BF413" i="2"/>
  <c r="BA413" i="2" s="1"/>
  <c r="BE413" i="2"/>
  <c r="BC413" i="2"/>
  <c r="AY413" i="2"/>
  <c r="BB413" i="2"/>
  <c r="AZ413" i="2"/>
  <c r="BD413" i="2" l="1"/>
  <c r="AX413" i="2" s="1"/>
  <c r="AT414" i="2" s="1"/>
  <c r="AW413" i="2"/>
  <c r="AS414" i="2" s="1"/>
  <c r="AU414" i="2" l="1"/>
  <c r="AV414" i="2"/>
  <c r="BG414" i="2" l="1"/>
  <c r="BF414" i="2"/>
  <c r="BE414" i="2"/>
  <c r="BD414" i="2"/>
  <c r="BA414" i="2"/>
  <c r="AY414" i="2"/>
  <c r="BC414" i="2" l="1"/>
  <c r="AW414" i="2" s="1"/>
  <c r="AS415" i="2" s="1"/>
  <c r="AZ414" i="2"/>
  <c r="BB414" i="2"/>
  <c r="AU415" i="2" l="1"/>
  <c r="AX414" i="2"/>
  <c r="AT415" i="2" s="1"/>
  <c r="AV415" i="2" l="1"/>
  <c r="BE415" i="2"/>
  <c r="AY415" i="2" s="1"/>
  <c r="BG415" i="2" l="1"/>
  <c r="BC415" i="2" s="1"/>
  <c r="BF415" i="2"/>
  <c r="BA415" i="2" s="1"/>
  <c r="AZ415" i="2"/>
  <c r="AW415" i="2" l="1"/>
  <c r="AS416" i="2" s="1"/>
  <c r="BD415" i="2"/>
  <c r="BB415" i="2"/>
  <c r="AU416" i="2"/>
  <c r="AX415" i="2" l="1"/>
  <c r="AT416" i="2" s="1"/>
  <c r="AV416" i="2"/>
  <c r="BE416" i="2"/>
  <c r="BG416" i="2" l="1"/>
  <c r="BF416" i="2"/>
  <c r="AZ416" i="2"/>
  <c r="AY416" i="2"/>
  <c r="BA416" i="2"/>
  <c r="BD416" i="2"/>
  <c r="BB416" i="2"/>
  <c r="BC416" i="2"/>
  <c r="AW416" i="2" s="1"/>
  <c r="AS417" i="2" s="1"/>
  <c r="AX416" i="2" l="1"/>
  <c r="AU417" i="2"/>
  <c r="AV417" i="2" l="1"/>
  <c r="AT417" i="2"/>
  <c r="BG417" i="2" s="1"/>
  <c r="BD417" i="2" s="1"/>
  <c r="BF417" i="2"/>
  <c r="BA417" i="2" s="1"/>
  <c r="BE417" i="2"/>
  <c r="AY417" i="2" s="1"/>
  <c r="BB417" i="2" l="1"/>
  <c r="AZ417" i="2"/>
  <c r="AX417" i="2" s="1"/>
  <c r="AT418" i="2" s="1"/>
  <c r="BC417" i="2"/>
  <c r="AW417" i="2" s="1"/>
  <c r="AS418" i="2" s="1"/>
  <c r="AU418" i="2" l="1"/>
  <c r="AV418" i="2"/>
  <c r="BG418" i="2" l="1"/>
  <c r="BF418" i="2"/>
  <c r="BB418" i="2" s="1"/>
  <c r="BE418" i="2"/>
  <c r="BD418" i="2"/>
  <c r="AY418" i="2"/>
  <c r="BA418" i="2"/>
  <c r="BC418" i="2" l="1"/>
  <c r="AW418" i="2" s="1"/>
  <c r="AS419" i="2" s="1"/>
  <c r="AZ418" i="2"/>
  <c r="AX418" i="2" s="1"/>
  <c r="AT419" i="2" s="1"/>
  <c r="AU419" i="2" l="1"/>
  <c r="AV419" i="2"/>
  <c r="BG419" i="2" l="1"/>
  <c r="BD419" i="2" s="1"/>
  <c r="BF419" i="2"/>
  <c r="BE419" i="2"/>
  <c r="AY419" i="2" s="1"/>
  <c r="BA419" i="2"/>
  <c r="BB419" i="2" l="1"/>
  <c r="BC419" i="2"/>
  <c r="AW419" i="2" s="1"/>
  <c r="AS420" i="2" s="1"/>
  <c r="AZ419" i="2"/>
  <c r="AX419" i="2" s="1"/>
  <c r="AT420" i="2" s="1"/>
  <c r="AU420" i="2" l="1"/>
  <c r="AV420" i="2"/>
  <c r="BG420" i="2" l="1"/>
  <c r="BF420" i="2"/>
  <c r="BE420" i="2"/>
  <c r="AZ420" i="2" s="1"/>
  <c r="BD420" i="2"/>
  <c r="BA420" i="2"/>
  <c r="AY420" i="2"/>
  <c r="BC420" i="2" l="1"/>
  <c r="AW420" i="2" s="1"/>
  <c r="AS421" i="2" s="1"/>
  <c r="BB420" i="2"/>
  <c r="AX420" i="2" s="1"/>
  <c r="AT421" i="2" s="1"/>
  <c r="AV421" i="2" l="1"/>
  <c r="AU421" i="2"/>
  <c r="BG421" i="2"/>
  <c r="BE421" i="2" l="1"/>
  <c r="BF421" i="2"/>
  <c r="BC421" i="2"/>
  <c r="AY421" i="2"/>
  <c r="BA421" i="2"/>
  <c r="BB421" i="2"/>
  <c r="AZ421" i="2"/>
  <c r="BD421" i="2" l="1"/>
  <c r="AX421" i="2" s="1"/>
  <c r="AT422" i="2" s="1"/>
  <c r="AW421" i="2"/>
  <c r="AS422" i="2" s="1"/>
  <c r="AU422" i="2" l="1"/>
  <c r="AV422" i="2"/>
  <c r="BG422" i="2" l="1"/>
  <c r="BF422" i="2"/>
  <c r="BE422" i="2"/>
  <c r="AZ422" i="2" s="1"/>
  <c r="BD422" i="2"/>
  <c r="BB422" i="2"/>
  <c r="AY422" i="2" l="1"/>
  <c r="BA422" i="2"/>
  <c r="BC422" i="2"/>
  <c r="AX422" i="2"/>
  <c r="AT423" i="2" s="1"/>
  <c r="AW422" i="2" l="1"/>
  <c r="AS423" i="2" s="1"/>
  <c r="AU423" i="2"/>
  <c r="AV423" i="2"/>
  <c r="BG423" i="2" l="1"/>
  <c r="BF423" i="2"/>
  <c r="BE423" i="2"/>
  <c r="AZ423" i="2" s="1"/>
  <c r="BD423" i="2"/>
  <c r="BB423" i="2"/>
  <c r="AY423" i="2"/>
  <c r="BA423" i="2" l="1"/>
  <c r="AX423" i="2"/>
  <c r="AT424" i="2" s="1"/>
  <c r="BC423" i="2"/>
  <c r="AW423" i="2" l="1"/>
  <c r="AS424" i="2" s="1"/>
  <c r="AV424" i="2"/>
  <c r="AU424" i="2" l="1"/>
  <c r="BG424" i="2"/>
  <c r="BF424" i="2"/>
  <c r="BB424" i="2" s="1"/>
  <c r="BE424" i="2"/>
  <c r="AZ424" i="2" s="1"/>
  <c r="BA424" i="2"/>
  <c r="BD424" i="2"/>
  <c r="AX424" i="2" l="1"/>
  <c r="AY424" i="2"/>
  <c r="BC424" i="2"/>
  <c r="AV425" i="2" l="1"/>
  <c r="AT425" i="2"/>
  <c r="AW424" i="2"/>
  <c r="AS425" i="2" s="1"/>
  <c r="AU425" i="2" l="1"/>
  <c r="BG425" i="2"/>
  <c r="BE425" i="2" l="1"/>
  <c r="BF425" i="2"/>
  <c r="BB425" i="2" s="1"/>
  <c r="BD425" i="2"/>
  <c r="BA425" i="2" l="1"/>
  <c r="AY425" i="2"/>
  <c r="AZ425" i="2"/>
  <c r="AX425" i="2" s="1"/>
  <c r="AT426" i="2" s="1"/>
  <c r="BC425" i="2"/>
  <c r="AW425" i="2" l="1"/>
  <c r="AS426" i="2" s="1"/>
  <c r="AV426" i="2"/>
  <c r="AU426" i="2" l="1"/>
  <c r="BG426" i="2"/>
  <c r="BE426" i="2" l="1"/>
  <c r="AZ426" i="2" s="1"/>
  <c r="BF426" i="2"/>
  <c r="BB426" i="2" s="1"/>
  <c r="BD426" i="2"/>
  <c r="AX426" i="2" l="1"/>
  <c r="AT427" i="2" s="1"/>
  <c r="AV427" i="2"/>
  <c r="AY426" i="2"/>
  <c r="BA426" i="2"/>
  <c r="BC426" i="2"/>
  <c r="AW426" i="2" l="1"/>
  <c r="AS427" i="2" s="1"/>
  <c r="AU427" i="2" l="1"/>
  <c r="BG427" i="2"/>
  <c r="BE427" i="2" l="1"/>
  <c r="BF427" i="2"/>
  <c r="BD427" i="2"/>
  <c r="AY427" i="2" l="1"/>
  <c r="AZ427" i="2"/>
  <c r="BA427" i="2"/>
  <c r="BB427" i="2"/>
  <c r="BC427" i="2"/>
  <c r="AX427" i="2" l="1"/>
  <c r="AT428" i="2" s="1"/>
  <c r="AW427" i="2"/>
  <c r="AS428" i="2" s="1"/>
  <c r="AU428" i="2" l="1"/>
  <c r="AV428" i="2"/>
  <c r="BG428" i="2" l="1"/>
  <c r="BF428" i="2"/>
  <c r="BE428" i="2"/>
  <c r="AZ428" i="2" s="1"/>
  <c r="BA428" i="2"/>
  <c r="BD428" i="2"/>
  <c r="AY428" i="2"/>
  <c r="BC428" i="2" l="1"/>
  <c r="AW428" i="2" s="1"/>
  <c r="AS429" i="2" s="1"/>
  <c r="BB428" i="2"/>
  <c r="AX428" i="2" s="1"/>
  <c r="AT429" i="2" s="1"/>
  <c r="AV429" i="2" l="1"/>
  <c r="AU429" i="2"/>
  <c r="BG429" i="2"/>
  <c r="BE429" i="2" l="1"/>
  <c r="BF429" i="2"/>
  <c r="BD429" i="2"/>
  <c r="AY429" i="2"/>
  <c r="BA429" i="2"/>
  <c r="BB429" i="2"/>
  <c r="AZ429" i="2"/>
  <c r="AX429" i="2" l="1"/>
  <c r="AT430" i="2" s="1"/>
  <c r="AV430" i="2"/>
  <c r="BC429" i="2"/>
  <c r="AW429" i="2" s="1"/>
  <c r="AS430" i="2" s="1"/>
  <c r="AU430" i="2" l="1"/>
  <c r="BG430" i="2"/>
  <c r="BE430" i="2" l="1"/>
  <c r="BF430" i="2"/>
  <c r="AZ430" i="2"/>
  <c r="BB430" i="2"/>
  <c r="BD430" i="2"/>
  <c r="AX430" i="2" l="1"/>
  <c r="AT431" i="2" s="1"/>
  <c r="AY430" i="2"/>
  <c r="BA430" i="2"/>
  <c r="BC430" i="2"/>
  <c r="AW430" i="2" l="1"/>
  <c r="AS431" i="2" s="1"/>
  <c r="AV431" i="2"/>
  <c r="AU431" i="2" l="1"/>
  <c r="BG431" i="2"/>
  <c r="BE431" i="2" l="1"/>
  <c r="BF431" i="2"/>
  <c r="AZ431" i="2"/>
  <c r="AY431" i="2"/>
  <c r="BB431" i="2"/>
  <c r="BD431" i="2"/>
  <c r="BA431" i="2" l="1"/>
  <c r="AX431" i="2"/>
  <c r="AT432" i="2" s="1"/>
  <c r="BC431" i="2"/>
  <c r="AW431" i="2" l="1"/>
  <c r="AS432" i="2" s="1"/>
  <c r="AU432" i="2"/>
  <c r="AV432" i="2"/>
  <c r="BG432" i="2" l="1"/>
  <c r="BF432" i="2"/>
  <c r="BE432" i="2"/>
  <c r="AY432" i="2" s="1"/>
  <c r="BC432" i="2"/>
  <c r="BA432" i="2"/>
  <c r="AZ432" i="2"/>
  <c r="BB432" i="2"/>
  <c r="BD432" i="2" l="1"/>
  <c r="AX432" i="2"/>
  <c r="AT433" i="2" s="1"/>
  <c r="AW432" i="2"/>
  <c r="AS433" i="2" s="1"/>
  <c r="AU433" i="2" l="1"/>
  <c r="AV433" i="2"/>
  <c r="BG433" i="2" l="1"/>
  <c r="BC433" i="2" s="1"/>
  <c r="BF433" i="2"/>
  <c r="BE433" i="2"/>
  <c r="BA433" i="2"/>
  <c r="AY433" i="2"/>
  <c r="AZ433" i="2"/>
  <c r="BB433" i="2"/>
  <c r="BD433" i="2" l="1"/>
  <c r="AX433" i="2" s="1"/>
  <c r="AT434" i="2" s="1"/>
  <c r="AW433" i="2"/>
  <c r="AS434" i="2" s="1"/>
  <c r="AU434" i="2" l="1"/>
  <c r="AV434" i="2"/>
  <c r="BG434" i="2" l="1"/>
  <c r="BF434" i="2"/>
  <c r="BE434" i="2"/>
  <c r="AY434" i="2" s="1"/>
  <c r="BA434" i="2"/>
  <c r="BC434" i="2"/>
  <c r="BB434" i="2"/>
  <c r="AZ434" i="2"/>
  <c r="BD434" i="2" l="1"/>
  <c r="AW434" i="2"/>
  <c r="AS435" i="2" s="1"/>
  <c r="AX434" i="2"/>
  <c r="AT435" i="2" s="1"/>
  <c r="AU435" i="2" l="1"/>
  <c r="AV435" i="2"/>
  <c r="BG435" i="2" l="1"/>
  <c r="BD435" i="2" s="1"/>
  <c r="BF435" i="2"/>
  <c r="BE435" i="2"/>
  <c r="AY435" i="2" s="1"/>
  <c r="BA435" i="2"/>
  <c r="BC435" i="2" l="1"/>
  <c r="AW435" i="2" s="1"/>
  <c r="AS436" i="2" s="1"/>
  <c r="BB435" i="2"/>
  <c r="AZ435" i="2"/>
  <c r="AX435" i="2" l="1"/>
  <c r="AT436" i="2" s="1"/>
  <c r="AV436" i="2"/>
  <c r="AU436" i="2"/>
  <c r="BG436" i="2" l="1"/>
  <c r="BE436" i="2"/>
  <c r="BF436" i="2"/>
  <c r="BA436" i="2" s="1"/>
  <c r="BC436" i="2"/>
  <c r="AY436" i="2"/>
  <c r="BB436" i="2"/>
  <c r="AZ436" i="2"/>
  <c r="BD436" i="2" l="1"/>
  <c r="AX436" i="2" s="1"/>
  <c r="AT437" i="2" s="1"/>
  <c r="AW436" i="2"/>
  <c r="AS437" i="2" s="1"/>
  <c r="AV437" i="2" l="1"/>
  <c r="AU437" i="2"/>
  <c r="BG437" i="2" l="1"/>
  <c r="BE437" i="2"/>
  <c r="BF437" i="2"/>
  <c r="BD437" i="2"/>
  <c r="BA437" i="2" l="1"/>
  <c r="BB437" i="2"/>
  <c r="AY437" i="2"/>
  <c r="AZ437" i="2"/>
  <c r="BC437" i="2"/>
  <c r="AX437" i="2" l="1"/>
  <c r="AT438" i="2" s="1"/>
  <c r="AV438" i="2"/>
  <c r="AW437" i="2"/>
  <c r="AS438" i="2" s="1"/>
  <c r="BG438" i="2" l="1"/>
  <c r="AU438" i="2"/>
  <c r="BE438" i="2" l="1"/>
  <c r="BF438" i="2"/>
  <c r="BD438" i="2"/>
  <c r="AY438" i="2" l="1"/>
  <c r="AZ438" i="2"/>
  <c r="BA438" i="2"/>
  <c r="BB438" i="2"/>
  <c r="BC438" i="2"/>
  <c r="AX438" i="2" l="1"/>
  <c r="AT439" i="2" s="1"/>
  <c r="AW438" i="2"/>
  <c r="AS439" i="2" s="1"/>
  <c r="AU439" i="2" l="1"/>
  <c r="AV439" i="2"/>
  <c r="BG439" i="2" l="1"/>
  <c r="BF439" i="2"/>
  <c r="BE439" i="2"/>
  <c r="AZ439" i="2" s="1"/>
  <c r="BC439" i="2"/>
  <c r="BA439" i="2"/>
  <c r="AY439" i="2" l="1"/>
  <c r="BB439" i="2"/>
  <c r="BD439" i="2"/>
  <c r="AW439" i="2"/>
  <c r="AS440" i="2" s="1"/>
  <c r="AX439" i="2" l="1"/>
  <c r="AT440" i="2" s="1"/>
  <c r="AU440" i="2"/>
  <c r="BE440" i="2" l="1"/>
  <c r="AV440" i="2"/>
  <c r="BG440" i="2" l="1"/>
  <c r="BF440" i="2"/>
  <c r="AZ440" i="2"/>
  <c r="AY440" i="2"/>
  <c r="BD440" i="2"/>
  <c r="BC440" i="2"/>
  <c r="BA440" i="2" l="1"/>
  <c r="AW440" i="2" s="1"/>
  <c r="AS441" i="2" s="1"/>
  <c r="BB440" i="2"/>
  <c r="AX440" i="2" s="1"/>
  <c r="AV441" i="2" l="1"/>
  <c r="AT441" i="2"/>
  <c r="AU441" i="2"/>
  <c r="BE441" i="2" l="1"/>
  <c r="AZ441" i="2" s="1"/>
  <c r="BF441" i="2"/>
  <c r="BA441" i="2" s="1"/>
  <c r="BG441" i="2"/>
  <c r="BC441" i="2" s="1"/>
  <c r="AY441" i="2" l="1"/>
  <c r="BB441" i="2"/>
  <c r="AW441" i="2"/>
  <c r="AS442" i="2" s="1"/>
  <c r="BD441" i="2"/>
  <c r="AX441" i="2" s="1"/>
  <c r="AT442" i="2" s="1"/>
  <c r="AU442" i="2"/>
  <c r="AV442" i="2" l="1"/>
  <c r="BG442" i="2"/>
  <c r="BE442" i="2"/>
  <c r="AZ442" i="2" s="1"/>
  <c r="BF442" i="2"/>
  <c r="BA442" i="2" s="1"/>
  <c r="BD442" i="2"/>
  <c r="AY442" i="2"/>
  <c r="BB442" i="2" l="1"/>
  <c r="AX442" i="2" s="1"/>
  <c r="AT443" i="2" s="1"/>
  <c r="BC442" i="2"/>
  <c r="AW442" i="2" s="1"/>
  <c r="AS443" i="2" s="1"/>
  <c r="AU443" i="2" l="1"/>
  <c r="AV443" i="2"/>
  <c r="BG443" i="2" l="1"/>
  <c r="BF443" i="2"/>
  <c r="BE443" i="2"/>
  <c r="BC443" i="2"/>
  <c r="BA443" i="2"/>
  <c r="AY443" i="2"/>
  <c r="AZ443" i="2"/>
  <c r="BB443" i="2"/>
  <c r="BD443" i="2" l="1"/>
  <c r="AX443" i="2" s="1"/>
  <c r="AT444" i="2" s="1"/>
  <c r="AW443" i="2"/>
  <c r="AS444" i="2" s="1"/>
  <c r="AV444" i="2" l="1"/>
  <c r="BG444" i="2"/>
  <c r="AU444" i="2"/>
  <c r="BE444" i="2" l="1"/>
  <c r="AY444" i="2" s="1"/>
  <c r="BF444" i="2"/>
  <c r="BB444" i="2" s="1"/>
  <c r="BD444" i="2"/>
  <c r="BA444" i="2"/>
  <c r="AZ444" i="2" l="1"/>
  <c r="AX444" i="2" s="1"/>
  <c r="AT445" i="2" s="1"/>
  <c r="BC444" i="2"/>
  <c r="AW444" i="2" s="1"/>
  <c r="AS445" i="2" s="1"/>
  <c r="AU445" i="2" l="1"/>
  <c r="AV445" i="2"/>
  <c r="BG445" i="2" l="1"/>
  <c r="BD445" i="2" s="1"/>
  <c r="BF445" i="2"/>
  <c r="BB445" i="2" s="1"/>
  <c r="BE445" i="2"/>
  <c r="AY445" i="2"/>
  <c r="BA445" i="2"/>
  <c r="BC445" i="2" l="1"/>
  <c r="AW445" i="2" s="1"/>
  <c r="AS446" i="2" s="1"/>
  <c r="AZ445" i="2"/>
  <c r="AX445" i="2" s="1"/>
  <c r="AT446" i="2" s="1"/>
  <c r="AU446" i="2" l="1"/>
  <c r="AV446" i="2"/>
  <c r="BG446" i="2" l="1"/>
  <c r="BF446" i="2"/>
  <c r="BE446" i="2"/>
  <c r="AY446" i="2" s="1"/>
  <c r="BC446" i="2"/>
  <c r="BA446" i="2"/>
  <c r="AZ446" i="2"/>
  <c r="BB446" i="2"/>
  <c r="BD446" i="2" l="1"/>
  <c r="AX446" i="2" s="1"/>
  <c r="AT447" i="2" s="1"/>
  <c r="AW446" i="2"/>
  <c r="AS447" i="2" s="1"/>
  <c r="AV447" i="2" l="1"/>
  <c r="AU447" i="2"/>
  <c r="BG447" i="2" l="1"/>
  <c r="BE447" i="2"/>
  <c r="BF447" i="2"/>
  <c r="BD447" i="2"/>
  <c r="AY447" i="2" l="1"/>
  <c r="AZ447" i="2"/>
  <c r="BA447" i="2"/>
  <c r="BB447" i="2"/>
  <c r="BC447" i="2"/>
  <c r="AX447" i="2" l="1"/>
  <c r="AT448" i="2" s="1"/>
  <c r="AW447" i="2"/>
  <c r="AS448" i="2" s="1"/>
  <c r="AU448" i="2" l="1"/>
  <c r="AV448" i="2"/>
  <c r="BG448" i="2" l="1"/>
  <c r="BF448" i="2"/>
  <c r="BE448" i="2"/>
  <c r="AY448" i="2" s="1"/>
  <c r="BA448" i="2"/>
  <c r="BC448" i="2"/>
  <c r="AZ448" i="2"/>
  <c r="BB448" i="2"/>
  <c r="BD448" i="2" l="1"/>
  <c r="AX448" i="2" s="1"/>
  <c r="AT449" i="2" s="1"/>
  <c r="AW448" i="2"/>
  <c r="AS449" i="2" s="1"/>
  <c r="AV449" i="2" l="1"/>
  <c r="AU449" i="2"/>
  <c r="BG449" i="2"/>
  <c r="BE449" i="2" l="1"/>
  <c r="BF449" i="2"/>
  <c r="BD449" i="2"/>
  <c r="AY449" i="2" l="1"/>
  <c r="AZ449" i="2"/>
  <c r="BA449" i="2"/>
  <c r="BB449" i="2"/>
  <c r="BC449" i="2"/>
  <c r="AX449" i="2" l="1"/>
  <c r="AT450" i="2" s="1"/>
  <c r="AW449" i="2"/>
  <c r="AS450" i="2" s="1"/>
  <c r="AU450" i="2" l="1"/>
  <c r="AV450" i="2"/>
  <c r="BG450" i="2" l="1"/>
  <c r="BD450" i="2" s="1"/>
  <c r="BF450" i="2"/>
  <c r="BA450" i="2" s="1"/>
  <c r="BE450" i="2"/>
  <c r="AY450" i="2" s="1"/>
  <c r="BC450" i="2" l="1"/>
  <c r="AW450" i="2" s="1"/>
  <c r="AS451" i="2" s="1"/>
  <c r="AZ450" i="2"/>
  <c r="BB450" i="2"/>
  <c r="AU451" i="2" l="1"/>
  <c r="AX450" i="2"/>
  <c r="AT451" i="2" s="1"/>
  <c r="AV451" i="2" l="1"/>
  <c r="BE451" i="2"/>
  <c r="BG451" i="2" l="1"/>
  <c r="BF451" i="2"/>
  <c r="BA451" i="2" s="1"/>
  <c r="BC451" i="2"/>
  <c r="AY451" i="2"/>
  <c r="AW451" i="2" l="1"/>
  <c r="AS452" i="2" s="1"/>
  <c r="BD451" i="2"/>
  <c r="BB451" i="2"/>
  <c r="AU452" i="2"/>
  <c r="AZ451" i="2"/>
  <c r="AX451" i="2" l="1"/>
  <c r="AT452" i="2" s="1"/>
  <c r="AV452" i="2"/>
  <c r="BE452" i="2"/>
  <c r="BG452" i="2" l="1"/>
  <c r="BC452" i="2" s="1"/>
  <c r="BF452" i="2"/>
  <c r="BA452" i="2" s="1"/>
  <c r="AY452" i="2"/>
  <c r="BD452" i="2" l="1"/>
  <c r="AW452" i="2"/>
  <c r="AS453" i="2" s="1"/>
  <c r="BB452" i="2"/>
  <c r="AZ452" i="2"/>
  <c r="AX452" i="2" l="1"/>
  <c r="AT453" i="2" s="1"/>
  <c r="AU453" i="2"/>
  <c r="BE453" i="2" l="1"/>
  <c r="AV453" i="2"/>
  <c r="BG453" i="2" l="1"/>
  <c r="BF453" i="2"/>
  <c r="BD453" i="2"/>
  <c r="AZ453" i="2" l="1"/>
  <c r="AY453" i="2"/>
  <c r="BB453" i="2"/>
  <c r="AX453" i="2" s="1"/>
  <c r="AT454" i="2" s="1"/>
  <c r="BA453" i="2"/>
  <c r="BC453" i="2"/>
  <c r="AV454" i="2" l="1"/>
  <c r="AW453" i="2"/>
  <c r="AS454" i="2" s="1"/>
  <c r="AU454" i="2" l="1"/>
  <c r="BG454" i="2"/>
  <c r="BE454" i="2" l="1"/>
  <c r="AZ454" i="2" s="1"/>
  <c r="BF454" i="2"/>
  <c r="BD454" i="2"/>
  <c r="AY454" i="2" l="1"/>
  <c r="BA454" i="2"/>
  <c r="BB454" i="2"/>
  <c r="AX454" i="2" s="1"/>
  <c r="AT455" i="2" s="1"/>
  <c r="BC454" i="2"/>
  <c r="AV455" i="2" l="1"/>
  <c r="AW454" i="2"/>
  <c r="AS455" i="2" s="1"/>
  <c r="AU455" i="2" l="1"/>
  <c r="BG455" i="2"/>
  <c r="BE455" i="2" l="1"/>
  <c r="AZ455" i="2" s="1"/>
  <c r="BF455" i="2"/>
  <c r="BD455" i="2"/>
  <c r="AY455" i="2" l="1"/>
  <c r="BA455" i="2"/>
  <c r="BB455" i="2"/>
  <c r="AX455" i="2" s="1"/>
  <c r="AT456" i="2" s="1"/>
  <c r="BC455" i="2"/>
  <c r="AW455" i="2" l="1"/>
  <c r="AV456" i="2"/>
  <c r="AU456" i="2" l="1"/>
  <c r="AS456" i="2"/>
  <c r="BG456" i="2" s="1"/>
  <c r="BD456" i="2" s="1"/>
  <c r="BE456" i="2" l="1"/>
  <c r="AZ456" i="2" s="1"/>
  <c r="BF456" i="2"/>
  <c r="BB456" i="2" s="1"/>
  <c r="BC456" i="2"/>
  <c r="AX456" i="2" l="1"/>
  <c r="AT457" i="2" s="1"/>
  <c r="AV457" i="2"/>
  <c r="AY456" i="2"/>
  <c r="BA456" i="2"/>
  <c r="AW456" i="2" l="1"/>
  <c r="AS457" i="2" l="1"/>
  <c r="AU457" i="2"/>
  <c r="BE457" i="2"/>
  <c r="BF457" i="2"/>
  <c r="BG457" i="2" l="1"/>
  <c r="BD457" i="2" s="1"/>
  <c r="BA457" i="2"/>
  <c r="BB457" i="2"/>
  <c r="AY457" i="2"/>
  <c r="AZ457" i="2"/>
  <c r="BC457" i="2"/>
  <c r="AX457" i="2" l="1"/>
  <c r="AW457" i="2"/>
  <c r="AS458" i="2" s="1"/>
  <c r="AV458" i="2" l="1"/>
  <c r="AT458" i="2"/>
  <c r="AU458" i="2"/>
  <c r="BG458" i="2" l="1"/>
  <c r="BD458" i="2" s="1"/>
  <c r="BE458" i="2"/>
  <c r="BF458" i="2"/>
  <c r="AY458" i="2" l="1"/>
  <c r="AZ458" i="2"/>
  <c r="BA458" i="2"/>
  <c r="BB458" i="2"/>
  <c r="BC458" i="2"/>
  <c r="AX458" i="2" l="1"/>
  <c r="AT459" i="2" s="1"/>
  <c r="AW458" i="2"/>
  <c r="AS459" i="2" s="1"/>
  <c r="AV459" i="2" l="1"/>
  <c r="AU459" i="2"/>
  <c r="BG459" i="2"/>
  <c r="BE459" i="2" l="1"/>
  <c r="AZ459" i="2" s="1"/>
  <c r="BF459" i="2"/>
  <c r="BB459" i="2" s="1"/>
  <c r="BD459" i="2"/>
  <c r="BA459" i="2" l="1"/>
  <c r="AY459" i="2"/>
  <c r="AX459" i="2"/>
  <c r="AT460" i="2" s="1"/>
  <c r="BC459" i="2"/>
  <c r="AW459" i="2" l="1"/>
  <c r="AS460" i="2" s="1"/>
  <c r="AV460" i="2"/>
  <c r="AU460" i="2" l="1"/>
  <c r="BG460" i="2"/>
  <c r="BF460" i="2"/>
  <c r="BA460" i="2" s="1"/>
  <c r="BE460" i="2"/>
  <c r="BC460" i="2"/>
  <c r="AZ460" i="2"/>
  <c r="AY460" i="2"/>
  <c r="BD460" i="2" l="1"/>
  <c r="AW460" i="2"/>
  <c r="AS461" i="2" s="1"/>
  <c r="BB460" i="2"/>
  <c r="AX460" i="2" l="1"/>
  <c r="AU461" i="2"/>
  <c r="AV461" i="2" l="1"/>
  <c r="AT461" i="2"/>
  <c r="BG461" i="2" s="1"/>
  <c r="BC461" i="2" s="1"/>
  <c r="BF461" i="2" l="1"/>
  <c r="BA461" i="2" s="1"/>
  <c r="BE461" i="2"/>
  <c r="AY461" i="2" s="1"/>
  <c r="BD461" i="2"/>
  <c r="AW461" i="2" l="1"/>
  <c r="AS462" i="2" s="1"/>
  <c r="AZ461" i="2"/>
  <c r="BB461" i="2"/>
  <c r="AU462" i="2"/>
  <c r="AX461" i="2" l="1"/>
  <c r="AT462" i="2" s="1"/>
  <c r="AV462" i="2"/>
  <c r="BG462" i="2"/>
  <c r="BD462" i="2" s="1"/>
  <c r="BE462" i="2"/>
  <c r="BF462" i="2"/>
  <c r="BB462" i="2" s="1"/>
  <c r="BA462" i="2" l="1"/>
  <c r="AY462" i="2"/>
  <c r="AZ462" i="2"/>
  <c r="AX462" i="2" s="1"/>
  <c r="AT463" i="2" s="1"/>
  <c r="BC462" i="2"/>
  <c r="AW462" i="2" l="1"/>
  <c r="AS463" i="2" s="1"/>
  <c r="AU463" i="2"/>
  <c r="AV463" i="2"/>
  <c r="BG463" i="2" l="1"/>
  <c r="BC463" i="2" s="1"/>
  <c r="BF463" i="2"/>
  <c r="BE463" i="2"/>
  <c r="AZ463" i="2" s="1"/>
  <c r="BA463" i="2"/>
  <c r="BB463" i="2"/>
  <c r="AY463" i="2" l="1"/>
  <c r="BD463" i="2"/>
  <c r="AX463" i="2" s="1"/>
  <c r="AT464" i="2" s="1"/>
  <c r="AW463" i="2"/>
  <c r="AS464" i="2" s="1"/>
  <c r="AU464" i="2" l="1"/>
  <c r="AV464" i="2"/>
  <c r="BG464" i="2" l="1"/>
  <c r="BD464" i="2" s="1"/>
  <c r="BF464" i="2"/>
  <c r="BE464" i="2"/>
  <c r="AZ464" i="2" s="1"/>
  <c r="BA464" i="2"/>
  <c r="AY464" i="2"/>
  <c r="BC464" i="2" l="1"/>
  <c r="AW464" i="2" s="1"/>
  <c r="AS465" i="2" s="1"/>
  <c r="BB464" i="2"/>
  <c r="AX464" i="2" s="1"/>
  <c r="AT465" i="2" s="1"/>
  <c r="AU465" i="2" l="1"/>
  <c r="AV465" i="2"/>
  <c r="BG465" i="2" l="1"/>
  <c r="BD465" i="2" s="1"/>
  <c r="BF465" i="2"/>
  <c r="BE465" i="2"/>
  <c r="AY465" i="2" s="1"/>
  <c r="BA465" i="2"/>
  <c r="BB465" i="2"/>
  <c r="AZ465" i="2" l="1"/>
  <c r="AX465" i="2" s="1"/>
  <c r="AT466" i="2" s="1"/>
  <c r="BC465" i="2"/>
  <c r="AW465" i="2" s="1"/>
  <c r="AS466" i="2" s="1"/>
  <c r="AU466" i="2" l="1"/>
  <c r="AV466" i="2"/>
  <c r="BG466" i="2" l="1"/>
  <c r="BC466" i="2" s="1"/>
  <c r="BF466" i="2"/>
  <c r="BA466" i="2" s="1"/>
  <c r="BE466" i="2"/>
  <c r="AY466" i="2" s="1"/>
  <c r="BB466" i="2"/>
  <c r="AZ466" i="2" l="1"/>
  <c r="BD466" i="2"/>
  <c r="AX466" i="2" s="1"/>
  <c r="AT467" i="2" s="1"/>
  <c r="AW466" i="2"/>
  <c r="AS467" i="2" s="1"/>
  <c r="AV467" i="2" l="1"/>
  <c r="AU467" i="2"/>
  <c r="BG467" i="2"/>
  <c r="BE467" i="2" l="1"/>
  <c r="BF467" i="2"/>
  <c r="AZ467" i="2"/>
  <c r="AY467" i="2"/>
  <c r="BC467" i="2"/>
  <c r="BA467" i="2"/>
  <c r="BB467" i="2"/>
  <c r="BD467" i="2" l="1"/>
  <c r="AW467" i="2"/>
  <c r="AS468" i="2" s="1"/>
  <c r="AX467" i="2"/>
  <c r="AT468" i="2" s="1"/>
  <c r="AV468" i="2" l="1"/>
  <c r="AU468" i="2"/>
  <c r="BG468" i="2"/>
  <c r="BE468" i="2" l="1"/>
  <c r="AZ468" i="2" s="1"/>
  <c r="BF468" i="2"/>
  <c r="BA468" i="2" s="1"/>
  <c r="BD468" i="2"/>
  <c r="BB468" i="2"/>
  <c r="AY468" i="2" l="1"/>
  <c r="AX468" i="2"/>
  <c r="BC468" i="2"/>
  <c r="AW468" i="2" s="1"/>
  <c r="AS469" i="2" s="1"/>
  <c r="AV469" i="2" l="1"/>
  <c r="AT469" i="2"/>
  <c r="AU469" i="2"/>
  <c r="BG469" i="2"/>
  <c r="BE469" i="2" l="1"/>
  <c r="AZ469" i="2" s="1"/>
  <c r="BF469" i="2"/>
  <c r="BD469" i="2"/>
  <c r="BB469" i="2"/>
  <c r="AY469" i="2"/>
  <c r="BA469" i="2"/>
  <c r="AX469" i="2" l="1"/>
  <c r="AT470" i="2" s="1"/>
  <c r="BC469" i="2"/>
  <c r="AW469" i="2" s="1"/>
  <c r="AS470" i="2" s="1"/>
  <c r="AU470" i="2" l="1"/>
  <c r="AV470" i="2"/>
  <c r="BG470" i="2" l="1"/>
  <c r="BD470" i="2" s="1"/>
  <c r="BF470" i="2"/>
  <c r="BB470" i="2" s="1"/>
  <c r="BE470" i="2"/>
  <c r="AY470" i="2" s="1"/>
  <c r="AZ470" i="2" l="1"/>
  <c r="AX470" i="2" s="1"/>
  <c r="AT471" i="2" s="1"/>
  <c r="BA470" i="2"/>
  <c r="BC470" i="2"/>
  <c r="AW470" i="2" l="1"/>
  <c r="AV471" i="2"/>
  <c r="AU471" i="2" l="1"/>
  <c r="AS471" i="2"/>
  <c r="BG471" i="2"/>
  <c r="BD471" i="2" s="1"/>
  <c r="BE471" i="2" l="1"/>
  <c r="AZ471" i="2" s="1"/>
  <c r="BF471" i="2"/>
  <c r="BA471" i="2" s="1"/>
  <c r="AY471" i="2"/>
  <c r="BC471" i="2"/>
  <c r="BB471" i="2"/>
  <c r="AX471" i="2" s="1"/>
  <c r="AT472" i="2" s="1"/>
  <c r="AV472" i="2" l="1"/>
  <c r="AW471" i="2"/>
  <c r="AS472" i="2" s="1"/>
  <c r="BG472" i="2" l="1"/>
  <c r="AU472" i="2"/>
  <c r="BE472" i="2" l="1"/>
  <c r="BF472" i="2"/>
  <c r="BB472" i="2" s="1"/>
  <c r="AZ472" i="2"/>
  <c r="BD472" i="2"/>
  <c r="BA472" i="2"/>
  <c r="AY472" i="2"/>
  <c r="AX472" i="2" l="1"/>
  <c r="AT473" i="2" s="1"/>
  <c r="BC472" i="2"/>
  <c r="AW472" i="2" s="1"/>
  <c r="AS473" i="2" s="1"/>
  <c r="AU473" i="2" l="1"/>
  <c r="AV473" i="2"/>
  <c r="BG473" i="2" l="1"/>
  <c r="BF473" i="2"/>
  <c r="BB473" i="2" s="1"/>
  <c r="BE473" i="2"/>
  <c r="BD473" i="2"/>
  <c r="BA473" i="2"/>
  <c r="AZ473" i="2"/>
  <c r="AX473" i="2" l="1"/>
  <c r="AT474" i="2" s="1"/>
  <c r="AV474" i="2"/>
  <c r="AY473" i="2"/>
  <c r="BC473" i="2"/>
  <c r="AW473" i="2" l="1"/>
  <c r="AS474" i="2" s="1"/>
  <c r="BG474" i="2" l="1"/>
  <c r="AU474" i="2"/>
  <c r="BE474" i="2" l="1"/>
  <c r="BF474" i="2"/>
  <c r="BB474" i="2" s="1"/>
  <c r="BD474" i="2"/>
  <c r="AZ474" i="2"/>
  <c r="BA474" i="2"/>
  <c r="AY474" i="2"/>
  <c r="AX474" i="2" l="1"/>
  <c r="BC474" i="2"/>
  <c r="AW474" i="2" s="1"/>
  <c r="AS475" i="2" s="1"/>
  <c r="AV475" i="2" l="1"/>
  <c r="AT475" i="2"/>
  <c r="AU475" i="2"/>
  <c r="BG475" i="2"/>
  <c r="BE475" i="2" l="1"/>
  <c r="AZ475" i="2" s="1"/>
  <c r="BF475" i="2"/>
  <c r="BB475" i="2" s="1"/>
  <c r="BD475" i="2"/>
  <c r="BA475" i="2" l="1"/>
  <c r="AY475" i="2"/>
  <c r="AX475" i="2"/>
  <c r="AT476" i="2" s="1"/>
  <c r="BC475" i="2"/>
  <c r="AW475" i="2" l="1"/>
  <c r="AS476" i="2" s="1"/>
  <c r="AV476" i="2"/>
  <c r="AU476" i="2" l="1"/>
  <c r="BG476" i="2"/>
  <c r="BD476" i="2" s="1"/>
  <c r="BF476" i="2"/>
  <c r="BE476" i="2"/>
  <c r="AZ476" i="2" s="1"/>
  <c r="BA476" i="2"/>
  <c r="AY476" i="2" l="1"/>
  <c r="BC476" i="2"/>
  <c r="BB476" i="2"/>
  <c r="AX476" i="2" s="1"/>
  <c r="AT477" i="2" s="1"/>
  <c r="AW476" i="2" l="1"/>
  <c r="AS477" i="2" s="1"/>
  <c r="AU477" i="2"/>
  <c r="AV477" i="2"/>
  <c r="BG477" i="2" l="1"/>
  <c r="BF477" i="2"/>
  <c r="BE477" i="2"/>
  <c r="AY477" i="2" s="1"/>
  <c r="BC477" i="2"/>
  <c r="BA477" i="2"/>
  <c r="BB477" i="2"/>
  <c r="AZ477" i="2"/>
  <c r="BD477" i="2" l="1"/>
  <c r="AX477" i="2" s="1"/>
  <c r="AT478" i="2" s="1"/>
  <c r="AW477" i="2"/>
  <c r="AS478" i="2" s="1"/>
  <c r="AV478" i="2" l="1"/>
  <c r="BG478" i="2"/>
  <c r="AU478" i="2"/>
  <c r="BE478" i="2" l="1"/>
  <c r="AY478" i="2" s="1"/>
  <c r="BF478" i="2"/>
  <c r="BD478" i="2"/>
  <c r="AZ478" i="2" l="1"/>
  <c r="BA478" i="2"/>
  <c r="BB478" i="2"/>
  <c r="BC478" i="2"/>
  <c r="AX478" i="2" l="1"/>
  <c r="AT479" i="2" s="1"/>
  <c r="AW478" i="2"/>
  <c r="AS479" i="2" s="1"/>
  <c r="BG479" i="2" s="1"/>
  <c r="AV479" i="2"/>
  <c r="AU479" i="2"/>
  <c r="BE479" i="2" l="1"/>
  <c r="BF479" i="2"/>
  <c r="BA479" i="2" s="1"/>
  <c r="BC479" i="2"/>
  <c r="AY479" i="2"/>
  <c r="BB479" i="2"/>
  <c r="AZ479" i="2"/>
  <c r="AW479" i="2" l="1"/>
  <c r="AS480" i="2" s="1"/>
  <c r="BD479" i="2"/>
  <c r="AX479" i="2" s="1"/>
  <c r="AT480" i="2" s="1"/>
  <c r="AU480" i="2" l="1"/>
  <c r="BE480" i="2"/>
  <c r="AV480" i="2"/>
  <c r="BG480" i="2" l="1"/>
  <c r="BF480" i="2"/>
  <c r="AY480" i="2"/>
  <c r="AZ480" i="2"/>
  <c r="BA480" i="2"/>
  <c r="BC480" i="2"/>
  <c r="BD480" i="2" l="1"/>
  <c r="AW480" i="2"/>
  <c r="AS481" i="2" s="1"/>
  <c r="BB480" i="2"/>
  <c r="AX480" i="2" s="1"/>
  <c r="AT481" i="2" s="1"/>
  <c r="AU481" i="2" l="1"/>
  <c r="AV481" i="2"/>
  <c r="BE481" i="2"/>
  <c r="AY481" i="2" s="1"/>
  <c r="BG481" i="2" l="1"/>
  <c r="BC481" i="2" s="1"/>
  <c r="BF481" i="2"/>
  <c r="BA481" i="2" s="1"/>
  <c r="AW481" i="2" s="1"/>
  <c r="AS482" i="2" s="1"/>
  <c r="BD481" i="2"/>
  <c r="AZ481" i="2"/>
  <c r="BB481" i="2"/>
  <c r="AU482" i="2" l="1"/>
  <c r="AX481" i="2"/>
  <c r="AT482" i="2" s="1"/>
  <c r="BE482" i="2" l="1"/>
  <c r="AY482" i="2" s="1"/>
  <c r="AV482" i="2"/>
  <c r="BG482" i="2" l="1"/>
  <c r="BC482" i="2" s="1"/>
  <c r="BF482" i="2"/>
  <c r="BA482" i="2" s="1"/>
  <c r="AW482" i="2" s="1"/>
  <c r="AS483" i="2" s="1"/>
  <c r="BD482" i="2"/>
  <c r="AZ482" i="2"/>
  <c r="BB482" i="2" l="1"/>
  <c r="AX482" i="2" s="1"/>
  <c r="AT483" i="2" s="1"/>
  <c r="AU483" i="2"/>
  <c r="AV483" i="2" l="1"/>
  <c r="BE483" i="2"/>
  <c r="AY483" i="2" s="1"/>
  <c r="BG483" i="2" l="1"/>
  <c r="BC483" i="2" s="1"/>
  <c r="BF483" i="2"/>
  <c r="BA483" i="2" s="1"/>
  <c r="AZ483" i="2"/>
  <c r="BB483" i="2" l="1"/>
  <c r="BD483" i="2"/>
  <c r="AX483" i="2" s="1"/>
  <c r="AT484" i="2" s="1"/>
  <c r="AW483" i="2"/>
  <c r="AU484" i="2" l="1"/>
  <c r="AS484" i="2"/>
  <c r="BE484" i="2"/>
  <c r="AV484" i="2"/>
  <c r="BG484" i="2" l="1"/>
  <c r="BD484" i="2" s="1"/>
  <c r="BF484" i="2"/>
  <c r="BA484" i="2" s="1"/>
  <c r="AY484" i="2"/>
  <c r="AZ484" i="2"/>
  <c r="BC484" i="2" l="1"/>
  <c r="AW484" i="2" s="1"/>
  <c r="AS485" i="2" s="1"/>
  <c r="BB484" i="2"/>
  <c r="AX484" i="2" s="1"/>
  <c r="AT485" i="2" s="1"/>
  <c r="AV485" i="2" l="1"/>
  <c r="BG485" i="2"/>
  <c r="AU485" i="2"/>
  <c r="BE485" i="2" l="1"/>
  <c r="BF485" i="2"/>
  <c r="BD485" i="2"/>
  <c r="AY485" i="2" l="1"/>
  <c r="AZ485" i="2"/>
  <c r="BA485" i="2"/>
  <c r="BB485" i="2"/>
  <c r="BC485" i="2"/>
  <c r="AX485" i="2" l="1"/>
  <c r="AT486" i="2" s="1"/>
  <c r="AW485" i="2"/>
  <c r="AS486" i="2" s="1"/>
  <c r="AU486" i="2" l="1"/>
  <c r="AV486" i="2"/>
  <c r="BG486" i="2" l="1"/>
  <c r="BD486" i="2" s="1"/>
  <c r="BF486" i="2"/>
  <c r="BB486" i="2" s="1"/>
  <c r="BE486" i="2"/>
  <c r="AZ486" i="2" s="1"/>
  <c r="AY486" i="2" l="1"/>
  <c r="BC486" i="2"/>
  <c r="AX486" i="2"/>
  <c r="AT487" i="2" s="1"/>
  <c r="BA486" i="2"/>
  <c r="AW486" i="2" l="1"/>
  <c r="AS487" i="2" s="1"/>
  <c r="AU487" i="2"/>
  <c r="AV487" i="2"/>
  <c r="BG487" i="2" l="1"/>
  <c r="BD487" i="2" s="1"/>
  <c r="BF487" i="2"/>
  <c r="BB487" i="2" s="1"/>
  <c r="BE487" i="2"/>
  <c r="AY487" i="2" s="1"/>
  <c r="BA487" i="2" l="1"/>
  <c r="BC487" i="2"/>
  <c r="AZ487" i="2"/>
  <c r="AX487" i="2" s="1"/>
  <c r="AT488" i="2" s="1"/>
  <c r="AW487" i="2" l="1"/>
  <c r="AS488" i="2" s="1"/>
  <c r="AU488" i="2"/>
  <c r="AV488" i="2"/>
  <c r="BG488" i="2" l="1"/>
  <c r="BF488" i="2"/>
  <c r="BE488" i="2"/>
  <c r="AY488" i="2" s="1"/>
  <c r="BA488" i="2"/>
  <c r="BC488" i="2"/>
  <c r="AZ488" i="2"/>
  <c r="BB488" i="2"/>
  <c r="BD488" i="2" l="1"/>
  <c r="AX488" i="2" s="1"/>
  <c r="AT489" i="2" s="1"/>
  <c r="AW488" i="2"/>
  <c r="AS489" i="2" s="1"/>
  <c r="AU489" i="2" l="1"/>
  <c r="AV489" i="2"/>
  <c r="BG489" i="2" l="1"/>
  <c r="BD489" i="2" s="1"/>
  <c r="BF489" i="2"/>
  <c r="BA489" i="2" s="1"/>
  <c r="BE489" i="2"/>
  <c r="AY489" i="2" s="1"/>
  <c r="BC489" i="2" l="1"/>
  <c r="AZ489" i="2"/>
  <c r="AW489" i="2"/>
  <c r="AS490" i="2" s="1"/>
  <c r="BB489" i="2"/>
  <c r="AX489" i="2" l="1"/>
  <c r="AT490" i="2" s="1"/>
  <c r="AU490" i="2"/>
  <c r="AV490" i="2" l="1"/>
  <c r="BE490" i="2"/>
  <c r="BG490" i="2" l="1"/>
  <c r="BD490" i="2" s="1"/>
  <c r="BF490" i="2"/>
  <c r="BA490" i="2" s="1"/>
  <c r="AZ490" i="2" l="1"/>
  <c r="AY490" i="2"/>
  <c r="BC490" i="2"/>
  <c r="BB490" i="2"/>
  <c r="AX490" i="2" s="1"/>
  <c r="AT491" i="2" s="1"/>
  <c r="AV491" i="2" l="1"/>
  <c r="AW490" i="2"/>
  <c r="AS491" i="2" s="1"/>
  <c r="AU491" i="2" l="1"/>
  <c r="BG491" i="2"/>
  <c r="BE491" i="2" l="1"/>
  <c r="BF491" i="2"/>
  <c r="BD491" i="2"/>
  <c r="BA491" i="2" l="1"/>
  <c r="BB491" i="2"/>
  <c r="AY491" i="2"/>
  <c r="AZ491" i="2"/>
  <c r="BC491" i="2"/>
  <c r="AX491" i="2" l="1"/>
  <c r="AW491" i="2"/>
  <c r="AS492" i="2" s="1"/>
  <c r="AV492" i="2" l="1"/>
  <c r="AT492" i="2"/>
  <c r="BG492" i="2"/>
  <c r="AU492" i="2"/>
  <c r="BE492" i="2" l="1"/>
  <c r="AY492" i="2" s="1"/>
  <c r="BF492" i="2"/>
  <c r="AZ492" i="2"/>
  <c r="BD492" i="2"/>
  <c r="BA492" i="2" l="1"/>
  <c r="BB492" i="2"/>
  <c r="AX492" i="2" s="1"/>
  <c r="AT493" i="2" s="1"/>
  <c r="BC492" i="2"/>
  <c r="AV493" i="2" l="1"/>
  <c r="AW492" i="2"/>
  <c r="AS493" i="2" s="1"/>
  <c r="AU493" i="2" l="1"/>
  <c r="BG493" i="2"/>
  <c r="BE493" i="2" l="1"/>
  <c r="BF493" i="2"/>
  <c r="BD493" i="2"/>
  <c r="BA493" i="2" l="1"/>
  <c r="BB493" i="2"/>
  <c r="AY493" i="2"/>
  <c r="AZ493" i="2"/>
  <c r="BC493" i="2"/>
  <c r="AX493" i="2" l="1"/>
  <c r="AT494" i="2" s="1"/>
  <c r="AV494" i="2"/>
  <c r="AW493" i="2"/>
  <c r="AS494" i="2" s="1"/>
  <c r="BG494" i="2" l="1"/>
  <c r="AU494" i="2"/>
  <c r="BD494" i="2"/>
  <c r="BE494" i="2" l="1"/>
  <c r="BF494" i="2"/>
  <c r="BC494" i="2"/>
  <c r="AZ494" i="2"/>
  <c r="AY494" i="2"/>
  <c r="BA494" i="2" l="1"/>
  <c r="AW494" i="2" s="1"/>
  <c r="AS495" i="2" s="1"/>
  <c r="BB494" i="2"/>
  <c r="AX494" i="2" s="1"/>
  <c r="AT495" i="2" s="1"/>
  <c r="AV495" i="2" l="1"/>
  <c r="BG495" i="2"/>
  <c r="AU495" i="2"/>
  <c r="BE495" i="2" l="1"/>
  <c r="AY495" i="2" s="1"/>
  <c r="BF495" i="2"/>
  <c r="BB495" i="2" s="1"/>
  <c r="BD495" i="2"/>
  <c r="AZ495" i="2" l="1"/>
  <c r="BA495" i="2"/>
  <c r="AX495" i="2"/>
  <c r="AT496" i="2" s="1"/>
  <c r="BC495" i="2"/>
  <c r="AW495" i="2" l="1"/>
  <c r="AS496" i="2" s="1"/>
  <c r="AU496" i="2"/>
  <c r="AV496" i="2"/>
  <c r="BG496" i="2" l="1"/>
  <c r="BF496" i="2"/>
  <c r="BE496" i="2"/>
  <c r="AZ496" i="2" s="1"/>
  <c r="BA496" i="2"/>
  <c r="BD496" i="2"/>
  <c r="AY496" i="2" l="1"/>
  <c r="BC496" i="2"/>
  <c r="BB496" i="2"/>
  <c r="AX496" i="2" s="1"/>
  <c r="AT497" i="2" s="1"/>
  <c r="AV497" i="2" l="1"/>
  <c r="AW496" i="2"/>
  <c r="AS497" i="2" s="1"/>
  <c r="AU497" i="2" l="1"/>
  <c r="BG497" i="2"/>
  <c r="BE497" i="2" l="1"/>
  <c r="BF497" i="2"/>
  <c r="BD497" i="2"/>
  <c r="AY497" i="2" l="1"/>
  <c r="AZ497" i="2"/>
  <c r="BA497" i="2"/>
  <c r="BB497" i="2"/>
  <c r="BC497" i="2"/>
  <c r="AX497" i="2" l="1"/>
  <c r="AT498" i="2" s="1"/>
  <c r="AW497" i="2"/>
  <c r="AS498" i="2" s="1"/>
  <c r="AU498" i="2" l="1"/>
  <c r="AV498" i="2"/>
  <c r="BG498" i="2" l="1"/>
  <c r="BF498" i="2"/>
  <c r="BE498" i="2"/>
  <c r="AY498" i="2" s="1"/>
  <c r="BC498" i="2"/>
  <c r="BA498" i="2"/>
  <c r="AZ498" i="2"/>
  <c r="BD498" i="2" l="1"/>
  <c r="AW498" i="2"/>
  <c r="AS499" i="2" s="1"/>
  <c r="BB498" i="2"/>
  <c r="AX498" i="2" s="1"/>
  <c r="AT499" i="2" s="1"/>
  <c r="AV499" i="2" l="1"/>
  <c r="BG499" i="2"/>
  <c r="AU499" i="2"/>
  <c r="BE499" i="2" l="1"/>
  <c r="AZ499" i="2" s="1"/>
  <c r="BF499" i="2"/>
  <c r="BB499" i="2" s="1"/>
  <c r="BD499" i="2"/>
  <c r="AX499" i="2" l="1"/>
  <c r="AT500" i="2" s="1"/>
  <c r="BA499" i="2"/>
  <c r="AY499" i="2"/>
  <c r="BC499" i="2"/>
  <c r="AV500" i="2" l="1"/>
  <c r="AW499" i="2"/>
  <c r="AS500" i="2" s="1"/>
  <c r="AU500" i="2" l="1"/>
  <c r="BG500" i="2"/>
  <c r="BE500" i="2" l="1"/>
  <c r="BF500" i="2"/>
  <c r="BB500" i="2" s="1"/>
  <c r="AZ500" i="2"/>
  <c r="BD500" i="2"/>
  <c r="AY500" i="2" l="1"/>
  <c r="AX500" i="2"/>
  <c r="AT501" i="2" s="1"/>
  <c r="BA500" i="2"/>
  <c r="BC500" i="2"/>
  <c r="AW500" i="2" l="1"/>
  <c r="AS501" i="2" s="1"/>
  <c r="AU501" i="2"/>
  <c r="AV501" i="2"/>
  <c r="BG501" i="2" l="1"/>
  <c r="BF501" i="2"/>
  <c r="BE501" i="2"/>
  <c r="BD501" i="2"/>
  <c r="BA501" i="2"/>
  <c r="AY501" i="2"/>
  <c r="BB501" i="2"/>
  <c r="AZ501" i="2" l="1"/>
  <c r="AX501" i="2" s="1"/>
  <c r="AT502" i="2" s="1"/>
  <c r="BC501" i="2"/>
  <c r="AW501" i="2" s="1"/>
  <c r="AS502" i="2" s="1"/>
  <c r="AU502" i="2" l="1"/>
  <c r="AV502" i="2"/>
  <c r="BG502" i="2" l="1"/>
  <c r="BD502" i="2" s="1"/>
  <c r="BF502" i="2"/>
  <c r="BE502" i="2"/>
  <c r="AZ502" i="2" s="1"/>
  <c r="BB502" i="2"/>
  <c r="AY502" i="2"/>
  <c r="BA502" i="2"/>
  <c r="AX502" i="2" l="1"/>
  <c r="AT503" i="2" s="1"/>
  <c r="BC502" i="2"/>
  <c r="AW502" i="2" s="1"/>
  <c r="AS503" i="2" s="1"/>
  <c r="AU503" i="2" l="1"/>
  <c r="AV503" i="2"/>
  <c r="BG503" i="2" l="1"/>
  <c r="BF503" i="2"/>
  <c r="BB503" i="2" s="1"/>
  <c r="BE503" i="2"/>
  <c r="AZ503" i="2" s="1"/>
  <c r="AY503" i="2" l="1"/>
  <c r="BA503" i="2"/>
  <c r="BD503" i="2"/>
  <c r="AX503" i="2" s="1"/>
  <c r="AT504" i="2" s="1"/>
  <c r="BC503" i="2"/>
  <c r="AW503" i="2" l="1"/>
  <c r="AS504" i="2" s="1"/>
  <c r="AV504" i="2"/>
  <c r="AU504" i="2"/>
  <c r="BG504" i="2" l="1"/>
  <c r="BD504" i="2" s="1"/>
  <c r="BE504" i="2"/>
  <c r="BF504" i="2"/>
  <c r="AY504" i="2" l="1"/>
  <c r="AZ504" i="2"/>
  <c r="BA504" i="2"/>
  <c r="BB504" i="2"/>
  <c r="BC504" i="2"/>
  <c r="AX504" i="2" l="1"/>
  <c r="AT505" i="2" s="1"/>
  <c r="AW504" i="2"/>
  <c r="AS505" i="2" s="1"/>
  <c r="AU505" i="2" l="1"/>
  <c r="AV505" i="2"/>
  <c r="BG505" i="2" l="1"/>
  <c r="BC505" i="2" s="1"/>
  <c r="BF505" i="2"/>
  <c r="BE505" i="2"/>
  <c r="AY505" i="2" s="1"/>
  <c r="BA505" i="2"/>
  <c r="BB505" i="2"/>
  <c r="AZ505" i="2"/>
  <c r="BD505" i="2" l="1"/>
  <c r="AX505" i="2" s="1"/>
  <c r="AT506" i="2" s="1"/>
  <c r="AW505" i="2"/>
  <c r="AS506" i="2" s="1"/>
  <c r="AU506" i="2" l="1"/>
  <c r="AV506" i="2"/>
  <c r="BG506" i="2" l="1"/>
  <c r="BF506" i="2"/>
  <c r="BE506" i="2"/>
  <c r="BD506" i="2"/>
  <c r="AY506" i="2"/>
  <c r="BA506" i="2"/>
  <c r="AZ506" i="2" l="1"/>
  <c r="BC506" i="2"/>
  <c r="AW506" i="2" s="1"/>
  <c r="AS507" i="2" s="1"/>
  <c r="BB506" i="2"/>
  <c r="AU507" i="2" l="1"/>
  <c r="AX506" i="2"/>
  <c r="AT507" i="2" s="1"/>
  <c r="AV507" i="2" l="1"/>
  <c r="BE507" i="2"/>
  <c r="AY507" i="2" s="1"/>
  <c r="BG507" i="2" l="1"/>
  <c r="BC507" i="2"/>
  <c r="BF507" i="2"/>
  <c r="BA507" i="2" s="1"/>
  <c r="BD507" i="2"/>
  <c r="AZ507" i="2"/>
  <c r="BB507" i="2" l="1"/>
  <c r="AW507" i="2"/>
  <c r="AX507" i="2"/>
  <c r="AV508" i="2" l="1"/>
  <c r="AT508" i="2"/>
  <c r="AU508" i="2"/>
  <c r="AS508" i="2"/>
  <c r="BG508" i="2" l="1"/>
  <c r="BE508" i="2"/>
  <c r="BF508" i="2"/>
  <c r="BA508" i="2" s="1"/>
  <c r="BB508" i="2" l="1"/>
  <c r="AZ508" i="2"/>
  <c r="AY508" i="2"/>
  <c r="BD508" i="2"/>
  <c r="BC508" i="2"/>
  <c r="AW508" i="2" s="1"/>
  <c r="AS509" i="2" s="1"/>
  <c r="AX508" i="2" l="1"/>
  <c r="AT509" i="2" s="1"/>
  <c r="AU509" i="2"/>
  <c r="AV509" i="2"/>
  <c r="BG509" i="2" l="1"/>
  <c r="BE509" i="2"/>
  <c r="AY509" i="2" s="1"/>
  <c r="BF509" i="2"/>
  <c r="BB509" i="2" s="1"/>
  <c r="BA509" i="2" l="1"/>
  <c r="BD509" i="2"/>
  <c r="BC509" i="2"/>
  <c r="AW509" i="2" s="1"/>
  <c r="AS510" i="2" s="1"/>
  <c r="AZ509" i="2"/>
  <c r="AX509" i="2" s="1"/>
  <c r="AT510" i="2" s="1"/>
  <c r="AU510" i="2" l="1"/>
  <c r="AV510" i="2"/>
  <c r="BG510" i="2" l="1"/>
  <c r="BF510" i="2"/>
  <c r="BB510" i="2" s="1"/>
  <c r="BE510" i="2"/>
  <c r="AZ510" i="2" s="1"/>
  <c r="BA510" i="2"/>
  <c r="AY510" i="2"/>
  <c r="BD510" i="2" l="1"/>
  <c r="AX510" i="2" s="1"/>
  <c r="AT511" i="2" s="1"/>
  <c r="BC510" i="2"/>
  <c r="AW510" i="2" s="1"/>
  <c r="AS511" i="2" s="1"/>
  <c r="AV511" i="2"/>
  <c r="AU511" i="2" l="1"/>
  <c r="BE511" i="2"/>
  <c r="AY511" i="2" s="1"/>
  <c r="BF511" i="2" l="1"/>
  <c r="BA511" i="2" s="1"/>
  <c r="BG511" i="2"/>
  <c r="BC511" i="2" s="1"/>
  <c r="AW511" i="2" s="1"/>
  <c r="AS512" i="2" s="1"/>
  <c r="BB511" i="2"/>
  <c r="AZ511" i="2"/>
  <c r="BD511" i="2" l="1"/>
  <c r="AX511" i="2" s="1"/>
  <c r="AT512" i="2" s="1"/>
  <c r="AU512" i="2"/>
  <c r="AV512" i="2" l="1"/>
  <c r="BG512" i="2"/>
  <c r="BD512" i="2" s="1"/>
  <c r="BF512" i="2"/>
  <c r="BA512" i="2" s="1"/>
  <c r="BE512" i="2"/>
  <c r="AY512" i="2" s="1"/>
  <c r="BC512" i="2" l="1"/>
  <c r="AW512" i="2" s="1"/>
  <c r="AS513" i="2" s="1"/>
  <c r="AZ512" i="2"/>
  <c r="BB512" i="2"/>
  <c r="AU513" i="2" l="1"/>
  <c r="AX512" i="2"/>
  <c r="AT513" i="2" s="1"/>
  <c r="AV513" i="2" l="1"/>
  <c r="BE513" i="2"/>
  <c r="BG513" i="2" l="1"/>
  <c r="BC513" i="2" s="1"/>
  <c r="BF513" i="2"/>
  <c r="BA513" i="2" s="1"/>
  <c r="AY513" i="2"/>
  <c r="AZ513" i="2"/>
  <c r="BD513" i="2" l="1"/>
  <c r="BB513" i="2"/>
  <c r="AW513" i="2"/>
  <c r="AS514" i="2" s="1"/>
  <c r="AX513" i="2" l="1"/>
  <c r="AT514" i="2" s="1"/>
  <c r="AU514" i="2"/>
  <c r="BG514" i="2" l="1"/>
  <c r="AV514" i="2"/>
  <c r="BE514" i="2"/>
  <c r="AY514" i="2" s="1"/>
  <c r="BF514" i="2"/>
  <c r="BB514" i="2" s="1"/>
  <c r="BD514" i="2"/>
  <c r="AZ514" i="2" l="1"/>
  <c r="AX514" i="2" s="1"/>
  <c r="AT515" i="2" s="1"/>
  <c r="BA514" i="2"/>
  <c r="BC514" i="2"/>
  <c r="AV515" i="2" l="1"/>
  <c r="AW514" i="2"/>
  <c r="AU515" i="2" l="1"/>
  <c r="AS515" i="2"/>
  <c r="BG515" i="2"/>
  <c r="BE515" i="2"/>
  <c r="BF515" i="2"/>
  <c r="BB515" i="2" s="1"/>
  <c r="BD515" i="2"/>
  <c r="BA515" i="2" l="1"/>
  <c r="AY515" i="2"/>
  <c r="AZ515" i="2"/>
  <c r="AX515" i="2" s="1"/>
  <c r="AT516" i="2" s="1"/>
  <c r="BC515" i="2"/>
  <c r="AV516" i="2" l="1"/>
  <c r="AW515" i="2"/>
  <c r="AS516" i="2" s="1"/>
  <c r="BG516" i="2" l="1"/>
  <c r="AU516" i="2"/>
  <c r="BE516" i="2" l="1"/>
  <c r="BF516" i="2"/>
  <c r="BD516" i="2"/>
  <c r="BA516" i="2" l="1"/>
  <c r="BB516" i="2"/>
  <c r="AY516" i="2"/>
  <c r="AZ516" i="2"/>
  <c r="BC516" i="2"/>
  <c r="AX516" i="2" l="1"/>
  <c r="AT517" i="2" s="1"/>
  <c r="AV517" i="2"/>
  <c r="AW516" i="2"/>
  <c r="AS517" i="2" s="1"/>
  <c r="AU517" i="2" l="1"/>
  <c r="BG517" i="2"/>
  <c r="BE517" i="2" l="1"/>
  <c r="BF517" i="2"/>
  <c r="BD517" i="2"/>
  <c r="BA517" i="2" l="1"/>
  <c r="BB517" i="2"/>
  <c r="AY517" i="2"/>
  <c r="AZ517" i="2"/>
  <c r="BC517" i="2"/>
  <c r="AX517" i="2" l="1"/>
  <c r="AT518" i="2" s="1"/>
  <c r="AV518" i="2"/>
  <c r="AW517" i="2"/>
  <c r="AS518" i="2" s="1"/>
  <c r="BG518" i="2" l="1"/>
  <c r="AU518" i="2"/>
  <c r="BE518" i="2" l="1"/>
  <c r="BF518" i="2"/>
  <c r="AZ518" i="2"/>
  <c r="BD518" i="2"/>
  <c r="AY518" i="2"/>
  <c r="BA518" i="2" l="1"/>
  <c r="BB518" i="2"/>
  <c r="AX518" i="2" s="1"/>
  <c r="AT519" i="2" s="1"/>
  <c r="BC518" i="2"/>
  <c r="AW518" i="2" s="1"/>
  <c r="AS519" i="2" s="1"/>
  <c r="AU519" i="2" l="1"/>
  <c r="AV519" i="2"/>
  <c r="BG519" i="2" l="1"/>
  <c r="BF519" i="2"/>
  <c r="BA519" i="2" s="1"/>
  <c r="BE519" i="2"/>
  <c r="BC519" i="2"/>
  <c r="AY519" i="2"/>
  <c r="AZ519" i="2"/>
  <c r="BB519" i="2"/>
  <c r="BD519" i="2" l="1"/>
  <c r="AX519" i="2" s="1"/>
  <c r="AT520" i="2" s="1"/>
  <c r="AW519" i="2"/>
  <c r="AS520" i="2" s="1"/>
  <c r="AU520" i="2" l="1"/>
  <c r="AV520" i="2"/>
  <c r="BG520" i="2" l="1"/>
  <c r="BF520" i="2"/>
  <c r="BE520" i="2"/>
  <c r="BD520" i="2"/>
  <c r="BA520" i="2"/>
  <c r="AY520" i="2"/>
  <c r="BC520" i="2" l="1"/>
  <c r="AW520" i="2" s="1"/>
  <c r="AS521" i="2" s="1"/>
  <c r="AZ520" i="2"/>
  <c r="BB520" i="2"/>
  <c r="AU521" i="2" l="1"/>
  <c r="AX520" i="2"/>
  <c r="AT521" i="2" s="1"/>
  <c r="AV521" i="2" l="1"/>
  <c r="BE521" i="2"/>
  <c r="AY521" i="2" s="1"/>
  <c r="BG521" i="2" l="1"/>
  <c r="BC521" i="2"/>
  <c r="BF521" i="2"/>
  <c r="BA521" i="2" s="1"/>
  <c r="BD521" i="2"/>
  <c r="AZ521" i="2"/>
  <c r="BB521" i="2"/>
  <c r="AW521" i="2" l="1"/>
  <c r="AS522" i="2" s="1"/>
  <c r="AX521" i="2"/>
  <c r="AT522" i="2" s="1"/>
  <c r="AU522" i="2"/>
  <c r="BE522" i="2" l="1"/>
  <c r="AV522" i="2"/>
  <c r="BG522" i="2" l="1"/>
  <c r="BF522" i="2"/>
  <c r="BA522" i="2" s="1"/>
  <c r="BD522" i="2"/>
  <c r="AY522" i="2"/>
  <c r="AZ522" i="2"/>
  <c r="BC522" i="2"/>
  <c r="BB522" i="2" l="1"/>
  <c r="AX522" i="2"/>
  <c r="AT523" i="2" s="1"/>
  <c r="AW522" i="2"/>
  <c r="AS523" i="2" s="1"/>
  <c r="AU523" i="2" l="1"/>
  <c r="AV523" i="2"/>
  <c r="BG523" i="2" l="1"/>
  <c r="BD523" i="2" s="1"/>
  <c r="BF523" i="2"/>
  <c r="BA523" i="2" s="1"/>
  <c r="BE523" i="2"/>
  <c r="AY523" i="2" s="1"/>
  <c r="BC523" i="2" l="1"/>
  <c r="AW523" i="2" s="1"/>
  <c r="AS524" i="2" s="1"/>
  <c r="AZ523" i="2"/>
  <c r="BB523" i="2"/>
  <c r="AX523" i="2" l="1"/>
  <c r="AT524" i="2" s="1"/>
  <c r="AU524" i="2"/>
  <c r="BG524" i="2" l="1"/>
  <c r="AV524" i="2"/>
  <c r="BE524" i="2"/>
  <c r="BF524" i="2"/>
  <c r="BA524" i="2" s="1"/>
  <c r="AZ524" i="2"/>
  <c r="BB524" i="2"/>
  <c r="AY524" i="2"/>
  <c r="BC524" i="2"/>
  <c r="BD524" i="2" l="1"/>
  <c r="AX524" i="2" s="1"/>
  <c r="AV525" i="2" s="1"/>
  <c r="AW524" i="2"/>
  <c r="AS525" i="2" s="1"/>
  <c r="AT525" i="2" l="1"/>
  <c r="AU525" i="2"/>
  <c r="BG525" i="2" l="1"/>
  <c r="BD525" i="2" s="1"/>
  <c r="BE525" i="2"/>
  <c r="BF525" i="2"/>
  <c r="AY525" i="2" l="1"/>
  <c r="AZ525" i="2"/>
  <c r="BA525" i="2"/>
  <c r="BB525" i="2"/>
  <c r="BC525" i="2"/>
  <c r="AX525" i="2" l="1"/>
  <c r="AT526" i="2" s="1"/>
  <c r="AW525" i="2"/>
  <c r="AS526" i="2" s="1"/>
  <c r="AU526" i="2" l="1"/>
  <c r="AV526" i="2"/>
  <c r="BG526" i="2" l="1"/>
  <c r="BD526" i="2" s="1"/>
  <c r="BF526" i="2"/>
  <c r="BA526" i="2" s="1"/>
  <c r="BE526" i="2"/>
  <c r="AZ526" i="2" s="1"/>
  <c r="AY526" i="2"/>
  <c r="BC526" i="2" l="1"/>
  <c r="AW526" i="2" s="1"/>
  <c r="AS527" i="2" s="1"/>
  <c r="BB526" i="2"/>
  <c r="AX526" i="2" s="1"/>
  <c r="AT527" i="2" s="1"/>
  <c r="AV527" i="2" l="1"/>
  <c r="AU527" i="2"/>
  <c r="BG527" i="2"/>
  <c r="BE527" i="2" l="1"/>
  <c r="AY527" i="2" s="1"/>
  <c r="BF527" i="2"/>
  <c r="BA527" i="2" s="1"/>
  <c r="BD527" i="2"/>
  <c r="BC527" i="2" l="1"/>
  <c r="AW527" i="2" s="1"/>
  <c r="AS528" i="2" s="1"/>
  <c r="BB527" i="2"/>
  <c r="AZ527" i="2"/>
  <c r="AX527" i="2" l="1"/>
  <c r="AT528" i="2" s="1"/>
  <c r="AU528" i="2"/>
  <c r="AV528" i="2" l="1"/>
  <c r="BG528" i="2"/>
  <c r="BF528" i="2"/>
  <c r="BE528" i="2"/>
  <c r="BD528" i="2"/>
  <c r="BA528" i="2"/>
  <c r="AZ528" i="2"/>
  <c r="BC528" i="2" l="1"/>
  <c r="AY528" i="2"/>
  <c r="BB528" i="2"/>
  <c r="AX528" i="2" s="1"/>
  <c r="AT529" i="2" s="1"/>
  <c r="AW528" i="2" l="1"/>
  <c r="AV529" i="2"/>
  <c r="AU529" i="2" l="1"/>
  <c r="AS529" i="2"/>
  <c r="BG529" i="2"/>
  <c r="BF529" i="2"/>
  <c r="BC529" i="2"/>
  <c r="BA529" i="2"/>
  <c r="BB529" i="2"/>
  <c r="BE529" i="2" l="1"/>
  <c r="BD529" i="2"/>
  <c r="AY529" i="2" l="1"/>
  <c r="AW529" i="2" s="1"/>
  <c r="AS530" i="2" s="1"/>
  <c r="AZ529" i="2"/>
  <c r="AX529" i="2" s="1"/>
  <c r="AU530" i="2"/>
  <c r="AV530" i="2" l="1"/>
  <c r="AT530" i="2"/>
  <c r="BG530" i="2"/>
  <c r="BF530" i="2"/>
  <c r="BE530" i="2"/>
  <c r="AY530" i="2" s="1"/>
  <c r="BD530" i="2"/>
  <c r="BB530" i="2"/>
  <c r="BA530" i="2" l="1"/>
  <c r="BC530" i="2"/>
  <c r="AZ530" i="2"/>
  <c r="AX530" i="2" s="1"/>
  <c r="AT531" i="2" s="1"/>
  <c r="AW530" i="2" l="1"/>
  <c r="AV531" i="2"/>
  <c r="AU531" i="2" l="1"/>
  <c r="AS531" i="2"/>
  <c r="BG531" i="2"/>
  <c r="BF531" i="2"/>
  <c r="BE531" i="2"/>
  <c r="AY531" i="2" s="1"/>
  <c r="BD531" i="2"/>
  <c r="BB531" i="2"/>
  <c r="BA531" i="2"/>
  <c r="AZ531" i="2" l="1"/>
  <c r="AX531" i="2"/>
  <c r="BC531" i="2"/>
  <c r="AW531" i="2" s="1"/>
  <c r="AS532" i="2" s="1"/>
  <c r="AV532" i="2" l="1"/>
  <c r="AT532" i="2"/>
  <c r="AU532" i="2"/>
  <c r="BG532" i="2" l="1"/>
  <c r="BE532" i="2"/>
  <c r="BF532" i="2"/>
  <c r="BB532" i="2" s="1"/>
  <c r="AZ532" i="2"/>
  <c r="BD532" i="2"/>
  <c r="AY532" i="2"/>
  <c r="AX532" i="2" l="1"/>
  <c r="AT533" i="2" s="1"/>
  <c r="BA532" i="2"/>
  <c r="BC532" i="2"/>
  <c r="AW532" i="2" l="1"/>
  <c r="AS533" i="2" s="1"/>
  <c r="AV533" i="2"/>
  <c r="AU533" i="2" l="1"/>
  <c r="BG533" i="2"/>
  <c r="BD533" i="2" s="1"/>
  <c r="BF533" i="2"/>
  <c r="BE533" i="2"/>
  <c r="AZ533" i="2" s="1"/>
  <c r="BB533" i="2"/>
  <c r="BA533" i="2"/>
  <c r="AY533" i="2"/>
  <c r="BC533" i="2" l="1"/>
  <c r="AW533" i="2" s="1"/>
  <c r="AS534" i="2" s="1"/>
  <c r="AX533" i="2"/>
  <c r="AT534" i="2" s="1"/>
  <c r="AU534" i="2" l="1"/>
  <c r="AV534" i="2"/>
  <c r="BG534" i="2" l="1"/>
  <c r="BC534" i="2" s="1"/>
  <c r="BF534" i="2"/>
  <c r="BE534" i="2"/>
  <c r="AZ534" i="2"/>
  <c r="BA534" i="2"/>
  <c r="AY534" i="2"/>
  <c r="BB534" i="2"/>
  <c r="BD534" i="2" l="1"/>
  <c r="AX534" i="2" s="1"/>
  <c r="AT535" i="2" s="1"/>
  <c r="AW534" i="2"/>
  <c r="AS535" i="2" s="1"/>
  <c r="AV535" i="2" l="1"/>
  <c r="BG535" i="2"/>
  <c r="AU535" i="2"/>
  <c r="BE535" i="2" l="1"/>
  <c r="AZ535" i="2" s="1"/>
  <c r="BF535" i="2"/>
  <c r="BB535" i="2" s="1"/>
  <c r="BD535" i="2"/>
  <c r="BA535" i="2" l="1"/>
  <c r="AX535" i="2"/>
  <c r="AT536" i="2" s="1"/>
  <c r="AY535" i="2"/>
  <c r="BC535" i="2"/>
  <c r="AV536" i="2" l="1"/>
  <c r="AW535" i="2"/>
  <c r="AU536" i="2" l="1"/>
  <c r="AS536" i="2"/>
  <c r="BG536" i="2"/>
  <c r="BD536" i="2" s="1"/>
  <c r="BF536" i="2" l="1"/>
  <c r="BB536" i="2" s="1"/>
  <c r="BE536" i="2"/>
  <c r="AY536" i="2" s="1"/>
  <c r="BA536" i="2"/>
  <c r="BC536" i="2"/>
  <c r="AZ536" i="2" l="1"/>
  <c r="AX536" i="2" s="1"/>
  <c r="AT537" i="2" s="1"/>
  <c r="AW536" i="2"/>
  <c r="AV537" i="2"/>
  <c r="AU537" i="2" l="1"/>
  <c r="AS537" i="2"/>
  <c r="BG537" i="2"/>
  <c r="BD537" i="2" s="1"/>
  <c r="BF537" i="2"/>
  <c r="BE537" i="2"/>
  <c r="AY537" i="2" s="1"/>
  <c r="BA537" i="2"/>
  <c r="AZ537" i="2" l="1"/>
  <c r="BC537" i="2"/>
  <c r="AW537" i="2" s="1"/>
  <c r="AS538" i="2" s="1"/>
  <c r="BB537" i="2"/>
  <c r="AU538" i="2" l="1"/>
  <c r="AX537" i="2"/>
  <c r="AT538" i="2" s="1"/>
  <c r="AV538" i="2" l="1"/>
  <c r="BE538" i="2"/>
  <c r="AZ538" i="2" s="1"/>
  <c r="BG538" i="2" l="1"/>
  <c r="BC538" i="2" s="1"/>
  <c r="BF538" i="2"/>
  <c r="BA538" i="2" s="1"/>
  <c r="AY538" i="2"/>
  <c r="BB538" i="2" l="1"/>
  <c r="BD538" i="2"/>
  <c r="AX538" i="2" s="1"/>
  <c r="AT539" i="2" s="1"/>
  <c r="AW538" i="2"/>
  <c r="AU539" i="2" l="1"/>
  <c r="AS539" i="2"/>
  <c r="AV539" i="2"/>
  <c r="BF539" i="2" l="1"/>
  <c r="BA539" i="2" s="1"/>
  <c r="BG539" i="2"/>
  <c r="BC539" i="2" s="1"/>
  <c r="BE539" i="2"/>
  <c r="AY539" i="2" s="1"/>
  <c r="BD539" i="2"/>
  <c r="BB539" i="2" l="1"/>
  <c r="AW539" i="2"/>
  <c r="AZ539" i="2"/>
  <c r="AX539" i="2" s="1"/>
  <c r="AT540" i="2" s="1"/>
  <c r="AU540" i="2" l="1"/>
  <c r="AS540" i="2"/>
  <c r="BG540" i="2"/>
  <c r="BC540" i="2" s="1"/>
  <c r="AV540" i="2"/>
  <c r="BE540" i="2" l="1"/>
  <c r="AZ540" i="2" s="1"/>
  <c r="BF540" i="2"/>
  <c r="BA540" i="2" s="1"/>
  <c r="BD540" i="2"/>
  <c r="AY540" i="2"/>
  <c r="AW540" i="2" l="1"/>
  <c r="AS541" i="2" s="1"/>
  <c r="BB540" i="2"/>
  <c r="AX540" i="2" s="1"/>
  <c r="AT541" i="2" s="1"/>
  <c r="AU541" i="2"/>
  <c r="AV541" i="2" l="1"/>
  <c r="BG541" i="2"/>
  <c r="BD541" i="2" s="1"/>
  <c r="BF541" i="2" l="1"/>
  <c r="BE541" i="2"/>
  <c r="AZ541" i="2" s="1"/>
  <c r="BC541" i="2"/>
  <c r="AY541" i="2"/>
  <c r="BB541" i="2" l="1"/>
  <c r="AX541" i="2" s="1"/>
  <c r="AT542" i="2" s="1"/>
  <c r="BA541" i="2"/>
  <c r="AW541" i="2" s="1"/>
  <c r="AV542" i="2" l="1"/>
  <c r="AU542" i="2"/>
  <c r="AS542" i="2"/>
  <c r="BG542" i="2" s="1"/>
  <c r="BD542" i="2" s="1"/>
  <c r="BF542" i="2"/>
  <c r="BB542" i="2" s="1"/>
  <c r="BE542" i="2" l="1"/>
  <c r="AZ542" i="2" s="1"/>
  <c r="AX542" i="2" s="1"/>
  <c r="AT543" i="2" s="1"/>
  <c r="BA542" i="2"/>
  <c r="BC542" i="2"/>
  <c r="AY542" i="2" l="1"/>
  <c r="AV543" i="2"/>
  <c r="AW542" i="2"/>
  <c r="AS543" i="2" s="1"/>
  <c r="AU543" i="2" l="1"/>
  <c r="BG543" i="2"/>
  <c r="BE543" i="2" l="1"/>
  <c r="BF543" i="2"/>
  <c r="BD543" i="2"/>
  <c r="BA543" i="2" l="1"/>
  <c r="BB543" i="2"/>
  <c r="AY543" i="2"/>
  <c r="AZ543" i="2"/>
  <c r="BC543" i="2"/>
  <c r="AX543" i="2" l="1"/>
  <c r="AW543" i="2"/>
  <c r="AS544" i="2" s="1"/>
  <c r="AV544" i="2" l="1"/>
  <c r="AT544" i="2"/>
  <c r="AU544" i="2"/>
  <c r="BG544" i="2" l="1"/>
  <c r="BD544" i="2" s="1"/>
  <c r="BE544" i="2"/>
  <c r="BF544" i="2"/>
  <c r="BB544" i="2" s="1"/>
  <c r="AZ544" i="2"/>
  <c r="AX544" i="2" l="1"/>
  <c r="AT545" i="2" s="1"/>
  <c r="AY544" i="2"/>
  <c r="BA544" i="2"/>
  <c r="BC544" i="2"/>
  <c r="AV545" i="2" l="1"/>
  <c r="AW544" i="2"/>
  <c r="AS545" i="2" s="1"/>
  <c r="AU545" i="2" l="1"/>
  <c r="BG545" i="2"/>
  <c r="BE545" i="2" l="1"/>
  <c r="AZ545" i="2" s="1"/>
  <c r="BF545" i="2"/>
  <c r="BB545" i="2" s="1"/>
  <c r="BD545" i="2"/>
  <c r="AY545" i="2" l="1"/>
  <c r="AX545" i="2"/>
  <c r="AT546" i="2" s="1"/>
  <c r="BA545" i="2"/>
  <c r="BC545" i="2"/>
  <c r="AW545" i="2" l="1"/>
  <c r="AS546" i="2" s="1"/>
  <c r="AV546" i="2"/>
  <c r="AU546" i="2" l="1"/>
  <c r="BG546" i="2"/>
  <c r="BF546" i="2"/>
  <c r="BA546" i="2" s="1"/>
  <c r="BE546" i="2"/>
  <c r="AY546" i="2" s="1"/>
  <c r="BD546" i="2"/>
  <c r="BB546" i="2" l="1"/>
  <c r="AZ546" i="2"/>
  <c r="BC546" i="2"/>
  <c r="AW546" i="2" s="1"/>
  <c r="AS547" i="2" s="1"/>
  <c r="AX546" i="2" l="1"/>
  <c r="AU547" i="2"/>
  <c r="AV547" i="2" l="1"/>
  <c r="AT547" i="2"/>
  <c r="BG547" i="2"/>
  <c r="BE547" i="2" l="1"/>
  <c r="BD547" i="2"/>
  <c r="BF547" i="2"/>
  <c r="BB547" i="2" s="1"/>
  <c r="BC547" i="2"/>
  <c r="AZ547" i="2" l="1"/>
  <c r="AX547" i="2" s="1"/>
  <c r="AY547" i="2"/>
  <c r="BA547" i="2"/>
  <c r="AV548" i="2" l="1"/>
  <c r="AT548" i="2"/>
  <c r="AW547" i="2"/>
  <c r="AS548" i="2" s="1"/>
  <c r="AU548" i="2" l="1"/>
  <c r="BG548" i="2"/>
  <c r="BD548" i="2" s="1"/>
  <c r="BE548" i="2"/>
  <c r="BF548" i="2"/>
  <c r="BB548" i="2" s="1"/>
  <c r="AY548" i="2"/>
  <c r="AZ548" i="2"/>
  <c r="BC548" i="2"/>
  <c r="AX548" i="2" l="1"/>
  <c r="AT549" i="2" s="1"/>
  <c r="BA548" i="2"/>
  <c r="AW548" i="2" s="1"/>
  <c r="AS549" i="2" s="1"/>
  <c r="AV549" i="2"/>
  <c r="BG549" i="2" l="1"/>
  <c r="BD549" i="2" s="1"/>
  <c r="AU549" i="2"/>
  <c r="BF549" i="2" l="1"/>
  <c r="BA549" i="2" s="1"/>
  <c r="BE549" i="2"/>
  <c r="AY549" i="2" s="1"/>
  <c r="BB549" i="2"/>
  <c r="BC549" i="2"/>
  <c r="AZ549" i="2"/>
  <c r="AX549" i="2" s="1"/>
  <c r="AT550" i="2" s="1"/>
  <c r="AW549" i="2" l="1"/>
  <c r="AS550" i="2" s="1"/>
  <c r="AU550" i="2"/>
  <c r="AV550" i="2"/>
  <c r="BG550" i="2" l="1"/>
  <c r="BD550" i="2" s="1"/>
  <c r="BF550" i="2"/>
  <c r="BE550" i="2"/>
  <c r="AZ550" i="2" s="1"/>
  <c r="BA550" i="2"/>
  <c r="BB550" i="2"/>
  <c r="AX550" i="2" l="1"/>
  <c r="AT551" i="2" s="1"/>
  <c r="AY550" i="2"/>
  <c r="BC550" i="2"/>
  <c r="AV551" i="2" l="1"/>
  <c r="AW550" i="2"/>
  <c r="AS551" i="2" s="1"/>
  <c r="BG551" i="2" l="1"/>
  <c r="AU551" i="2"/>
  <c r="BE551" i="2" l="1"/>
  <c r="AZ551" i="2" s="1"/>
  <c r="BF551" i="2"/>
  <c r="BB551" i="2" s="1"/>
  <c r="BD551" i="2"/>
  <c r="BA551" i="2" l="1"/>
  <c r="AY551" i="2"/>
  <c r="AX551" i="2"/>
  <c r="BC551" i="2"/>
  <c r="AV552" i="2" l="1"/>
  <c r="AT552" i="2"/>
  <c r="AW551" i="2"/>
  <c r="AU552" i="2" l="1"/>
  <c r="AS552" i="2"/>
  <c r="BG552" i="2"/>
  <c r="BD552" i="2" s="1"/>
  <c r="BF552" i="2" l="1"/>
  <c r="BB552" i="2" s="1"/>
  <c r="BE552" i="2"/>
  <c r="AZ552" i="2" s="1"/>
  <c r="BC552" i="2"/>
  <c r="AY552" i="2" l="1"/>
  <c r="AX552" i="2"/>
  <c r="AT553" i="2" s="1"/>
  <c r="BA552" i="2"/>
  <c r="AW552" i="2" s="1"/>
  <c r="AS553" i="2" s="1"/>
  <c r="AV553" i="2"/>
  <c r="BG553" i="2" l="1"/>
  <c r="AU553" i="2"/>
  <c r="BE553" i="2" l="1"/>
  <c r="AY553" i="2" s="1"/>
  <c r="BF553" i="2"/>
  <c r="BB553" i="2" s="1"/>
  <c r="BD553" i="2"/>
  <c r="BA553" i="2"/>
  <c r="AZ553" i="2" l="1"/>
  <c r="AX553" i="2" s="1"/>
  <c r="AT554" i="2" s="1"/>
  <c r="BC553" i="2"/>
  <c r="AW553" i="2" s="1"/>
  <c r="AS554" i="2" s="1"/>
  <c r="AU554" i="2" l="1"/>
  <c r="AV554" i="2"/>
  <c r="BG554" i="2" l="1"/>
  <c r="BC554" i="2" s="1"/>
  <c r="BF554" i="2"/>
  <c r="BE554" i="2"/>
  <c r="AY554" i="2" s="1"/>
  <c r="BA554" i="2"/>
  <c r="BB554" i="2"/>
  <c r="AZ554" i="2" l="1"/>
  <c r="BD554" i="2"/>
  <c r="AX554" i="2" s="1"/>
  <c r="AT555" i="2" s="1"/>
  <c r="AW554" i="2"/>
  <c r="AS555" i="2" s="1"/>
  <c r="AV555" i="2" l="1"/>
  <c r="AU555" i="2"/>
  <c r="BG555" i="2"/>
  <c r="BE555" i="2" l="1"/>
  <c r="BF555" i="2"/>
  <c r="BA555" i="2" s="1"/>
  <c r="AY555" i="2"/>
  <c r="BD555" i="2"/>
  <c r="AZ555" i="2" l="1"/>
  <c r="BC555" i="2"/>
  <c r="AW555" i="2" s="1"/>
  <c r="AS556" i="2" s="1"/>
  <c r="BB555" i="2"/>
  <c r="AU556" i="2" l="1"/>
  <c r="AX555" i="2"/>
  <c r="AT556" i="2" s="1"/>
  <c r="BE556" i="2" l="1"/>
  <c r="AZ556" i="2" s="1"/>
  <c r="AV556" i="2"/>
  <c r="BG556" i="2" l="1"/>
  <c r="BC556" i="2" s="1"/>
  <c r="BF556" i="2"/>
  <c r="BA556" i="2" s="1"/>
  <c r="BD556" i="2"/>
  <c r="AY556" i="2"/>
  <c r="BB556" i="2"/>
  <c r="AX556" i="2" s="1"/>
  <c r="AT557" i="2" s="1"/>
  <c r="AW556" i="2" l="1"/>
  <c r="AS557" i="2" s="1"/>
  <c r="AV557" i="2"/>
  <c r="BG557" i="2" l="1"/>
  <c r="BC557" i="2" s="1"/>
  <c r="AU557" i="2"/>
  <c r="BE557" i="2"/>
  <c r="BF557" i="2"/>
  <c r="BA557" i="2" s="1"/>
  <c r="AZ557" i="2"/>
  <c r="AY557" i="2"/>
  <c r="BB557" i="2"/>
  <c r="BD557" i="2" l="1"/>
  <c r="AX557" i="2" s="1"/>
  <c r="AT558" i="2" s="1"/>
  <c r="AW557" i="2"/>
  <c r="AS558" i="2" s="1"/>
  <c r="AV558" i="2" l="1"/>
  <c r="AU558" i="2"/>
  <c r="BG558" i="2" l="1"/>
  <c r="BE558" i="2"/>
  <c r="BF558" i="2"/>
  <c r="BB558" i="2" s="1"/>
  <c r="BD558" i="2"/>
  <c r="AZ558" i="2"/>
  <c r="BA558" i="2"/>
  <c r="AX558" i="2" l="1"/>
  <c r="BC558" i="2"/>
  <c r="AY558" i="2"/>
  <c r="AV559" i="2" l="1"/>
  <c r="AT559" i="2"/>
  <c r="AW558" i="2"/>
  <c r="AU559" i="2" l="1"/>
  <c r="AS559" i="2"/>
  <c r="BG559" i="2" s="1"/>
  <c r="BD559" i="2" s="1"/>
  <c r="BE559" i="2"/>
  <c r="AZ559" i="2" s="1"/>
  <c r="BF559" i="2"/>
  <c r="BB559" i="2" s="1"/>
  <c r="BA559" i="2"/>
  <c r="AX559" i="2" l="1"/>
  <c r="AT560" i="2" s="1"/>
  <c r="AY559" i="2"/>
  <c r="BC559" i="2"/>
  <c r="AV560" i="2" l="1"/>
  <c r="AW559" i="2"/>
  <c r="AS560" i="2" s="1"/>
  <c r="BG560" i="2" l="1"/>
  <c r="AU560" i="2"/>
  <c r="BE560" i="2" l="1"/>
  <c r="AZ560" i="2" s="1"/>
  <c r="BF560" i="2"/>
  <c r="BB560" i="2" s="1"/>
  <c r="BD560" i="2"/>
  <c r="AX560" i="2" l="1"/>
  <c r="AY560" i="2"/>
  <c r="BA560" i="2"/>
  <c r="BC560" i="2"/>
  <c r="AV561" i="2" l="1"/>
  <c r="AT561" i="2"/>
  <c r="AW560" i="2"/>
  <c r="AS561" i="2" s="1"/>
  <c r="AU561" i="2" l="1"/>
  <c r="BG561" i="2"/>
  <c r="BE561" i="2" l="1"/>
  <c r="AZ561" i="2" s="1"/>
  <c r="BF561" i="2"/>
  <c r="BB561" i="2" s="1"/>
  <c r="BD561" i="2"/>
  <c r="AY561" i="2" l="1"/>
  <c r="AX561" i="2"/>
  <c r="AT562" i="2" s="1"/>
  <c r="BA561" i="2"/>
  <c r="BC561" i="2"/>
  <c r="AW561" i="2" l="1"/>
  <c r="AS562" i="2" s="1"/>
  <c r="AV562" i="2"/>
  <c r="AU562" i="2" l="1"/>
  <c r="BG562" i="2"/>
  <c r="BF562" i="2"/>
  <c r="BB562" i="2" s="1"/>
  <c r="BE562" i="2"/>
  <c r="AZ562" i="2" s="1"/>
  <c r="BD562" i="2"/>
  <c r="AY562" i="2" l="1"/>
  <c r="BA562" i="2"/>
  <c r="AX562" i="2"/>
  <c r="AT563" i="2" s="1"/>
  <c r="BC562" i="2"/>
  <c r="AV563" i="2"/>
  <c r="AW562" i="2" l="1"/>
  <c r="AS563" i="2" s="1"/>
  <c r="AU563" i="2"/>
  <c r="BG563" i="2"/>
  <c r="BE563" i="2" l="1"/>
  <c r="BF563" i="2"/>
  <c r="BB563" i="2" s="1"/>
  <c r="BD563" i="2"/>
  <c r="BA563" i="2" l="1"/>
  <c r="AY563" i="2"/>
  <c r="AZ563" i="2"/>
  <c r="AX563" i="2" s="1"/>
  <c r="AT564" i="2" s="1"/>
  <c r="BC563" i="2"/>
  <c r="AV564" i="2" l="1"/>
  <c r="AW563" i="2"/>
  <c r="AS564" i="2" s="1"/>
  <c r="BG564" i="2" l="1"/>
  <c r="AU564" i="2"/>
  <c r="BE564" i="2" l="1"/>
  <c r="AZ564" i="2" s="1"/>
  <c r="BF564" i="2"/>
  <c r="BD564" i="2"/>
  <c r="AY564" i="2" l="1"/>
  <c r="BA564" i="2"/>
  <c r="BB564" i="2"/>
  <c r="AX564" i="2" s="1"/>
  <c r="AT565" i="2" s="1"/>
  <c r="BC564" i="2"/>
  <c r="AW564" i="2" l="1"/>
  <c r="AS565" i="2" s="1"/>
  <c r="AV565" i="2"/>
  <c r="AU565" i="2"/>
  <c r="BG565" i="2"/>
  <c r="BE565" i="2" l="1"/>
  <c r="BF565" i="2"/>
  <c r="BA565" i="2" s="1"/>
  <c r="AY565" i="2"/>
  <c r="BD565" i="2"/>
  <c r="BB565" i="2" l="1"/>
  <c r="BC565" i="2"/>
  <c r="AW565" i="2" s="1"/>
  <c r="AS566" i="2" s="1"/>
  <c r="AZ565" i="2"/>
  <c r="AX565" i="2" s="1"/>
  <c r="AT566" i="2" s="1"/>
  <c r="AU566" i="2" l="1"/>
  <c r="AV566" i="2"/>
  <c r="BG566" i="2" l="1"/>
  <c r="BD566" i="2" s="1"/>
  <c r="BF566" i="2"/>
  <c r="BA566" i="2" s="1"/>
  <c r="BE566" i="2"/>
  <c r="AZ566" i="2" s="1"/>
  <c r="AY566" i="2" l="1"/>
  <c r="BC566" i="2"/>
  <c r="AW566" i="2" s="1"/>
  <c r="AS567" i="2" s="1"/>
  <c r="BB566" i="2"/>
  <c r="AX566" i="2" s="1"/>
  <c r="AT567" i="2" s="1"/>
  <c r="AU567" i="2" l="1"/>
  <c r="AV567" i="2"/>
  <c r="BG567" i="2" l="1"/>
  <c r="BD567" i="2" s="1"/>
  <c r="BF567" i="2"/>
  <c r="BE567" i="2"/>
  <c r="AY567" i="2" s="1"/>
  <c r="BA567" i="2"/>
  <c r="AZ567" i="2" l="1"/>
  <c r="BC567" i="2"/>
  <c r="AW567" i="2" s="1"/>
  <c r="AS568" i="2" s="1"/>
  <c r="BB567" i="2"/>
  <c r="AU568" i="2" l="1"/>
  <c r="AX567" i="2"/>
  <c r="AT568" i="2" s="1"/>
  <c r="AV568" i="2" l="1"/>
  <c r="BE568" i="2"/>
  <c r="AY568" i="2" s="1"/>
  <c r="BG568" i="2" l="1"/>
  <c r="BC568" i="2" s="1"/>
  <c r="BF568" i="2"/>
  <c r="BA568" i="2" s="1"/>
  <c r="AZ568" i="2"/>
  <c r="BB568" i="2" l="1"/>
  <c r="AW568" i="2"/>
  <c r="AS569" i="2" s="1"/>
  <c r="BD568" i="2"/>
  <c r="AX568" i="2" s="1"/>
  <c r="AT569" i="2" s="1"/>
  <c r="AU569" i="2"/>
  <c r="BE569" i="2" l="1"/>
  <c r="AZ569" i="2" s="1"/>
  <c r="AV569" i="2"/>
  <c r="BG569" i="2" l="1"/>
  <c r="BC569" i="2" s="1"/>
  <c r="BF569" i="2"/>
  <c r="BA569" i="2" s="1"/>
  <c r="AY569" i="2"/>
  <c r="BB569" i="2" l="1"/>
  <c r="BD569" i="2"/>
  <c r="AX569" i="2" s="1"/>
  <c r="AW569" i="2"/>
  <c r="AS570" i="2" s="1"/>
  <c r="AV570" i="2" l="1"/>
  <c r="AT570" i="2"/>
  <c r="AU570" i="2"/>
  <c r="BG570" i="2"/>
  <c r="BC570" i="2" s="1"/>
  <c r="BF570" i="2"/>
  <c r="BA570" i="2" s="1"/>
  <c r="BE570" i="2" l="1"/>
  <c r="BB570" i="2"/>
  <c r="BD570" i="2"/>
  <c r="AZ570" i="2" l="1"/>
  <c r="AY570" i="2"/>
  <c r="AW570" i="2" s="1"/>
  <c r="AS571" i="2" s="1"/>
  <c r="AX570" i="2"/>
  <c r="AV571" i="2" l="1"/>
  <c r="AT571" i="2"/>
  <c r="AU571" i="2"/>
  <c r="BG571" i="2"/>
  <c r="BD571" i="2" s="1"/>
  <c r="BF571" i="2" l="1"/>
  <c r="BE571" i="2"/>
  <c r="AY571" i="2" s="1"/>
  <c r="BA571" i="2"/>
  <c r="BB571" i="2"/>
  <c r="BC571" i="2"/>
  <c r="AZ571" i="2" l="1"/>
  <c r="AX571" i="2"/>
  <c r="AT572" i="2" s="1"/>
  <c r="AW571" i="2"/>
  <c r="AS572" i="2" s="1"/>
  <c r="AU572" i="2" l="1"/>
  <c r="AV572" i="2"/>
  <c r="BG572" i="2" l="1"/>
  <c r="BF572" i="2"/>
  <c r="BA572" i="2" s="1"/>
  <c r="BE572" i="2"/>
  <c r="AY572" i="2" s="1"/>
  <c r="BC572" i="2"/>
  <c r="BB572" i="2"/>
  <c r="AZ572" i="2" l="1"/>
  <c r="BD572" i="2"/>
  <c r="AW572" i="2"/>
  <c r="AS573" i="2" s="1"/>
  <c r="AX572" i="2" l="1"/>
  <c r="AU573" i="2"/>
  <c r="AV573" i="2" l="1"/>
  <c r="AT573" i="2"/>
  <c r="BG573" i="2"/>
  <c r="BD573" i="2" s="1"/>
  <c r="BF573" i="2"/>
  <c r="BE573" i="2" l="1"/>
  <c r="AZ573" i="2" s="1"/>
  <c r="BA573" i="2"/>
  <c r="BB573" i="2"/>
  <c r="BC573" i="2"/>
  <c r="AX573" i="2" l="1"/>
  <c r="AT574" i="2" s="1"/>
  <c r="AY573" i="2"/>
  <c r="AW573" i="2" s="1"/>
  <c r="AS574" i="2" s="1"/>
  <c r="AV574" i="2"/>
  <c r="AU574" i="2" l="1"/>
  <c r="BG574" i="2"/>
  <c r="BE574" i="2"/>
  <c r="BF574" i="2"/>
  <c r="BA574" i="2" s="1"/>
  <c r="BC574" i="2"/>
  <c r="AZ574" i="2"/>
  <c r="AY574" i="2" l="1"/>
  <c r="AW574" i="2" s="1"/>
  <c r="AS575" i="2" s="1"/>
  <c r="BD574" i="2"/>
  <c r="BB574" i="2"/>
  <c r="AX574" i="2" l="1"/>
  <c r="AT575" i="2" s="1"/>
  <c r="AU575" i="2"/>
  <c r="BG575" i="2" l="1"/>
  <c r="BD575" i="2" s="1"/>
  <c r="AV575" i="2"/>
  <c r="BE575" i="2"/>
  <c r="BF575" i="2"/>
  <c r="BA575" i="2" s="1"/>
  <c r="AY575" i="2"/>
  <c r="AZ575" i="2"/>
  <c r="BB575" i="2" l="1"/>
  <c r="AX575" i="2" s="1"/>
  <c r="AV576" i="2" s="1"/>
  <c r="BC575" i="2"/>
  <c r="AW575" i="2" s="1"/>
  <c r="AS576" i="2" s="1"/>
  <c r="AT576" i="2" l="1"/>
  <c r="AU576" i="2"/>
  <c r="BG576" i="2" l="1"/>
  <c r="BD576" i="2" s="1"/>
  <c r="BE576" i="2"/>
  <c r="BF576" i="2"/>
  <c r="BA576" i="2" l="1"/>
  <c r="BB576" i="2"/>
  <c r="AY576" i="2"/>
  <c r="AZ576" i="2"/>
  <c r="BC576" i="2"/>
  <c r="AX576" i="2" l="1"/>
  <c r="AT577" i="2" s="1"/>
  <c r="AV577" i="2"/>
  <c r="AW576" i="2"/>
  <c r="AS577" i="2" s="1"/>
  <c r="AU577" i="2" l="1"/>
  <c r="BG577" i="2"/>
  <c r="BE577" i="2" l="1"/>
  <c r="BF577" i="2"/>
  <c r="BD577" i="2"/>
  <c r="BA577" i="2" l="1"/>
  <c r="BB577" i="2"/>
  <c r="AY577" i="2"/>
  <c r="AZ577" i="2"/>
  <c r="BC577" i="2"/>
  <c r="AX577" i="2" l="1"/>
  <c r="AT578" i="2" s="1"/>
  <c r="AW577" i="2"/>
  <c r="AS578" i="2" s="1"/>
  <c r="AU578" i="2" l="1"/>
  <c r="AV578" i="2"/>
  <c r="BG578" i="2" l="1"/>
  <c r="BC578" i="2" s="1"/>
  <c r="BF578" i="2"/>
  <c r="BE578" i="2"/>
  <c r="AZ578" i="2" s="1"/>
  <c r="BA578" i="2"/>
  <c r="BD578" i="2" l="1"/>
  <c r="AY578" i="2"/>
  <c r="AW578" i="2" s="1"/>
  <c r="AS579" i="2" s="1"/>
  <c r="BB578" i="2"/>
  <c r="AU579" i="2" l="1"/>
  <c r="AX578" i="2"/>
  <c r="AT579" i="2" s="1"/>
  <c r="AV579" i="2" l="1"/>
  <c r="BE579" i="2"/>
  <c r="AY579" i="2" s="1"/>
  <c r="BG579" i="2" l="1"/>
  <c r="BC579" i="2"/>
  <c r="BF579" i="2"/>
  <c r="BA579" i="2" s="1"/>
  <c r="BD579" i="2"/>
  <c r="AZ579" i="2"/>
  <c r="BB579" i="2"/>
  <c r="AW579" i="2" l="1"/>
  <c r="AS580" i="2" s="1"/>
  <c r="AX579" i="2"/>
  <c r="AU580" i="2"/>
  <c r="AV580" i="2" l="1"/>
  <c r="AT580" i="2"/>
  <c r="BG580" i="2"/>
  <c r="BE580" i="2"/>
  <c r="BF580" i="2"/>
  <c r="BD580" i="2"/>
  <c r="AY580" i="2"/>
  <c r="BA580" i="2"/>
  <c r="BB580" i="2"/>
  <c r="AZ580" i="2"/>
  <c r="AX580" i="2" l="1"/>
  <c r="AT581" i="2" s="1"/>
  <c r="BC580" i="2"/>
  <c r="AW580" i="2" s="1"/>
  <c r="AS581" i="2" s="1"/>
  <c r="AU581" i="2" l="1"/>
  <c r="AV581" i="2"/>
  <c r="BG581" i="2" l="1"/>
  <c r="BD581" i="2" s="1"/>
  <c r="BF581" i="2"/>
  <c r="BE581" i="2"/>
  <c r="AY581" i="2" s="1"/>
  <c r="BA581" i="2"/>
  <c r="BB581" i="2"/>
  <c r="AZ581" i="2"/>
  <c r="AX581" i="2" l="1"/>
  <c r="AT582" i="2" s="1"/>
  <c r="BC581" i="2"/>
  <c r="AW581" i="2" s="1"/>
  <c r="AS582" i="2" s="1"/>
  <c r="AU582" i="2" l="1"/>
  <c r="AV582" i="2"/>
  <c r="BG582" i="2" l="1"/>
  <c r="BF582" i="2"/>
  <c r="BE582" i="2"/>
  <c r="AZ582" i="2" s="1"/>
  <c r="BD582" i="2"/>
  <c r="BB582" i="2"/>
  <c r="AY582" i="2"/>
  <c r="AX582" i="2" l="1"/>
  <c r="AT583" i="2" s="1"/>
  <c r="BC582" i="2"/>
  <c r="BA582" i="2"/>
  <c r="AW582" i="2" l="1"/>
  <c r="AS583" i="2" s="1"/>
  <c r="AU583" i="2"/>
  <c r="AV583" i="2"/>
  <c r="BG583" i="2" l="1"/>
  <c r="BF583" i="2"/>
  <c r="BE583" i="2"/>
  <c r="AZ583" i="2" s="1"/>
  <c r="BD583" i="2"/>
  <c r="BB583" i="2"/>
  <c r="BA583" i="2" l="1"/>
  <c r="AX583" i="2"/>
  <c r="AT584" i="2" s="1"/>
  <c r="AY583" i="2"/>
  <c r="BC583" i="2"/>
  <c r="AW583" i="2" l="1"/>
  <c r="AS584" i="2" s="1"/>
  <c r="AV584" i="2"/>
  <c r="AU584" i="2" l="1"/>
  <c r="BG584" i="2"/>
  <c r="BE584" i="2" l="1"/>
  <c r="BF584" i="2"/>
  <c r="BD584" i="2"/>
  <c r="AZ584" i="2"/>
  <c r="AY584" i="2"/>
  <c r="BA584" i="2" l="1"/>
  <c r="BB584" i="2"/>
  <c r="AX584" i="2" s="1"/>
  <c r="AT585" i="2" s="1"/>
  <c r="BC584" i="2"/>
  <c r="AW584" i="2" l="1"/>
  <c r="AV585" i="2"/>
  <c r="AU585" i="2" l="1"/>
  <c r="AS585" i="2"/>
  <c r="BG585" i="2"/>
  <c r="BF585" i="2"/>
  <c r="BA585" i="2" s="1"/>
  <c r="BE585" i="2"/>
  <c r="AY585" i="2" s="1"/>
  <c r="BD585" i="2"/>
  <c r="AZ585" i="2" l="1"/>
  <c r="BC585" i="2"/>
  <c r="AW585" i="2" s="1"/>
  <c r="AS586" i="2" s="1"/>
  <c r="BB585" i="2"/>
  <c r="AU586" i="2" l="1"/>
  <c r="AX585" i="2"/>
  <c r="AT586" i="2" s="1"/>
  <c r="AV586" i="2" l="1"/>
  <c r="BE586" i="2"/>
  <c r="AY586" i="2" s="1"/>
  <c r="BG586" i="2" l="1"/>
  <c r="BC586" i="2" s="1"/>
  <c r="BF586" i="2"/>
  <c r="BA586" i="2" s="1"/>
  <c r="AZ586" i="2"/>
  <c r="BB586" i="2" l="1"/>
  <c r="BD586" i="2"/>
  <c r="AX586" i="2" s="1"/>
  <c r="AT587" i="2" s="1"/>
  <c r="AW586" i="2"/>
  <c r="AU587" i="2" l="1"/>
  <c r="AS587" i="2"/>
  <c r="AV587" i="2"/>
  <c r="BE587" i="2" l="1"/>
  <c r="BG587" i="2"/>
  <c r="BC587" i="2" s="1"/>
  <c r="BF587" i="2"/>
  <c r="AY587" i="2"/>
  <c r="BA587" i="2"/>
  <c r="BD587" i="2" l="1"/>
  <c r="AW587" i="2"/>
  <c r="AS588" i="2" s="1"/>
  <c r="AZ587" i="2"/>
  <c r="BB587" i="2"/>
  <c r="AX587" i="2" l="1"/>
  <c r="AT588" i="2" s="1"/>
  <c r="AU588" i="2"/>
  <c r="BE588" i="2" l="1"/>
  <c r="AV588" i="2"/>
  <c r="BG588" i="2" l="1"/>
  <c r="BF588" i="2"/>
  <c r="BC588" i="2"/>
  <c r="AY588" i="2"/>
  <c r="BA588" i="2"/>
  <c r="AW588" i="2" l="1"/>
  <c r="AS589" i="2" s="1"/>
  <c r="BD588" i="2"/>
  <c r="AU589" i="2"/>
  <c r="BB588" i="2"/>
  <c r="AZ588" i="2"/>
  <c r="AX588" i="2" l="1"/>
  <c r="AT589" i="2" s="1"/>
  <c r="AV589" i="2"/>
  <c r="BE589" i="2"/>
  <c r="AY589" i="2" s="1"/>
  <c r="BG589" i="2" l="1"/>
  <c r="BC589" i="2" s="1"/>
  <c r="BF589" i="2"/>
  <c r="BA589" i="2" s="1"/>
  <c r="AZ589" i="2"/>
  <c r="BD589" i="2" l="1"/>
  <c r="BB589" i="2"/>
  <c r="AW589" i="2"/>
  <c r="AU590" i="2" l="1"/>
  <c r="AS590" i="2"/>
  <c r="AX589" i="2"/>
  <c r="AT590" i="2" s="1"/>
  <c r="BE590" i="2" s="1"/>
  <c r="AY590" i="2" s="1"/>
  <c r="AV590" i="2"/>
  <c r="BG590" i="2" l="1"/>
  <c r="BC590" i="2" s="1"/>
  <c r="BF590" i="2"/>
  <c r="BA590" i="2" s="1"/>
  <c r="AW590" i="2" s="1"/>
  <c r="AS591" i="2" s="1"/>
  <c r="BD590" i="2"/>
  <c r="AZ590" i="2"/>
  <c r="BB590" i="2" l="1"/>
  <c r="AX590" i="2" s="1"/>
  <c r="AU591" i="2"/>
  <c r="AV591" i="2" l="1"/>
  <c r="AT591" i="2"/>
  <c r="BG591" i="2"/>
  <c r="BD591" i="2" s="1"/>
  <c r="BF591" i="2" l="1"/>
  <c r="BB591" i="2" s="1"/>
  <c r="BE591" i="2"/>
  <c r="AY591" i="2" s="1"/>
  <c r="BA591" i="2"/>
  <c r="BC591" i="2"/>
  <c r="AW591" i="2" l="1"/>
  <c r="AS592" i="2" s="1"/>
  <c r="AZ591" i="2"/>
  <c r="AX591" i="2" s="1"/>
  <c r="AU592" i="2"/>
  <c r="AV592" i="2" l="1"/>
  <c r="AT592" i="2"/>
  <c r="BG592" i="2"/>
  <c r="BD592" i="2" s="1"/>
  <c r="BF592" i="2"/>
  <c r="BE592" i="2"/>
  <c r="AY592" i="2" s="1"/>
  <c r="BA592" i="2"/>
  <c r="BB592" i="2" l="1"/>
  <c r="BC592" i="2"/>
  <c r="AW592" i="2" s="1"/>
  <c r="AS593" i="2" s="1"/>
  <c r="AZ592" i="2"/>
  <c r="AX592" i="2" l="1"/>
  <c r="AT593" i="2" s="1"/>
  <c r="AU593" i="2"/>
  <c r="AV593" i="2"/>
  <c r="BG593" i="2" l="1"/>
  <c r="BF593" i="2"/>
  <c r="BE593" i="2"/>
  <c r="BD593" i="2"/>
  <c r="BB593" i="2"/>
  <c r="AZ593" i="2"/>
  <c r="AY593" i="2"/>
  <c r="AX593" i="2" l="1"/>
  <c r="AT594" i="2" s="1"/>
  <c r="AV594" i="2"/>
  <c r="BA593" i="2"/>
  <c r="BC593" i="2"/>
  <c r="AW593" i="2" l="1"/>
  <c r="AU594" i="2" l="1"/>
  <c r="AS594" i="2"/>
  <c r="BG594" i="2"/>
  <c r="BD594" i="2" s="1"/>
  <c r="BF594" i="2" l="1"/>
  <c r="BB594" i="2" s="1"/>
  <c r="BE594" i="2"/>
  <c r="AY594" i="2" s="1"/>
  <c r="BC594" i="2"/>
  <c r="AZ594" i="2" l="1"/>
  <c r="AX594" i="2" s="1"/>
  <c r="AT595" i="2" s="1"/>
  <c r="BA594" i="2"/>
  <c r="AW594" i="2" s="1"/>
  <c r="AS595" i="2" s="1"/>
  <c r="AV595" i="2"/>
  <c r="BG595" i="2" l="1"/>
  <c r="AU595" i="2"/>
  <c r="BE595" i="2" l="1"/>
  <c r="BF595" i="2"/>
  <c r="BD595" i="2"/>
  <c r="BB595" i="2"/>
  <c r="BA595" i="2" l="1"/>
  <c r="AY595" i="2"/>
  <c r="AZ595" i="2"/>
  <c r="AX595" i="2" s="1"/>
  <c r="AT596" i="2" s="1"/>
  <c r="BC595" i="2"/>
  <c r="AV596" i="2" l="1"/>
  <c r="AW595" i="2"/>
  <c r="AS596" i="2" s="1"/>
  <c r="AU596" i="2" l="1"/>
  <c r="BG596" i="2"/>
  <c r="BE596" i="2" l="1"/>
  <c r="BF596" i="2"/>
  <c r="BD596" i="2"/>
  <c r="AZ596" i="2"/>
  <c r="AY596" i="2" l="1"/>
  <c r="BA596" i="2"/>
  <c r="BB596" i="2"/>
  <c r="AX596" i="2" s="1"/>
  <c r="AT597" i="2" s="1"/>
  <c r="BC596" i="2"/>
  <c r="AV597" i="2" l="1"/>
  <c r="AW596" i="2"/>
  <c r="AS597" i="2" s="1"/>
  <c r="AU597" i="2" l="1"/>
  <c r="BG597" i="2"/>
  <c r="BE597" i="2" l="1"/>
  <c r="BF597" i="2"/>
  <c r="BD597" i="2"/>
  <c r="AY597" i="2" l="1"/>
  <c r="AZ597" i="2"/>
  <c r="BA597" i="2"/>
  <c r="BB597" i="2"/>
  <c r="BC597" i="2"/>
  <c r="AX597" i="2" l="1"/>
  <c r="AT598" i="2" s="1"/>
  <c r="AW597" i="2"/>
  <c r="AS598" i="2" s="1"/>
  <c r="AU598" i="2" l="1"/>
  <c r="AV598" i="2"/>
  <c r="BG598" i="2" l="1"/>
  <c r="BF598" i="2"/>
  <c r="BE598" i="2"/>
  <c r="AZ598" i="2" s="1"/>
  <c r="BD598" i="2"/>
  <c r="BB598" i="2"/>
  <c r="AY598" i="2"/>
  <c r="AX598" i="2" l="1"/>
  <c r="AT599" i="2" s="1"/>
  <c r="BA598" i="2"/>
  <c r="BC598" i="2"/>
  <c r="AW598" i="2" l="1"/>
  <c r="AS599" i="2" s="1"/>
  <c r="AU599" i="2"/>
  <c r="AV599" i="2"/>
  <c r="BG599" i="2" l="1"/>
  <c r="BF599" i="2"/>
  <c r="BE599" i="2"/>
  <c r="AZ599" i="2" s="1"/>
  <c r="BD599" i="2"/>
  <c r="BB599" i="2"/>
  <c r="AY599" i="2"/>
  <c r="AX599" i="2" l="1"/>
  <c r="AT600" i="2" s="1"/>
  <c r="BA599" i="2"/>
  <c r="BC599" i="2"/>
  <c r="AW599" i="2" l="1"/>
  <c r="AV600" i="2"/>
  <c r="AU600" i="2" l="1"/>
  <c r="AS600" i="2"/>
  <c r="BG600" i="2"/>
  <c r="BD600" i="2" s="1"/>
  <c r="BF600" i="2"/>
  <c r="BE600" i="2"/>
  <c r="AZ600" i="2" s="1"/>
  <c r="BA600" i="2"/>
  <c r="AY600" i="2" l="1"/>
  <c r="BB600" i="2"/>
  <c r="AX600" i="2" s="1"/>
  <c r="AT601" i="2" s="1"/>
  <c r="BC600" i="2"/>
  <c r="AW600" i="2" s="1"/>
  <c r="AS601" i="2" s="1"/>
  <c r="AU601" i="2" l="1"/>
  <c r="AV601" i="2"/>
  <c r="BG601" i="2" l="1"/>
  <c r="BC601" i="2" s="1"/>
  <c r="BF601" i="2"/>
  <c r="BE601" i="2"/>
  <c r="AZ601" i="2" s="1"/>
  <c r="BA601" i="2"/>
  <c r="AY601" i="2"/>
  <c r="BB601" i="2"/>
  <c r="BD601" i="2" l="1"/>
  <c r="AX601" i="2"/>
  <c r="AT602" i="2" s="1"/>
  <c r="AW601" i="2"/>
  <c r="AS602" i="2" s="1"/>
  <c r="AU602" i="2" l="1"/>
  <c r="AV602" i="2"/>
  <c r="BG602" i="2" l="1"/>
  <c r="BF602" i="2"/>
  <c r="BE602" i="2"/>
  <c r="AY602" i="2" s="1"/>
  <c r="BD602" i="2"/>
  <c r="BB602" i="2"/>
  <c r="AZ602" i="2" l="1"/>
  <c r="AX602" i="2" s="1"/>
  <c r="AT603" i="2" s="1"/>
  <c r="BA602" i="2"/>
  <c r="BC602" i="2"/>
  <c r="AW602" i="2" l="1"/>
  <c r="AV603" i="2"/>
  <c r="AU603" i="2" l="1"/>
  <c r="AS603" i="2"/>
  <c r="BG603" i="2"/>
  <c r="BF603" i="2"/>
  <c r="BA603" i="2" s="1"/>
  <c r="BE603" i="2"/>
  <c r="AY603" i="2" s="1"/>
  <c r="BC603" i="2"/>
  <c r="BB603" i="2"/>
  <c r="AZ603" i="2" l="1"/>
  <c r="BD603" i="2"/>
  <c r="AX603" i="2" s="1"/>
  <c r="AT604" i="2" s="1"/>
  <c r="AW603" i="2"/>
  <c r="AS604" i="2" s="1"/>
  <c r="AU604" i="2" l="1"/>
  <c r="AV604" i="2"/>
  <c r="BG604" i="2" l="1"/>
  <c r="BF604" i="2"/>
  <c r="BA604" i="2" s="1"/>
  <c r="BE604" i="2"/>
  <c r="AZ604" i="2" s="1"/>
  <c r="BD604" i="2"/>
  <c r="AY604" i="2" l="1"/>
  <c r="BC604" i="2"/>
  <c r="BB604" i="2"/>
  <c r="AX604" i="2" s="1"/>
  <c r="AT605" i="2" s="1"/>
  <c r="AW604" i="2" l="1"/>
  <c r="AS605" i="2" s="1"/>
  <c r="AV605" i="2"/>
  <c r="AU605" i="2"/>
  <c r="BG605" i="2"/>
  <c r="BE605" i="2" l="1"/>
  <c r="BF605" i="2"/>
  <c r="AZ605" i="2"/>
  <c r="BC605" i="2"/>
  <c r="BA605" i="2"/>
  <c r="AY605" i="2"/>
  <c r="BB605" i="2"/>
  <c r="BD605" i="2" l="1"/>
  <c r="AX605" i="2" s="1"/>
  <c r="AT606" i="2" s="1"/>
  <c r="AW605" i="2"/>
  <c r="AS606" i="2" s="1"/>
  <c r="AV606" i="2" l="1"/>
  <c r="AU606" i="2"/>
  <c r="BG606" i="2"/>
  <c r="BE606" i="2" l="1"/>
  <c r="BF606" i="2"/>
  <c r="AZ606" i="2"/>
  <c r="BD606" i="2"/>
  <c r="AY606" i="2" l="1"/>
  <c r="BA606" i="2"/>
  <c r="BB606" i="2"/>
  <c r="AX606" i="2" s="1"/>
  <c r="AT607" i="2" s="1"/>
  <c r="BC606" i="2"/>
  <c r="AW606" i="2" l="1"/>
  <c r="AS607" i="2" s="1"/>
  <c r="AV607" i="2"/>
  <c r="AU607" i="2" l="1"/>
  <c r="BG607" i="2"/>
  <c r="BE607" i="2"/>
  <c r="BF607" i="2"/>
  <c r="BA607" i="2" s="1"/>
  <c r="AY607" i="2"/>
  <c r="BC607" i="2"/>
  <c r="AZ607" i="2"/>
  <c r="BB607" i="2"/>
  <c r="BD607" i="2" l="1"/>
  <c r="AX607" i="2" s="1"/>
  <c r="AT608" i="2" s="1"/>
  <c r="AW607" i="2"/>
  <c r="AS608" i="2" s="1"/>
  <c r="AU608" i="2" l="1"/>
  <c r="AV608" i="2"/>
  <c r="BG608" i="2" l="1"/>
  <c r="BF608" i="2"/>
  <c r="BE608" i="2"/>
  <c r="AY608" i="2" s="1"/>
  <c r="BA608" i="2"/>
  <c r="BD608" i="2"/>
  <c r="BC608" i="2" l="1"/>
  <c r="AW608" i="2" s="1"/>
  <c r="AS609" i="2" s="1"/>
  <c r="BB608" i="2"/>
  <c r="AZ608" i="2"/>
  <c r="AX608" i="2" l="1"/>
  <c r="AT609" i="2" s="1"/>
  <c r="AU609" i="2"/>
  <c r="AV609" i="2"/>
  <c r="BG609" i="2" l="1"/>
  <c r="BF609" i="2"/>
  <c r="BE609" i="2"/>
  <c r="AY609" i="2" s="1"/>
  <c r="BD609" i="2"/>
  <c r="BA609" i="2"/>
  <c r="BC609" i="2" l="1"/>
  <c r="AW609" i="2" s="1"/>
  <c r="AS610" i="2" s="1"/>
  <c r="AZ609" i="2"/>
  <c r="BB609" i="2"/>
  <c r="AU610" i="2" l="1"/>
  <c r="AX609" i="2"/>
  <c r="AT610" i="2" s="1"/>
  <c r="AV610" i="2" l="1"/>
  <c r="BE610" i="2"/>
  <c r="AY610" i="2" s="1"/>
  <c r="BG610" i="2" l="1"/>
  <c r="BC610" i="2" s="1"/>
  <c r="BF610" i="2"/>
  <c r="BA610" i="2" s="1"/>
  <c r="AZ610" i="2"/>
  <c r="BB610" i="2" l="1"/>
  <c r="BD610" i="2"/>
  <c r="AX610" i="2" s="1"/>
  <c r="AT611" i="2" s="1"/>
  <c r="AW610" i="2"/>
  <c r="AS611" i="2" s="1"/>
  <c r="AU611" i="2"/>
  <c r="BG611" i="2" l="1"/>
  <c r="AV611" i="2"/>
  <c r="BE611" i="2"/>
  <c r="BF611" i="2"/>
  <c r="BD611" i="2"/>
  <c r="AZ611" i="2"/>
  <c r="BB611" i="2"/>
  <c r="AY611" i="2"/>
  <c r="BA611" i="2"/>
  <c r="AX611" i="2" l="1"/>
  <c r="AT612" i="2" s="1"/>
  <c r="BC611" i="2"/>
  <c r="AW611" i="2" s="1"/>
  <c r="AS612" i="2" s="1"/>
  <c r="AU612" i="2" l="1"/>
  <c r="AV612" i="2"/>
  <c r="BG612" i="2" l="1"/>
  <c r="BF612" i="2"/>
  <c r="BE612" i="2"/>
  <c r="AY612" i="2" s="1"/>
  <c r="BA612" i="2"/>
  <c r="BD612" i="2"/>
  <c r="BC612" i="2" l="1"/>
  <c r="AW612" i="2"/>
  <c r="AS613" i="2" s="1"/>
  <c r="AZ612" i="2"/>
  <c r="BB612" i="2"/>
  <c r="AU613" i="2" l="1"/>
  <c r="AX612" i="2"/>
  <c r="AT613" i="2" s="1"/>
  <c r="AV613" i="2" l="1"/>
  <c r="BE613" i="2"/>
  <c r="AY613" i="2" s="1"/>
  <c r="BG613" i="2" l="1"/>
  <c r="BF613" i="2"/>
  <c r="BA613" i="2" s="1"/>
  <c r="BD613" i="2"/>
  <c r="BB613" i="2"/>
  <c r="AZ613" i="2"/>
  <c r="BC613" i="2"/>
  <c r="AW613" i="2" s="1"/>
  <c r="AS614" i="2" s="1"/>
  <c r="AX613" i="2" l="1"/>
  <c r="AT614" i="2" s="1"/>
  <c r="AU614" i="2"/>
  <c r="BE614" i="2" l="1"/>
  <c r="AV614" i="2"/>
  <c r="BG614" i="2" l="1"/>
  <c r="BF614" i="2"/>
  <c r="BD614" i="2"/>
  <c r="AY614" i="2"/>
  <c r="AZ614" i="2"/>
  <c r="BA614" i="2"/>
  <c r="BB614" i="2"/>
  <c r="BC614" i="2"/>
  <c r="AX614" i="2" l="1"/>
  <c r="AT615" i="2" s="1"/>
  <c r="AW614" i="2"/>
  <c r="AS615" i="2" s="1"/>
  <c r="AU615" i="2" l="1"/>
  <c r="AV615" i="2"/>
  <c r="BG615" i="2" l="1"/>
  <c r="BF615" i="2"/>
  <c r="BE615" i="2"/>
  <c r="BC615" i="2"/>
  <c r="BA615" i="2"/>
  <c r="AY615" i="2"/>
  <c r="AZ615" i="2"/>
  <c r="BB615" i="2"/>
  <c r="BD615" i="2" l="1"/>
  <c r="AX615" i="2" s="1"/>
  <c r="AT616" i="2" s="1"/>
  <c r="AW615" i="2"/>
  <c r="AS616" i="2" s="1"/>
  <c r="AV616" i="2" l="1"/>
  <c r="BG616" i="2"/>
  <c r="AU616" i="2"/>
  <c r="BE616" i="2" l="1"/>
  <c r="BF616" i="2"/>
  <c r="BB616" i="2" s="1"/>
  <c r="BD616" i="2"/>
  <c r="AZ616" i="2"/>
  <c r="BA616" i="2"/>
  <c r="AY616" i="2"/>
  <c r="AX616" i="2" l="1"/>
  <c r="AT617" i="2" s="1"/>
  <c r="BC616" i="2"/>
  <c r="AW616" i="2" s="1"/>
  <c r="AS617" i="2" s="1"/>
  <c r="AU617" i="2" l="1"/>
  <c r="AV617" i="2"/>
  <c r="BG617" i="2" l="1"/>
  <c r="BF617" i="2"/>
  <c r="BE617" i="2"/>
  <c r="AZ617" i="2" s="1"/>
  <c r="BD617" i="2"/>
  <c r="BA617" i="2"/>
  <c r="BB617" i="2"/>
  <c r="AY617" i="2" l="1"/>
  <c r="AX617" i="2"/>
  <c r="AT618" i="2" s="1"/>
  <c r="BC617" i="2"/>
  <c r="AW617" i="2" l="1"/>
  <c r="AS618" i="2" s="1"/>
  <c r="AU618" i="2"/>
  <c r="AV618" i="2"/>
  <c r="BG618" i="2" l="1"/>
  <c r="BF618" i="2"/>
  <c r="BA618" i="2" s="1"/>
  <c r="BE618" i="2"/>
  <c r="BD618" i="2"/>
  <c r="AZ618" i="2"/>
  <c r="AY618" i="2"/>
  <c r="BC618" i="2" l="1"/>
  <c r="AW618" i="2" s="1"/>
  <c r="AS619" i="2" s="1"/>
  <c r="BB618" i="2"/>
  <c r="AX618" i="2" s="1"/>
  <c r="AT619" i="2" s="1"/>
  <c r="AV619" i="2" l="1"/>
  <c r="AU619" i="2"/>
  <c r="BG619" i="2"/>
  <c r="BE619" i="2" l="1"/>
  <c r="AZ619" i="2" s="1"/>
  <c r="BF619" i="2"/>
  <c r="BB619" i="2" s="1"/>
  <c r="BD619" i="2"/>
  <c r="BA619" i="2"/>
  <c r="AX619" i="2" l="1"/>
  <c r="AT620" i="2" s="1"/>
  <c r="AV620" i="2"/>
  <c r="AY619" i="2"/>
  <c r="BC619" i="2"/>
  <c r="AW619" i="2" l="1"/>
  <c r="AU620" i="2" l="1"/>
  <c r="AS620" i="2"/>
  <c r="BG620" i="2"/>
  <c r="BE620" i="2"/>
  <c r="BF620" i="2"/>
  <c r="BD620" i="2"/>
  <c r="AY620" i="2" l="1"/>
  <c r="AZ620" i="2"/>
  <c r="BA620" i="2"/>
  <c r="BB620" i="2"/>
  <c r="BC620" i="2"/>
  <c r="AX620" i="2" l="1"/>
  <c r="AT621" i="2" s="1"/>
  <c r="AW620" i="2"/>
  <c r="AS621" i="2" s="1"/>
  <c r="AU621" i="2" l="1"/>
  <c r="AV621" i="2"/>
  <c r="BG621" i="2" l="1"/>
  <c r="BF621" i="2"/>
  <c r="BE621" i="2"/>
  <c r="AZ621" i="2" s="1"/>
  <c r="BD621" i="2"/>
  <c r="BB621" i="2"/>
  <c r="AY621" i="2" l="1"/>
  <c r="BA621" i="2"/>
  <c r="AX621" i="2"/>
  <c r="AT622" i="2" s="1"/>
  <c r="BC621" i="2"/>
  <c r="AW621" i="2" l="1"/>
  <c r="AV622" i="2"/>
  <c r="AU622" i="2" l="1"/>
  <c r="AS622" i="2"/>
  <c r="BG622" i="2"/>
  <c r="BD622" i="2" s="1"/>
  <c r="BE622" i="2" l="1"/>
  <c r="AZ622" i="2" s="1"/>
  <c r="BF622" i="2"/>
  <c r="BB622" i="2" s="1"/>
  <c r="AY622" i="2"/>
  <c r="BC622" i="2"/>
  <c r="AX622" i="2" l="1"/>
  <c r="AT623" i="2" s="1"/>
  <c r="BA622" i="2"/>
  <c r="AW622" i="2" s="1"/>
  <c r="AS623" i="2" s="1"/>
  <c r="AV623" i="2"/>
  <c r="AU623" i="2" l="1"/>
  <c r="BG623" i="2"/>
  <c r="BE623" i="2" l="1"/>
  <c r="AY623" i="2" s="1"/>
  <c r="BF623" i="2"/>
  <c r="BD623" i="2"/>
  <c r="AZ623" i="2" l="1"/>
  <c r="BA623" i="2"/>
  <c r="BB623" i="2"/>
  <c r="AX623" i="2" s="1"/>
  <c r="AT624" i="2" s="1"/>
  <c r="BC623" i="2"/>
  <c r="AW623" i="2" l="1"/>
  <c r="AS624" i="2" s="1"/>
  <c r="AV624" i="2"/>
  <c r="AU624" i="2"/>
  <c r="BG624" i="2"/>
  <c r="BE624" i="2" l="1"/>
  <c r="AZ624" i="2" s="1"/>
  <c r="BF624" i="2"/>
  <c r="BD624" i="2"/>
  <c r="BB624" i="2"/>
  <c r="AY624" i="2"/>
  <c r="BA624" i="2"/>
  <c r="AX624" i="2" l="1"/>
  <c r="AT625" i="2" s="1"/>
  <c r="BC624" i="2"/>
  <c r="AW624" i="2" s="1"/>
  <c r="AS625" i="2" s="1"/>
  <c r="AU625" i="2" l="1"/>
  <c r="AV625" i="2"/>
  <c r="BG625" i="2" l="1"/>
  <c r="BF625" i="2"/>
  <c r="BA625" i="2" s="1"/>
  <c r="BE625" i="2"/>
  <c r="AY625" i="2" s="1"/>
  <c r="BC625" i="2"/>
  <c r="BB625" i="2"/>
  <c r="AZ625" i="2" l="1"/>
  <c r="BD625" i="2"/>
  <c r="AX625" i="2" s="1"/>
  <c r="AT626" i="2" s="1"/>
  <c r="AW625" i="2"/>
  <c r="AS626" i="2" s="1"/>
  <c r="AV626" i="2" l="1"/>
  <c r="AU626" i="2"/>
  <c r="BG626" i="2"/>
  <c r="BE626" i="2" l="1"/>
  <c r="BF626" i="2"/>
  <c r="AZ626" i="2"/>
  <c r="BD626" i="2"/>
  <c r="BB626" i="2"/>
  <c r="AY626" i="2"/>
  <c r="BA626" i="2" l="1"/>
  <c r="BC626" i="2"/>
  <c r="AW626" i="2" s="1"/>
  <c r="AS627" i="2" s="1"/>
  <c r="AX626" i="2"/>
  <c r="AT627" i="2" s="1"/>
  <c r="AU627" i="2" l="1"/>
  <c r="AV627" i="2"/>
  <c r="BG627" i="2" l="1"/>
  <c r="BF627" i="2"/>
  <c r="BA627" i="2" s="1"/>
  <c r="BE627" i="2"/>
  <c r="AZ627" i="2" s="1"/>
  <c r="BD627" i="2"/>
  <c r="AY627" i="2"/>
  <c r="BC627" i="2" l="1"/>
  <c r="AW627" i="2" s="1"/>
  <c r="AS628" i="2" s="1"/>
  <c r="BB627" i="2"/>
  <c r="AX627" i="2" s="1"/>
  <c r="AT628" i="2" s="1"/>
  <c r="AU628" i="2" l="1"/>
  <c r="AV628" i="2"/>
  <c r="BG628" i="2" l="1"/>
  <c r="BF628" i="2"/>
  <c r="BE628" i="2"/>
  <c r="AZ628" i="2" s="1"/>
  <c r="BD628" i="2"/>
  <c r="BB628" i="2"/>
  <c r="AY628" i="2"/>
  <c r="BA628" i="2"/>
  <c r="AX628" i="2" l="1"/>
  <c r="AT629" i="2" s="1"/>
  <c r="BC628" i="2"/>
  <c r="AW628" i="2" s="1"/>
  <c r="AS629" i="2" s="1"/>
  <c r="AU629" i="2" l="1"/>
  <c r="AV629" i="2"/>
  <c r="BG629" i="2" l="1"/>
  <c r="BF629" i="2"/>
  <c r="BE629" i="2"/>
  <c r="AZ629" i="2" s="1"/>
  <c r="BA629" i="2"/>
  <c r="BD629" i="2"/>
  <c r="BB629" i="2"/>
  <c r="AX629" i="2" l="1"/>
  <c r="AT630" i="2" s="1"/>
  <c r="AY629" i="2"/>
  <c r="BC629" i="2"/>
  <c r="AW629" i="2" l="1"/>
  <c r="AS630" i="2" s="1"/>
  <c r="AV630" i="2"/>
  <c r="BG630" i="2" l="1"/>
  <c r="AU630" i="2"/>
  <c r="BE630" i="2" l="1"/>
  <c r="BF630" i="2"/>
  <c r="AZ630" i="2"/>
  <c r="BD630" i="2"/>
  <c r="AY630" i="2"/>
  <c r="BA630" i="2" l="1"/>
  <c r="BB630" i="2"/>
  <c r="AX630" i="2" s="1"/>
  <c r="AT631" i="2" s="1"/>
  <c r="BC630" i="2"/>
  <c r="AW630" i="2" l="1"/>
  <c r="AS631" i="2" s="1"/>
  <c r="AU631" i="2"/>
  <c r="AV631" i="2"/>
  <c r="BG631" i="2" l="1"/>
  <c r="BF631" i="2"/>
  <c r="BE631" i="2"/>
  <c r="AZ631" i="2" s="1"/>
  <c r="BC631" i="2"/>
  <c r="BA631" i="2"/>
  <c r="BD631" i="2" l="1"/>
  <c r="AY631" i="2"/>
  <c r="AW631" i="2" s="1"/>
  <c r="AS632" i="2" s="1"/>
  <c r="BB631" i="2"/>
  <c r="AX631" i="2" s="1"/>
  <c r="AT632" i="2" s="1"/>
  <c r="AV632" i="2" l="1"/>
  <c r="AU632" i="2"/>
  <c r="BG632" i="2"/>
  <c r="BE632" i="2" l="1"/>
  <c r="AZ632" i="2" s="1"/>
  <c r="BF632" i="2"/>
  <c r="BA632" i="2" s="1"/>
  <c r="BD632" i="2"/>
  <c r="BB632" i="2" l="1"/>
  <c r="AY632" i="2"/>
  <c r="AX632" i="2"/>
  <c r="AT633" i="2" s="1"/>
  <c r="BC632" i="2"/>
  <c r="AW632" i="2" s="1"/>
  <c r="AS633" i="2" s="1"/>
  <c r="AV633" i="2" l="1"/>
  <c r="AU633" i="2"/>
  <c r="BG633" i="2"/>
  <c r="BE633" i="2" l="1"/>
  <c r="BF633" i="2"/>
  <c r="BD633" i="2"/>
  <c r="BB633" i="2"/>
  <c r="AY633" i="2" l="1"/>
  <c r="AZ633" i="2"/>
  <c r="AX633" i="2" s="1"/>
  <c r="AT634" i="2" s="1"/>
  <c r="BA633" i="2"/>
  <c r="BC633" i="2"/>
  <c r="AV634" i="2" l="1"/>
  <c r="AW633" i="2"/>
  <c r="AS634" i="2" s="1"/>
  <c r="AU634" i="2" l="1"/>
  <c r="BG634" i="2"/>
  <c r="BE634" i="2" l="1"/>
  <c r="BF634" i="2"/>
  <c r="BD634" i="2"/>
  <c r="AZ634" i="2"/>
  <c r="AY634" i="2" l="1"/>
  <c r="BA634" i="2"/>
  <c r="BB634" i="2"/>
  <c r="AX634" i="2" s="1"/>
  <c r="AT635" i="2" s="1"/>
  <c r="BC634" i="2"/>
  <c r="AV635" i="2" l="1"/>
  <c r="AW634" i="2"/>
  <c r="AS635" i="2" s="1"/>
  <c r="AU635" i="2" l="1"/>
  <c r="BG635" i="2"/>
  <c r="BE635" i="2" l="1"/>
  <c r="BF635" i="2"/>
  <c r="BD635" i="2"/>
  <c r="AZ635" i="2"/>
  <c r="AY635" i="2" l="1"/>
  <c r="BA635" i="2"/>
  <c r="BB635" i="2"/>
  <c r="AX635" i="2" s="1"/>
  <c r="AT636" i="2" s="1"/>
  <c r="BC635" i="2"/>
  <c r="AV636" i="2" l="1"/>
  <c r="AW635" i="2"/>
  <c r="AS636" i="2" s="1"/>
  <c r="BG636" i="2" l="1"/>
  <c r="AU636" i="2"/>
  <c r="BE636" i="2" l="1"/>
  <c r="BF636" i="2"/>
  <c r="BD636" i="2"/>
  <c r="BB636" i="2"/>
  <c r="BA636" i="2" l="1"/>
  <c r="AY636" i="2"/>
  <c r="AZ636" i="2"/>
  <c r="AX636" i="2" s="1"/>
  <c r="AT637" i="2" s="1"/>
  <c r="BC636" i="2"/>
  <c r="AV637" i="2" l="1"/>
  <c r="AW636" i="2"/>
  <c r="AS637" i="2" s="1"/>
  <c r="AU637" i="2" l="1"/>
  <c r="BG637" i="2"/>
  <c r="BE637" i="2" l="1"/>
  <c r="BF637" i="2"/>
  <c r="BD637" i="2"/>
  <c r="AY637" i="2" l="1"/>
  <c r="AZ637" i="2"/>
  <c r="BA637" i="2"/>
  <c r="BB637" i="2"/>
  <c r="BC637" i="2"/>
  <c r="AX637" i="2" l="1"/>
  <c r="AT638" i="2" s="1"/>
  <c r="AW637" i="2"/>
  <c r="AS638" i="2" s="1"/>
  <c r="AU638" i="2" l="1"/>
  <c r="AV638" i="2"/>
  <c r="BG638" i="2" l="1"/>
  <c r="BC638" i="2" s="1"/>
  <c r="BF638" i="2"/>
  <c r="BA638" i="2" s="1"/>
  <c r="BE638" i="2"/>
  <c r="AY638" i="2" s="1"/>
  <c r="BB638" i="2"/>
  <c r="AZ638" i="2"/>
  <c r="BD638" i="2" l="1"/>
  <c r="AX638" i="2" s="1"/>
  <c r="AT639" i="2" s="1"/>
  <c r="AW638" i="2"/>
  <c r="AS639" i="2" s="1"/>
  <c r="AV639" i="2" l="1"/>
  <c r="AU639" i="2"/>
  <c r="BG639" i="2"/>
  <c r="BE639" i="2" l="1"/>
  <c r="BF639" i="2"/>
  <c r="BD639" i="2"/>
  <c r="AY639" i="2" l="1"/>
  <c r="AZ639" i="2"/>
  <c r="BA639" i="2"/>
  <c r="BB639" i="2"/>
  <c r="BC639" i="2"/>
  <c r="AX639" i="2" l="1"/>
  <c r="AT640" i="2" s="1"/>
  <c r="AW639" i="2"/>
  <c r="AS640" i="2" s="1"/>
  <c r="AU640" i="2" l="1"/>
  <c r="AV640" i="2"/>
  <c r="BG640" i="2" l="1"/>
  <c r="BC640" i="2" s="1"/>
  <c r="BF640" i="2"/>
  <c r="BE640" i="2"/>
  <c r="AY640" i="2" s="1"/>
  <c r="BA640" i="2"/>
  <c r="BB640" i="2"/>
  <c r="AZ640" i="2"/>
  <c r="BD640" i="2" l="1"/>
  <c r="AX640" i="2" s="1"/>
  <c r="AT641" i="2" s="1"/>
  <c r="AW640" i="2"/>
  <c r="AS641" i="2" s="1"/>
  <c r="AV641" i="2" l="1"/>
  <c r="AU641" i="2"/>
  <c r="BG641" i="2"/>
  <c r="BE641" i="2" l="1"/>
  <c r="BF641" i="2"/>
  <c r="BB641" i="2" s="1"/>
  <c r="BD641" i="2"/>
  <c r="BA641" i="2" l="1"/>
  <c r="AY641" i="2"/>
  <c r="AZ641" i="2"/>
  <c r="AX641" i="2" s="1"/>
  <c r="AT642" i="2" s="1"/>
  <c r="BC641" i="2"/>
  <c r="AW641" i="2" l="1"/>
  <c r="AS642" i="2" s="1"/>
  <c r="AU642" i="2"/>
  <c r="AV642" i="2"/>
  <c r="BG642" i="2" l="1"/>
  <c r="BF642" i="2"/>
  <c r="BE642" i="2"/>
  <c r="AY642" i="2" s="1"/>
  <c r="BC642" i="2"/>
  <c r="BA642" i="2"/>
  <c r="AZ642" i="2"/>
  <c r="BB642" i="2"/>
  <c r="BD642" i="2" l="1"/>
  <c r="AX642" i="2" s="1"/>
  <c r="AT643" i="2" s="1"/>
  <c r="AW642" i="2"/>
  <c r="AS643" i="2" s="1"/>
  <c r="AV643" i="2" l="1"/>
  <c r="AU643" i="2"/>
  <c r="BG643" i="2"/>
  <c r="BE643" i="2" l="1"/>
  <c r="BF643" i="2"/>
  <c r="BA643" i="2" s="1"/>
  <c r="AZ643" i="2"/>
  <c r="BC643" i="2"/>
  <c r="AY643" i="2"/>
  <c r="BD643" i="2" l="1"/>
  <c r="AW643" i="2"/>
  <c r="AS644" i="2" s="1"/>
  <c r="BB643" i="2"/>
  <c r="AX643" i="2" s="1"/>
  <c r="AT644" i="2" s="1"/>
  <c r="AV644" i="2" l="1"/>
  <c r="AU644" i="2"/>
  <c r="BG644" i="2" l="1"/>
  <c r="BC644" i="2" s="1"/>
  <c r="BE644" i="2"/>
  <c r="BF644" i="2"/>
  <c r="BA644" i="2" s="1"/>
  <c r="AY644" i="2"/>
  <c r="BB644" i="2"/>
  <c r="AW644" i="2" l="1"/>
  <c r="BD644" i="2"/>
  <c r="AZ644" i="2"/>
  <c r="AU645" i="2" l="1"/>
  <c r="AS645" i="2"/>
  <c r="AX644" i="2"/>
  <c r="AT645" i="2" s="1"/>
  <c r="BE645" i="2"/>
  <c r="AY645" i="2" s="1"/>
  <c r="AV645" i="2"/>
  <c r="BG645" i="2" l="1"/>
  <c r="BF645" i="2"/>
  <c r="BD645" i="2"/>
  <c r="BC645" i="2"/>
  <c r="AZ645" i="2"/>
  <c r="BB645" i="2" l="1"/>
  <c r="AX645" i="2" s="1"/>
  <c r="AT646" i="2" s="1"/>
  <c r="BA645" i="2"/>
  <c r="AW645" i="2" s="1"/>
  <c r="AS646" i="2" s="1"/>
  <c r="AU646" i="2" l="1"/>
  <c r="AV646" i="2"/>
  <c r="BG646" i="2" l="1"/>
  <c r="BD646" i="2" s="1"/>
  <c r="BE646" i="2"/>
  <c r="AZ646" i="2" s="1"/>
  <c r="BF646" i="2"/>
  <c r="BB646" i="2" s="1"/>
  <c r="AY646" i="2"/>
  <c r="BC646" i="2"/>
  <c r="AX646" i="2" l="1"/>
  <c r="AT647" i="2" s="1"/>
  <c r="BA646" i="2"/>
  <c r="AW646" i="2" s="1"/>
  <c r="AS647" i="2" s="1"/>
  <c r="AV647" i="2"/>
  <c r="AU647" i="2" l="1"/>
  <c r="BG647" i="2"/>
  <c r="BE647" i="2" l="1"/>
  <c r="BF647" i="2"/>
  <c r="AZ647" i="2"/>
  <c r="AY647" i="2"/>
  <c r="BD647" i="2"/>
  <c r="BA647" i="2" l="1"/>
  <c r="BB647" i="2"/>
  <c r="AX647" i="2" s="1"/>
  <c r="AT648" i="2" s="1"/>
  <c r="BC647" i="2"/>
  <c r="AW647" i="2" l="1"/>
  <c r="AS648" i="2" s="1"/>
  <c r="AV648" i="2"/>
  <c r="AU648" i="2"/>
  <c r="BG648" i="2"/>
  <c r="BE648" i="2" l="1"/>
  <c r="AZ648" i="2" s="1"/>
  <c r="BF648" i="2"/>
  <c r="BA648" i="2" s="1"/>
  <c r="BC648" i="2"/>
  <c r="BB648" i="2"/>
  <c r="BD648" i="2" l="1"/>
  <c r="AX648" i="2" s="1"/>
  <c r="AT649" i="2" s="1"/>
  <c r="AY648" i="2"/>
  <c r="AW648" i="2" s="1"/>
  <c r="AS649" i="2" s="1"/>
  <c r="AV649" i="2" l="1"/>
  <c r="BG649" i="2"/>
  <c r="AU649" i="2"/>
  <c r="BE649" i="2" l="1"/>
  <c r="BF649" i="2"/>
  <c r="BD649" i="2"/>
  <c r="BA649" i="2" l="1"/>
  <c r="BB649" i="2"/>
  <c r="BC649" i="2"/>
  <c r="AY649" i="2"/>
  <c r="AZ649" i="2"/>
  <c r="AX649" i="2" s="1"/>
  <c r="AT650" i="2" s="1"/>
  <c r="AW649" i="2" l="1"/>
  <c r="AS650" i="2" s="1"/>
  <c r="AV650" i="2"/>
  <c r="AU650" i="2"/>
  <c r="BG650" i="2"/>
  <c r="BE650" i="2" l="1"/>
  <c r="BF650" i="2"/>
  <c r="BA650" i="2" s="1"/>
  <c r="AZ650" i="2"/>
  <c r="BD650" i="2"/>
  <c r="BB650" i="2" l="1"/>
  <c r="AX650" i="2"/>
  <c r="AT651" i="2" s="1"/>
  <c r="BC650" i="2"/>
  <c r="AY650" i="2"/>
  <c r="AV651" i="2" l="1"/>
  <c r="AW650" i="2"/>
  <c r="AS651" i="2" s="1"/>
  <c r="BG651" i="2" s="1"/>
  <c r="AU651" i="2"/>
  <c r="BE651" i="2" l="1"/>
  <c r="BF651" i="2"/>
  <c r="BB651" i="2" s="1"/>
  <c r="BD651" i="2"/>
  <c r="BA651" i="2"/>
  <c r="AY651" i="2" l="1"/>
  <c r="AZ651" i="2"/>
  <c r="AX651" i="2" s="1"/>
  <c r="AT652" i="2" s="1"/>
  <c r="BC651" i="2"/>
  <c r="AV652" i="2" l="1"/>
  <c r="AW651" i="2"/>
  <c r="AS652" i="2" s="1"/>
  <c r="BG652" i="2" l="1"/>
  <c r="AU652" i="2"/>
  <c r="BE652" i="2" l="1"/>
  <c r="AY652" i="2" s="1"/>
  <c r="BF652" i="2"/>
  <c r="BD652" i="2"/>
  <c r="AZ652" i="2" l="1"/>
  <c r="BA652" i="2"/>
  <c r="BB652" i="2"/>
  <c r="BC652" i="2"/>
  <c r="AX652" i="2" l="1"/>
  <c r="AT653" i="2" s="1"/>
  <c r="AW652" i="2"/>
  <c r="AS653" i="2" s="1"/>
  <c r="AU653" i="2" l="1"/>
  <c r="AV653" i="2"/>
  <c r="BG653" i="2"/>
  <c r="BE653" i="2"/>
  <c r="BF653" i="2"/>
  <c r="BB653" i="2" s="1"/>
  <c r="BD653" i="2"/>
  <c r="BA653" i="2"/>
  <c r="AZ653" i="2"/>
  <c r="AY653" i="2"/>
  <c r="AX653" i="2" l="1"/>
  <c r="AT654" i="2" s="1"/>
  <c r="BC653" i="2"/>
  <c r="AW653" i="2" s="1"/>
  <c r="AS654" i="2" s="1"/>
  <c r="AV654" i="2" l="1"/>
  <c r="BG654" i="2"/>
  <c r="AU654" i="2"/>
  <c r="BE654" i="2" l="1"/>
  <c r="BF654" i="2"/>
  <c r="AZ654" i="2"/>
  <c r="BD654" i="2"/>
  <c r="AY654" i="2"/>
  <c r="BB654" i="2"/>
  <c r="BA654" i="2"/>
  <c r="AX654" i="2" l="1"/>
  <c r="AT655" i="2" s="1"/>
  <c r="BC654" i="2"/>
  <c r="AW654" i="2" s="1"/>
  <c r="AS655" i="2" s="1"/>
  <c r="AU655" i="2" l="1"/>
  <c r="AV655" i="2"/>
  <c r="BG655" i="2" l="1"/>
  <c r="BD655" i="2" s="1"/>
  <c r="BF655" i="2"/>
  <c r="BE655" i="2"/>
  <c r="AZ655" i="2" s="1"/>
  <c r="BA655" i="2"/>
  <c r="AY655" i="2"/>
  <c r="BB655" i="2"/>
  <c r="AX655" i="2" l="1"/>
  <c r="AT656" i="2" s="1"/>
  <c r="AV656" i="2"/>
  <c r="BC655" i="2"/>
  <c r="AW655" i="2" s="1"/>
  <c r="AS656" i="2" s="1"/>
  <c r="BG656" i="2" l="1"/>
  <c r="AU656" i="2"/>
  <c r="BE656" i="2" l="1"/>
  <c r="AZ656" i="2" s="1"/>
  <c r="BF656" i="2"/>
  <c r="BB656" i="2" s="1"/>
  <c r="BD656" i="2"/>
  <c r="AY656" i="2" l="1"/>
  <c r="BA656" i="2"/>
  <c r="BC656" i="2"/>
  <c r="AX656" i="2"/>
  <c r="AT657" i="2" s="1"/>
  <c r="AW656" i="2" l="1"/>
  <c r="AS657" i="2" s="1"/>
  <c r="AU657" i="2"/>
  <c r="AV657" i="2"/>
  <c r="BG657" i="2" l="1"/>
  <c r="BD657" i="2" s="1"/>
  <c r="BF657" i="2"/>
  <c r="BE657" i="2"/>
  <c r="AY657" i="2" s="1"/>
  <c r="BA657" i="2"/>
  <c r="AZ657" i="2" l="1"/>
  <c r="BC657" i="2"/>
  <c r="AW657" i="2" s="1"/>
  <c r="AS658" i="2" s="1"/>
  <c r="BB657" i="2"/>
  <c r="AU658" i="2" l="1"/>
  <c r="AX657" i="2"/>
  <c r="AT658" i="2" s="1"/>
  <c r="BE658" i="2" l="1"/>
  <c r="AY658" i="2" s="1"/>
  <c r="AV658" i="2"/>
  <c r="BG658" i="2" l="1"/>
  <c r="BC658" i="2" s="1"/>
  <c r="BF658" i="2"/>
  <c r="BA658" i="2" s="1"/>
  <c r="AW658" i="2" s="1"/>
  <c r="AS659" i="2" s="1"/>
  <c r="BD658" i="2"/>
  <c r="AZ658" i="2"/>
  <c r="BB658" i="2"/>
  <c r="AX658" i="2" l="1"/>
  <c r="AT659" i="2" s="1"/>
  <c r="AU659" i="2"/>
  <c r="AV659" i="2" l="1"/>
  <c r="BE659" i="2"/>
  <c r="BG659" i="2" l="1"/>
  <c r="BF659" i="2"/>
  <c r="BA659" i="2" s="1"/>
  <c r="BD659" i="2"/>
  <c r="AZ659" i="2" l="1"/>
  <c r="AY659" i="2"/>
  <c r="BC659" i="2"/>
  <c r="BB659" i="2"/>
  <c r="AX659" i="2" s="1"/>
  <c r="AT660" i="2" s="1"/>
  <c r="AV660" i="2" l="1"/>
  <c r="AW659" i="2"/>
  <c r="AS660" i="2" s="1"/>
  <c r="BG660" i="2" l="1"/>
  <c r="AU660" i="2"/>
  <c r="BE660" i="2" l="1"/>
  <c r="BF660" i="2"/>
  <c r="BD660" i="2"/>
  <c r="BA660" i="2" l="1"/>
  <c r="BB660" i="2"/>
  <c r="AY660" i="2"/>
  <c r="AZ660" i="2"/>
  <c r="BC660" i="2"/>
  <c r="AX660" i="2" l="1"/>
  <c r="AW660" i="2"/>
  <c r="AS661" i="2" s="1"/>
  <c r="AV661" i="2" l="1"/>
  <c r="AT661" i="2"/>
  <c r="AU661" i="2"/>
  <c r="BG661" i="2" l="1"/>
  <c r="BD661" i="2" s="1"/>
  <c r="BE661" i="2"/>
  <c r="AZ661" i="2" s="1"/>
  <c r="BF661" i="2"/>
  <c r="BB661" i="2"/>
  <c r="AX661" i="2" l="1"/>
  <c r="AT662" i="2" s="1"/>
  <c r="AY661" i="2"/>
  <c r="BA661" i="2"/>
  <c r="BC661" i="2"/>
  <c r="AV662" i="2" l="1"/>
  <c r="AW661" i="2"/>
  <c r="AS662" i="2" s="1"/>
  <c r="AU662" i="2" l="1"/>
  <c r="BG662" i="2"/>
  <c r="BE662" i="2" l="1"/>
  <c r="AZ662" i="2" s="1"/>
  <c r="BF662" i="2"/>
  <c r="BB662" i="2" s="1"/>
  <c r="BD662" i="2"/>
  <c r="AY662" i="2" l="1"/>
  <c r="BA662" i="2"/>
  <c r="AX662" i="2"/>
  <c r="AT663" i="2" s="1"/>
  <c r="BC662" i="2"/>
  <c r="AW662" i="2" l="1"/>
  <c r="AV663" i="2"/>
  <c r="AU663" i="2" l="1"/>
  <c r="AS663" i="2"/>
  <c r="BG663" i="2"/>
  <c r="BD663" i="2" s="1"/>
  <c r="BE663" i="2" l="1"/>
  <c r="AZ663" i="2" s="1"/>
  <c r="BF663" i="2"/>
  <c r="BB663" i="2" s="1"/>
  <c r="BC663" i="2"/>
  <c r="AX663" i="2" l="1"/>
  <c r="AT664" i="2" s="1"/>
  <c r="BA663" i="2"/>
  <c r="AY663" i="2"/>
  <c r="AV664" i="2"/>
  <c r="AW663" i="2" l="1"/>
  <c r="AU664" i="2" l="1"/>
  <c r="AS664" i="2"/>
  <c r="BE664" i="2"/>
  <c r="AY664" i="2" s="1"/>
  <c r="BF664" i="2"/>
  <c r="BA664" i="2" s="1"/>
  <c r="BG664" i="2" l="1"/>
  <c r="AZ664" i="2"/>
  <c r="BB664" i="2"/>
  <c r="BD664" i="2" l="1"/>
  <c r="AX664" i="2" s="1"/>
  <c r="AT665" i="2" s="1"/>
  <c r="BC664" i="2"/>
  <c r="AW664" i="2" s="1"/>
  <c r="AV665" i="2" l="1"/>
  <c r="AS665" i="2"/>
  <c r="AU665" i="2"/>
  <c r="BG665" i="2" l="1"/>
  <c r="BE665" i="2"/>
  <c r="BF665" i="2"/>
  <c r="AY665" i="2"/>
  <c r="AZ665" i="2"/>
  <c r="BB665" i="2" l="1"/>
  <c r="BA665" i="2"/>
  <c r="BC665" i="2"/>
  <c r="BD665" i="2"/>
  <c r="AX665" i="2" s="1"/>
  <c r="AT666" i="2" s="1"/>
  <c r="AW665" i="2" l="1"/>
  <c r="AS666" i="2"/>
  <c r="AU666" i="2"/>
  <c r="AV666" i="2"/>
  <c r="BE666" i="2" l="1"/>
  <c r="BF666" i="2"/>
  <c r="BB666" i="2" s="1"/>
  <c r="BA666" i="2"/>
  <c r="BG666" i="2"/>
  <c r="BC666" i="2" s="1"/>
  <c r="AZ666" i="2" l="1"/>
  <c r="AY666" i="2"/>
  <c r="AW666" i="2" s="1"/>
  <c r="AS667" i="2" s="1"/>
  <c r="BD666" i="2"/>
  <c r="AU667" i="2"/>
  <c r="AX666" i="2" l="1"/>
  <c r="AT667" i="2" s="1"/>
  <c r="AV667" i="2" l="1"/>
  <c r="BF667" i="2" l="1"/>
  <c r="BA667" i="2" s="1"/>
  <c r="BE667" i="2"/>
  <c r="AY667" i="2" s="1"/>
  <c r="BG667" i="2"/>
  <c r="BB667" i="2"/>
  <c r="AZ667" i="2"/>
  <c r="BD667" i="2" l="1"/>
  <c r="AX667" i="2" s="1"/>
  <c r="AT668" i="2" s="1"/>
  <c r="BC667" i="2"/>
  <c r="AW667" i="2" s="1"/>
  <c r="AV668" i="2" l="1"/>
  <c r="AS668" i="2"/>
  <c r="AU668" i="2"/>
  <c r="BF668" i="2" l="1"/>
  <c r="BA668" i="2" s="1"/>
  <c r="BE668" i="2"/>
  <c r="AY668" i="2" s="1"/>
  <c r="BG668" i="2"/>
  <c r="BC668" i="2" s="1"/>
  <c r="BB668" i="2"/>
  <c r="AZ668" i="2"/>
  <c r="AW668" i="2" l="1"/>
  <c r="BD668" i="2"/>
  <c r="AX668" i="2" s="1"/>
  <c r="AT669" i="2" s="1"/>
  <c r="AV669" i="2" l="1"/>
  <c r="AU669" i="2"/>
  <c r="AS669" i="2"/>
  <c r="BG669" i="2" l="1"/>
  <c r="BC669" i="2" s="1"/>
  <c r="BF669" i="2"/>
  <c r="BA669" i="2" s="1"/>
  <c r="BE669" i="2"/>
  <c r="AY669" i="2" s="1"/>
  <c r="BD669" i="2"/>
  <c r="AZ669" i="2"/>
  <c r="BB669" i="2"/>
  <c r="AW669" i="2" l="1"/>
  <c r="AS670" i="2"/>
  <c r="AU670" i="2"/>
  <c r="AX669" i="2"/>
  <c r="AT670" i="2" s="1"/>
  <c r="AV670" i="2" l="1"/>
  <c r="BG670" i="2" l="1"/>
  <c r="BC670" i="2" s="1"/>
  <c r="BE670" i="2"/>
  <c r="BD670" i="2"/>
  <c r="BF670" i="2"/>
  <c r="AY670" i="2" l="1"/>
  <c r="AZ670" i="2"/>
  <c r="BB670" i="2"/>
  <c r="BA670" i="2"/>
  <c r="AW670" i="2" s="1"/>
  <c r="AS671" i="2" l="1"/>
  <c r="AU671" i="2"/>
  <c r="AX670" i="2"/>
  <c r="AT671" i="2" s="1"/>
  <c r="AV671" i="2" l="1"/>
  <c r="BE671" i="2"/>
  <c r="AY671" i="2" s="1"/>
  <c r="BF671" i="2"/>
  <c r="BA671" i="2" s="1"/>
  <c r="BG671" i="2"/>
  <c r="BD671" i="2" l="1"/>
  <c r="BC671" i="2"/>
  <c r="AW671" i="2" s="1"/>
  <c r="BB671" i="2"/>
  <c r="AZ671" i="2"/>
  <c r="AX671" i="2" l="1"/>
  <c r="AT672" i="2" s="1"/>
  <c r="AS672" i="2"/>
  <c r="AU672" i="2"/>
  <c r="AV672" i="2"/>
  <c r="BG672" i="2" l="1"/>
  <c r="BC672" i="2" s="1"/>
  <c r="BF672" i="2"/>
  <c r="BB672" i="2" s="1"/>
  <c r="BE672" i="2"/>
  <c r="BA672" i="2" l="1"/>
  <c r="AZ672" i="2"/>
  <c r="AY672" i="2"/>
  <c r="AW672" i="2" s="1"/>
  <c r="BD672" i="2"/>
  <c r="AS673" i="2" l="1"/>
  <c r="AU673" i="2"/>
  <c r="AX672" i="2"/>
  <c r="AT673" i="2" s="1"/>
  <c r="AV673" i="2" l="1"/>
  <c r="BG673" i="2"/>
  <c r="BF673" i="2"/>
  <c r="BA673" i="2" s="1"/>
  <c r="BE673" i="2"/>
  <c r="AY673" i="2" s="1"/>
  <c r="BD673" i="2" l="1"/>
  <c r="BC673" i="2"/>
  <c r="AW673" i="2" s="1"/>
  <c r="BB673" i="2"/>
  <c r="AZ673" i="2"/>
  <c r="AX673" i="2" l="1"/>
  <c r="AT674" i="2" s="1"/>
  <c r="AS674" i="2"/>
  <c r="AU674" i="2"/>
  <c r="AV674" i="2"/>
  <c r="BF674" i="2" l="1"/>
  <c r="BA674" i="2" s="1"/>
  <c r="BE674" i="2"/>
  <c r="BG674" i="2"/>
  <c r="BC674" i="2" l="1"/>
  <c r="BD674" i="2"/>
  <c r="AY674" i="2"/>
  <c r="AW674" i="2" s="1"/>
  <c r="AZ674" i="2"/>
  <c r="BB674" i="2"/>
  <c r="AS675" i="2" l="1"/>
  <c r="AU675" i="2"/>
  <c r="AX674" i="2"/>
  <c r="AT675" i="2" s="1"/>
  <c r="AV675" i="2" l="1"/>
  <c r="BF675" i="2"/>
  <c r="BA675" i="2" s="1"/>
  <c r="BG675" i="2"/>
  <c r="BC675" i="2" s="1"/>
  <c r="BE675" i="2" l="1"/>
  <c r="AY675" i="2" s="1"/>
  <c r="AW675" i="2" s="1"/>
  <c r="BD675" i="2"/>
  <c r="AZ675" i="2"/>
  <c r="BB675" i="2"/>
  <c r="AX675" i="2" l="1"/>
  <c r="AT676" i="2" s="1"/>
  <c r="AS676" i="2"/>
  <c r="AU676" i="2"/>
  <c r="AV676" i="2" l="1"/>
  <c r="BE676" i="2" l="1"/>
  <c r="BG676" i="2"/>
  <c r="BF676" i="2"/>
  <c r="BA676" i="2" l="1"/>
  <c r="BB676" i="2"/>
  <c r="BC676" i="2"/>
  <c r="BD676" i="2"/>
  <c r="AY676" i="2"/>
  <c r="AW676" i="2" s="1"/>
  <c r="AZ676" i="2"/>
  <c r="AX676" i="2" s="1"/>
  <c r="AT677" i="2" s="1"/>
  <c r="AV677" i="2" l="1"/>
  <c r="AU677" i="2"/>
  <c r="AS677" i="2"/>
  <c r="BE677" i="2" s="1"/>
  <c r="BF677" i="2"/>
  <c r="BA677" i="2" s="1"/>
  <c r="BG677" i="2" l="1"/>
  <c r="BD677" i="2" s="1"/>
  <c r="BC677" i="2"/>
  <c r="AZ677" i="2"/>
  <c r="AY677" i="2"/>
  <c r="AW677" i="2" s="1"/>
  <c r="AS678" i="2" s="1"/>
  <c r="BB677" i="2"/>
  <c r="AU678" i="2" l="1"/>
  <c r="AX677" i="2"/>
  <c r="AT678" i="2" s="1"/>
  <c r="AV678" i="2" l="1"/>
  <c r="BE678" i="2"/>
  <c r="AY678" i="2" s="1"/>
  <c r="BG678" i="2" l="1"/>
  <c r="BD678" i="2" s="1"/>
  <c r="BF678" i="2"/>
  <c r="BB678" i="2" s="1"/>
  <c r="AZ678" i="2"/>
  <c r="BA678" i="2" l="1"/>
  <c r="BC678" i="2"/>
  <c r="AW678" i="2" s="1"/>
  <c r="AS679" i="2" s="1"/>
  <c r="AX678" i="2"/>
  <c r="AT679" i="2" s="1"/>
  <c r="AU679" i="2" l="1"/>
  <c r="BE679" i="2"/>
  <c r="AV679" i="2"/>
  <c r="BF679" i="2" l="1"/>
  <c r="BB679" i="2" s="1"/>
  <c r="BG679" i="2"/>
  <c r="BD679" i="2" s="1"/>
  <c r="AY679" i="2"/>
  <c r="AZ679" i="2"/>
  <c r="BC679" i="2"/>
  <c r="BA679" i="2" l="1"/>
  <c r="AW679" i="2" s="1"/>
  <c r="AS680" i="2" s="1"/>
  <c r="AX679" i="2"/>
  <c r="AV680" i="2" l="1"/>
  <c r="AT680" i="2"/>
  <c r="AU680" i="2"/>
  <c r="BG680" i="2" l="1"/>
  <c r="BE680" i="2"/>
  <c r="AZ680" i="2" s="1"/>
  <c r="BF680" i="2"/>
  <c r="BD680" i="2"/>
  <c r="BA680" i="2" l="1"/>
  <c r="BB680" i="2"/>
  <c r="AX680" i="2" s="1"/>
  <c r="AT681" i="2" s="1"/>
  <c r="BC680" i="2"/>
  <c r="AY680" i="2"/>
  <c r="AW680" i="2" l="1"/>
  <c r="AV681" i="2"/>
  <c r="AU681" i="2" l="1"/>
  <c r="AS681" i="2"/>
  <c r="BG681" i="2"/>
  <c r="BC681" i="2" l="1"/>
  <c r="BF681" i="2"/>
  <c r="BB681" i="2" s="1"/>
  <c r="BE681" i="2"/>
  <c r="BD681" i="2"/>
  <c r="BA681" i="2" l="1"/>
  <c r="AZ681" i="2"/>
  <c r="AX681" i="2" s="1"/>
  <c r="AT682" i="2" s="1"/>
  <c r="AY681" i="2"/>
  <c r="AW681" i="2" s="1"/>
  <c r="AU682" i="2" l="1"/>
  <c r="AS682" i="2"/>
  <c r="BG682" i="2"/>
  <c r="AV682" i="2"/>
  <c r="BE682" i="2" l="1"/>
  <c r="AY682" i="2" s="1"/>
  <c r="BD682" i="2"/>
  <c r="BF682" i="2"/>
  <c r="BA682" i="2" s="1"/>
  <c r="BB682" i="2"/>
  <c r="BC682" i="2"/>
  <c r="AZ682" i="2" l="1"/>
  <c r="AX682" i="2" s="1"/>
  <c r="AT683" i="2" s="1"/>
  <c r="AW682" i="2"/>
  <c r="AS683" i="2" s="1"/>
  <c r="AV683" i="2" l="1"/>
  <c r="BG683" i="2"/>
  <c r="AU683" i="2"/>
  <c r="BE683" i="2" l="1"/>
  <c r="BF683" i="2"/>
  <c r="BD683" i="2"/>
  <c r="BA683" i="2" l="1"/>
  <c r="BB683" i="2"/>
  <c r="AY683" i="2"/>
  <c r="AZ683" i="2"/>
  <c r="BC683" i="2"/>
  <c r="AX683" i="2" l="1"/>
  <c r="AT684" i="2" s="1"/>
  <c r="AW683" i="2"/>
  <c r="AS684" i="2" s="1"/>
  <c r="AV684" i="2" l="1"/>
  <c r="AU684" i="2"/>
  <c r="BG684" i="2"/>
  <c r="BE684" i="2" l="1"/>
  <c r="BF684" i="2"/>
  <c r="BD684" i="2"/>
  <c r="AY684" i="2" l="1"/>
  <c r="AZ684" i="2"/>
  <c r="BA684" i="2"/>
  <c r="BB684" i="2"/>
  <c r="BC684" i="2"/>
  <c r="AX684" i="2" l="1"/>
  <c r="AT685" i="2" s="1"/>
  <c r="AW684" i="2"/>
  <c r="AS685" i="2" s="1"/>
  <c r="AU685" i="2" l="1"/>
  <c r="AV685" i="2"/>
  <c r="BG685" i="2" l="1"/>
  <c r="BC685" i="2" s="1"/>
  <c r="BF685" i="2"/>
  <c r="BE685" i="2"/>
  <c r="AZ685" i="2" s="1"/>
  <c r="BA685" i="2"/>
  <c r="AY685" i="2"/>
  <c r="BD685" i="2" l="1"/>
  <c r="AW685" i="2"/>
  <c r="AS686" i="2" s="1"/>
  <c r="BB685" i="2"/>
  <c r="AX685" i="2" l="1"/>
  <c r="AU686" i="2"/>
  <c r="AV686" i="2" l="1"/>
  <c r="AT686" i="2"/>
  <c r="BG686" i="2"/>
  <c r="BC686" i="2" s="1"/>
  <c r="BF686" i="2" l="1"/>
  <c r="BA686" i="2" s="1"/>
  <c r="BE686" i="2"/>
  <c r="AY686" i="2" s="1"/>
  <c r="AW686" i="2" s="1"/>
  <c r="AS687" i="2" s="1"/>
  <c r="BB686" i="2"/>
  <c r="BD686" i="2"/>
  <c r="AZ686" i="2" l="1"/>
  <c r="AX686" i="2" s="1"/>
  <c r="AU687" i="2"/>
  <c r="AV687" i="2" l="1"/>
  <c r="AT687" i="2"/>
  <c r="BG687" i="2"/>
  <c r="BC687" i="2" s="1"/>
  <c r="BE687" i="2" l="1"/>
  <c r="AY687" i="2" s="1"/>
  <c r="BF687" i="2"/>
  <c r="BA687" i="2" s="1"/>
  <c r="AW687" i="2" s="1"/>
  <c r="AS688" i="2" s="1"/>
  <c r="BD687" i="2"/>
  <c r="BB687" i="2" l="1"/>
  <c r="AZ687" i="2"/>
  <c r="AX687" i="2" s="1"/>
  <c r="AT688" i="2" s="1"/>
  <c r="AU688" i="2"/>
  <c r="AV688" i="2" l="1"/>
  <c r="BG688" i="2"/>
  <c r="BD688" i="2" s="1"/>
  <c r="BE688" i="2"/>
  <c r="AY688" i="2" s="1"/>
  <c r="BF688" i="2"/>
  <c r="AZ688" i="2" l="1"/>
  <c r="BC688" i="2"/>
  <c r="BA688" i="2"/>
  <c r="BB688" i="2"/>
  <c r="AW688" i="2" l="1"/>
  <c r="AS689" i="2" s="1"/>
  <c r="AX688" i="2"/>
  <c r="AT689" i="2" s="1"/>
  <c r="AU689" i="2"/>
  <c r="AV689" i="2" l="1"/>
  <c r="BG689" i="2"/>
  <c r="BF689" i="2"/>
  <c r="BE689" i="2"/>
  <c r="AY689" i="2" s="1"/>
  <c r="BA689" i="2"/>
  <c r="BC689" i="2"/>
  <c r="AZ689" i="2"/>
  <c r="BB689" i="2"/>
  <c r="BD689" i="2" l="1"/>
  <c r="AX689" i="2" s="1"/>
  <c r="AT690" i="2" s="1"/>
  <c r="AW689" i="2"/>
  <c r="AS690" i="2" s="1"/>
  <c r="AU690" i="2" l="1"/>
  <c r="AV690" i="2"/>
  <c r="BG690" i="2" l="1"/>
  <c r="BD690" i="2" s="1"/>
  <c r="BF690" i="2"/>
  <c r="BA690" i="2" s="1"/>
  <c r="BE690" i="2"/>
  <c r="AZ690" i="2"/>
  <c r="AY690" i="2"/>
  <c r="BC690" i="2" l="1"/>
  <c r="AW690" i="2" s="1"/>
  <c r="AS691" i="2" s="1"/>
  <c r="BB690" i="2"/>
  <c r="AX690" i="2" s="1"/>
  <c r="AT691" i="2" s="1"/>
  <c r="AV691" i="2" l="1"/>
  <c r="AU691" i="2"/>
  <c r="BG691" i="2"/>
  <c r="BE691" i="2" l="1"/>
  <c r="AY691" i="2" s="1"/>
  <c r="BF691" i="2"/>
  <c r="BA691" i="2" s="1"/>
  <c r="BC691" i="2"/>
  <c r="BB691" i="2" l="1"/>
  <c r="AZ691" i="2"/>
  <c r="BD691" i="2"/>
  <c r="AW691" i="2"/>
  <c r="AS692" i="2" s="1"/>
  <c r="AX691" i="2" l="1"/>
  <c r="AU692" i="2"/>
  <c r="AV692" i="2" l="1"/>
  <c r="AT692" i="2"/>
  <c r="BG692" i="2"/>
  <c r="BD692" i="2" s="1"/>
  <c r="BF692" i="2"/>
  <c r="BA692" i="2" s="1"/>
  <c r="BE692" i="2" l="1"/>
  <c r="AZ692" i="2" s="1"/>
  <c r="BC692" i="2"/>
  <c r="BB692" i="2"/>
  <c r="AX692" i="2" l="1"/>
  <c r="AT693" i="2" s="1"/>
  <c r="AY692" i="2"/>
  <c r="AW692" i="2" s="1"/>
  <c r="AS693" i="2" s="1"/>
  <c r="AV693" i="2"/>
  <c r="AU693" i="2" l="1"/>
  <c r="BG693" i="2"/>
  <c r="BE693" i="2" l="1"/>
  <c r="BF693" i="2"/>
  <c r="BD693" i="2"/>
  <c r="BA693" i="2" l="1"/>
  <c r="BB693" i="2"/>
  <c r="AY693" i="2"/>
  <c r="AZ693" i="2"/>
  <c r="BC693" i="2"/>
  <c r="AX693" i="2" l="1"/>
  <c r="AT694" i="2" s="1"/>
  <c r="AV694" i="2"/>
  <c r="AW693" i="2"/>
  <c r="AS694" i="2" s="1"/>
  <c r="BG694" i="2" l="1"/>
  <c r="AU694" i="2"/>
  <c r="BE694" i="2" l="1"/>
  <c r="AZ694" i="2" s="1"/>
  <c r="BF694" i="2"/>
  <c r="BD694" i="2"/>
  <c r="AY694" i="2"/>
  <c r="BA694" i="2" l="1"/>
  <c r="BB694" i="2"/>
  <c r="AX694" i="2" s="1"/>
  <c r="AT695" i="2" s="1"/>
  <c r="BC694" i="2"/>
  <c r="AW694" i="2" l="1"/>
  <c r="AS695" i="2" s="1"/>
  <c r="AV695" i="2"/>
  <c r="AU695" i="2"/>
  <c r="BG695" i="2"/>
  <c r="BE695" i="2" l="1"/>
  <c r="BF695" i="2"/>
  <c r="AY695" i="2"/>
  <c r="BC695" i="2"/>
  <c r="BA695" i="2"/>
  <c r="AZ695" i="2"/>
  <c r="BB695" i="2"/>
  <c r="BD695" i="2" l="1"/>
  <c r="AX695" i="2" s="1"/>
  <c r="AT696" i="2" s="1"/>
  <c r="AW695" i="2"/>
  <c r="AS696" i="2" s="1"/>
  <c r="AU696" i="2" l="1"/>
  <c r="AV696" i="2"/>
  <c r="BG696" i="2" l="1"/>
  <c r="BD696" i="2" s="1"/>
  <c r="BF696" i="2"/>
  <c r="BE696" i="2"/>
  <c r="AY696" i="2" s="1"/>
  <c r="BA696" i="2"/>
  <c r="BC696" i="2" l="1"/>
  <c r="AW696" i="2" s="1"/>
  <c r="AS697" i="2" s="1"/>
  <c r="BB696" i="2"/>
  <c r="AZ696" i="2"/>
  <c r="AX696" i="2" l="1"/>
  <c r="AT697" i="2" s="1"/>
  <c r="AU697" i="2"/>
  <c r="AV697" i="2"/>
  <c r="BG697" i="2" l="1"/>
  <c r="BF697" i="2"/>
  <c r="BA697" i="2" s="1"/>
  <c r="BE697" i="2"/>
  <c r="AY697" i="2" s="1"/>
  <c r="BC697" i="2"/>
  <c r="BB697" i="2"/>
  <c r="BD697" i="2" l="1"/>
  <c r="AW697" i="2"/>
  <c r="AS698" i="2" s="1"/>
  <c r="AZ697" i="2"/>
  <c r="AX697" i="2" s="1"/>
  <c r="AT698" i="2" s="1"/>
  <c r="AV698" i="2" l="1"/>
  <c r="BG698" i="2"/>
  <c r="AU698" i="2"/>
  <c r="BE698" i="2" l="1"/>
  <c r="BF698" i="2"/>
  <c r="BD698" i="2"/>
  <c r="AZ698" i="2"/>
  <c r="BB698" i="2"/>
  <c r="BA698" i="2"/>
  <c r="AY698" i="2"/>
  <c r="AX698" i="2" l="1"/>
  <c r="AT699" i="2" s="1"/>
  <c r="BC698" i="2"/>
  <c r="AW698" i="2" s="1"/>
  <c r="AS699" i="2" s="1"/>
  <c r="AU699" i="2" l="1"/>
  <c r="AV699" i="2"/>
  <c r="BG699" i="2" l="1"/>
  <c r="BF699" i="2"/>
  <c r="BE699" i="2"/>
  <c r="BD699" i="2"/>
  <c r="BA699" i="2"/>
  <c r="AZ699" i="2"/>
  <c r="AY699" i="2"/>
  <c r="BB699" i="2" l="1"/>
  <c r="AX699" i="2" s="1"/>
  <c r="AT700" i="2" s="1"/>
  <c r="BC699" i="2"/>
  <c r="AW699" i="2" s="1"/>
  <c r="AS700" i="2" s="1"/>
  <c r="AU700" i="2" l="1"/>
  <c r="AV700" i="2"/>
  <c r="BG700" i="2" l="1"/>
  <c r="BD700" i="2" s="1"/>
  <c r="BF700" i="2"/>
  <c r="BB700" i="2" s="1"/>
  <c r="BE700" i="2"/>
  <c r="AZ700" i="2" s="1"/>
  <c r="BA700" i="2" l="1"/>
  <c r="AX700" i="2"/>
  <c r="AT701" i="2" s="1"/>
  <c r="AY700" i="2"/>
  <c r="BC700" i="2"/>
  <c r="AV701" i="2" l="1"/>
  <c r="AW700" i="2"/>
  <c r="AS701" i="2" s="1"/>
  <c r="BG701" i="2" l="1"/>
  <c r="AU701" i="2"/>
  <c r="BE701" i="2" l="1"/>
  <c r="BF701" i="2"/>
  <c r="BB701" i="2" s="1"/>
  <c r="BD701" i="2"/>
  <c r="BA701" i="2" l="1"/>
  <c r="AY701" i="2"/>
  <c r="AZ701" i="2"/>
  <c r="AX701" i="2" s="1"/>
  <c r="AT702" i="2" s="1"/>
  <c r="BC701" i="2"/>
  <c r="AV702" i="2" l="1"/>
  <c r="AW701" i="2"/>
  <c r="AS702" i="2" s="1"/>
  <c r="AU702" i="2" l="1"/>
  <c r="BG702" i="2"/>
  <c r="BE702" i="2" l="1"/>
  <c r="BF702" i="2"/>
  <c r="AZ702" i="2"/>
  <c r="BD702" i="2"/>
  <c r="AY702" i="2"/>
  <c r="BA702" i="2" l="1"/>
  <c r="BB702" i="2"/>
  <c r="AX702" i="2" s="1"/>
  <c r="AT703" i="2" s="1"/>
  <c r="BC702" i="2"/>
  <c r="AW702" i="2" s="1"/>
  <c r="AS703" i="2" s="1"/>
  <c r="AU703" i="2" l="1"/>
  <c r="AV703" i="2"/>
  <c r="BG703" i="2" l="1"/>
  <c r="BF703" i="2"/>
  <c r="BE703" i="2"/>
  <c r="AY703" i="2" s="1"/>
  <c r="BA703" i="2"/>
  <c r="BD703" i="2"/>
  <c r="AZ703" i="2" l="1"/>
  <c r="BC703" i="2"/>
  <c r="AW703" i="2" s="1"/>
  <c r="AS704" i="2" s="1"/>
  <c r="BB703" i="2"/>
  <c r="AU704" i="2" l="1"/>
  <c r="AX703" i="2"/>
  <c r="AT704" i="2" s="1"/>
  <c r="BE704" i="2" l="1"/>
  <c r="AY704" i="2" s="1"/>
  <c r="AV704" i="2"/>
  <c r="BG704" i="2" l="1"/>
  <c r="BC704" i="2" s="1"/>
  <c r="BF704" i="2"/>
  <c r="BA704" i="2" s="1"/>
  <c r="AZ704" i="2"/>
  <c r="BB704" i="2"/>
  <c r="AW704" i="2" l="1"/>
  <c r="AS705" i="2" s="1"/>
  <c r="BD704" i="2"/>
  <c r="AX704" i="2" s="1"/>
  <c r="AT705" i="2" s="1"/>
  <c r="AU705" i="2" l="1"/>
  <c r="AV705" i="2"/>
  <c r="BE705" i="2"/>
  <c r="AY705" i="2" s="1"/>
  <c r="BG705" i="2" l="1"/>
  <c r="BC705" i="2" s="1"/>
  <c r="BF705" i="2"/>
  <c r="BA705" i="2" s="1"/>
  <c r="AZ705" i="2"/>
  <c r="BB705" i="2" l="1"/>
  <c r="BD705" i="2"/>
  <c r="AX705" i="2" s="1"/>
  <c r="AT706" i="2" s="1"/>
  <c r="AW705" i="2"/>
  <c r="AU706" i="2" l="1"/>
  <c r="AS706" i="2"/>
  <c r="AV706" i="2"/>
  <c r="BE706" i="2"/>
  <c r="BG706" i="2" l="1"/>
  <c r="BC706" i="2" s="1"/>
  <c r="BF706" i="2"/>
  <c r="BA706" i="2" s="1"/>
  <c r="AY706" i="2"/>
  <c r="BD706" i="2" l="1"/>
  <c r="BB706" i="2"/>
  <c r="AW706" i="2"/>
  <c r="AS707" i="2" s="1"/>
  <c r="AZ706" i="2"/>
  <c r="AU707" i="2" l="1"/>
  <c r="AX706" i="2"/>
  <c r="AT707" i="2" s="1"/>
  <c r="BE707" i="2" l="1"/>
  <c r="AY707" i="2" s="1"/>
  <c r="AV707" i="2"/>
  <c r="BG707" i="2" l="1"/>
  <c r="BC707" i="2" s="1"/>
  <c r="BF707" i="2"/>
  <c r="BA707" i="2" s="1"/>
  <c r="AZ707" i="2"/>
  <c r="BB707" i="2" l="1"/>
  <c r="BD707" i="2"/>
  <c r="AW707" i="2"/>
  <c r="AU708" i="2" l="1"/>
  <c r="AS708" i="2"/>
  <c r="AX707" i="2"/>
  <c r="AV708" i="2" l="1"/>
  <c r="AT708" i="2"/>
  <c r="BG708" i="2"/>
  <c r="BC708" i="2" s="1"/>
  <c r="BF708" i="2"/>
  <c r="BA708" i="2" s="1"/>
  <c r="BE708" i="2" l="1"/>
  <c r="AY708" i="2" s="1"/>
  <c r="BD708" i="2"/>
  <c r="AW708" i="2"/>
  <c r="AS709" i="2" s="1"/>
  <c r="BB708" i="2"/>
  <c r="AZ708" i="2"/>
  <c r="AX708" i="2" l="1"/>
  <c r="AU709" i="2"/>
  <c r="AV709" i="2" l="1"/>
  <c r="AT709" i="2"/>
  <c r="BG709" i="2"/>
  <c r="BC709" i="2" s="1"/>
  <c r="BF709" i="2" l="1"/>
  <c r="BA709" i="2" s="1"/>
  <c r="BE709" i="2"/>
  <c r="BD709" i="2"/>
  <c r="AZ709" i="2" l="1"/>
  <c r="AY709" i="2"/>
  <c r="AW709" i="2" s="1"/>
  <c r="BB709" i="2"/>
  <c r="AX709" i="2" s="1"/>
  <c r="AT710" i="2" s="1"/>
  <c r="AU710" i="2" l="1"/>
  <c r="AS710" i="2"/>
  <c r="AV710" i="2"/>
  <c r="BE710" i="2" l="1"/>
  <c r="AZ710" i="2" s="1"/>
  <c r="BG710" i="2"/>
  <c r="BD710" i="2" s="1"/>
  <c r="AY710" i="2"/>
  <c r="BF710" i="2"/>
  <c r="BA710" i="2" s="1"/>
  <c r="BB710" i="2" l="1"/>
  <c r="BC710" i="2"/>
  <c r="AW710" i="2" s="1"/>
  <c r="AS711" i="2" s="1"/>
  <c r="AX710" i="2"/>
  <c r="AT711" i="2" s="1"/>
  <c r="AV711" i="2"/>
  <c r="AU711" i="2" l="1"/>
  <c r="BG711" i="2"/>
  <c r="BF711" i="2"/>
  <c r="BE711" i="2"/>
  <c r="BD711" i="2"/>
  <c r="BB711" i="2"/>
  <c r="AZ711" i="2"/>
  <c r="BA711" i="2" l="1"/>
  <c r="AX711" i="2"/>
  <c r="AT712" i="2" s="1"/>
  <c r="AY711" i="2"/>
  <c r="BC711" i="2"/>
  <c r="AW711" i="2" l="1"/>
  <c r="AS712" i="2" s="1"/>
  <c r="AV712" i="2"/>
  <c r="AU712" i="2" l="1"/>
  <c r="BG712" i="2"/>
  <c r="BE712" i="2" l="1"/>
  <c r="BF712" i="2"/>
  <c r="AZ712" i="2"/>
  <c r="BD712" i="2"/>
  <c r="AY712" i="2"/>
  <c r="BA712" i="2" l="1"/>
  <c r="BB712" i="2"/>
  <c r="AX712" i="2" s="1"/>
  <c r="AT713" i="2" s="1"/>
  <c r="BC712" i="2"/>
  <c r="AW712" i="2" s="1"/>
  <c r="AS713" i="2" s="1"/>
  <c r="AU713" i="2" l="1"/>
  <c r="AV713" i="2"/>
  <c r="BG713" i="2" l="1"/>
  <c r="BF713" i="2"/>
  <c r="BE713" i="2"/>
  <c r="AZ713" i="2" s="1"/>
  <c r="BA713" i="2"/>
  <c r="BC713" i="2"/>
  <c r="BD713" i="2" l="1"/>
  <c r="AY713" i="2"/>
  <c r="AW713" i="2" s="1"/>
  <c r="AS714" i="2" s="1"/>
  <c r="BB713" i="2"/>
  <c r="AX713" i="2" l="1"/>
  <c r="AT714" i="2" s="1"/>
  <c r="AU714" i="2"/>
  <c r="BE714" i="2" l="1"/>
  <c r="AV714" i="2"/>
  <c r="BG714" i="2" l="1"/>
  <c r="BF714" i="2"/>
  <c r="BA714" i="2" s="1"/>
  <c r="BC714" i="2"/>
  <c r="BB714" i="2" l="1"/>
  <c r="BD714" i="2"/>
  <c r="AZ714" i="2"/>
  <c r="AY714" i="2"/>
  <c r="AW714" i="2" s="1"/>
  <c r="AS715" i="2" s="1"/>
  <c r="AX714" i="2" l="1"/>
  <c r="AT715" i="2" s="1"/>
  <c r="AV715" i="2"/>
  <c r="AU715" i="2"/>
  <c r="BG715" i="2" l="1"/>
  <c r="BC715" i="2" s="1"/>
  <c r="BE715" i="2"/>
  <c r="AZ715" i="2" s="1"/>
  <c r="BF715" i="2"/>
  <c r="BB715" i="2"/>
  <c r="AY715" i="2" l="1"/>
  <c r="BA715" i="2"/>
  <c r="BD715" i="2"/>
  <c r="AX715" i="2" s="1"/>
  <c r="AT716" i="2" s="1"/>
  <c r="AW715" i="2"/>
  <c r="AS716" i="2" s="1"/>
  <c r="AV716" i="2" l="1"/>
  <c r="AU716" i="2"/>
  <c r="BG716" i="2"/>
  <c r="BE716" i="2" l="1"/>
  <c r="AY716" i="2" s="1"/>
  <c r="BF716" i="2"/>
  <c r="BA716" i="2" s="1"/>
  <c r="BC716" i="2"/>
  <c r="AZ716" i="2" l="1"/>
  <c r="BB716" i="2"/>
  <c r="BD716" i="2"/>
  <c r="AW716" i="2"/>
  <c r="AS717" i="2" s="1"/>
  <c r="AX716" i="2" l="1"/>
  <c r="AU717" i="2"/>
  <c r="AV717" i="2" l="1"/>
  <c r="AT717" i="2"/>
  <c r="BG717" i="2"/>
  <c r="BD717" i="2" s="1"/>
  <c r="BF717" i="2"/>
  <c r="BA717" i="2" s="1"/>
  <c r="BE717" i="2" l="1"/>
  <c r="AY717" i="2" s="1"/>
  <c r="BC717" i="2"/>
  <c r="BB717" i="2"/>
  <c r="AZ717" i="2" l="1"/>
  <c r="AW717" i="2"/>
  <c r="AX717" i="2"/>
  <c r="AT718" i="2" s="1"/>
  <c r="AV718" i="2"/>
  <c r="AU718" i="2" l="1"/>
  <c r="AS718" i="2"/>
  <c r="BG718" i="2" s="1"/>
  <c r="BC718" i="2" s="1"/>
  <c r="BE718" i="2" l="1"/>
  <c r="BF718" i="2"/>
  <c r="BD718" i="2"/>
  <c r="BA718" i="2" l="1"/>
  <c r="BB718" i="2"/>
  <c r="AY718" i="2"/>
  <c r="AW718" i="2" s="1"/>
  <c r="AS719" i="2" s="1"/>
  <c r="AZ718" i="2"/>
  <c r="AX718" i="2" s="1"/>
  <c r="AT719" i="2" s="1"/>
  <c r="AU719" i="2"/>
  <c r="AV719" i="2" l="1"/>
  <c r="BG719" i="2"/>
  <c r="BC719" i="2" s="1"/>
  <c r="BF719" i="2"/>
  <c r="BA719" i="2" s="1"/>
  <c r="BE719" i="2"/>
  <c r="AY719" i="2" s="1"/>
  <c r="BB719" i="2"/>
  <c r="AZ719" i="2"/>
  <c r="BD719" i="2" l="1"/>
  <c r="AX719" i="2" s="1"/>
  <c r="AT720" i="2" s="1"/>
  <c r="AW719" i="2"/>
  <c r="AS720" i="2" s="1"/>
  <c r="AV720" i="2" l="1"/>
  <c r="BG720" i="2"/>
  <c r="AU720" i="2"/>
  <c r="BE720" i="2" l="1"/>
  <c r="BF720" i="2"/>
  <c r="BD720" i="2"/>
  <c r="BA720" i="2" l="1"/>
  <c r="BB720" i="2"/>
  <c r="AY720" i="2"/>
  <c r="AZ720" i="2"/>
  <c r="BC720" i="2"/>
  <c r="AX720" i="2" l="1"/>
  <c r="AW720" i="2"/>
  <c r="AS721" i="2" s="1"/>
  <c r="AV721" i="2" l="1"/>
  <c r="AT721" i="2"/>
  <c r="AU721" i="2"/>
  <c r="BG721" i="2"/>
  <c r="BE721" i="2" l="1"/>
  <c r="BF721" i="2"/>
  <c r="AZ721" i="2"/>
  <c r="BD721" i="2"/>
  <c r="AY721" i="2"/>
  <c r="BA721" i="2" l="1"/>
  <c r="BB721" i="2"/>
  <c r="AX721" i="2" s="1"/>
  <c r="AT722" i="2" s="1"/>
  <c r="BC721" i="2"/>
  <c r="AW721" i="2" l="1"/>
  <c r="AS722" i="2" s="1"/>
  <c r="AV722" i="2"/>
  <c r="AU722" i="2"/>
  <c r="BG722" i="2"/>
  <c r="BE722" i="2" l="1"/>
  <c r="BF722" i="2"/>
  <c r="BD722" i="2"/>
  <c r="BA722" i="2"/>
  <c r="AY722" i="2"/>
  <c r="BB722" i="2"/>
  <c r="AZ722" i="2"/>
  <c r="AX722" i="2" l="1"/>
  <c r="AT723" i="2" s="1"/>
  <c r="BC722" i="2"/>
  <c r="AW722" i="2" s="1"/>
  <c r="AS723" i="2" s="1"/>
  <c r="AU723" i="2" l="1"/>
  <c r="AV723" i="2"/>
  <c r="BG723" i="2" l="1"/>
  <c r="BD723" i="2" s="1"/>
  <c r="BF723" i="2"/>
  <c r="BE723" i="2"/>
  <c r="AZ723" i="2" s="1"/>
  <c r="BB723" i="2"/>
  <c r="BA723" i="2"/>
  <c r="AY723" i="2"/>
  <c r="AX723" i="2" l="1"/>
  <c r="AT724" i="2" s="1"/>
  <c r="BC723" i="2"/>
  <c r="AW723" i="2" s="1"/>
  <c r="AS724" i="2" s="1"/>
  <c r="AU724" i="2" l="1"/>
  <c r="AV724" i="2"/>
  <c r="BG724" i="2" l="1"/>
  <c r="BF724" i="2"/>
  <c r="BA724" i="2" s="1"/>
  <c r="BE724" i="2"/>
  <c r="AY724" i="2" s="1"/>
  <c r="BD724" i="2"/>
  <c r="BB724" i="2" l="1"/>
  <c r="BC724" i="2"/>
  <c r="AW724" i="2" s="1"/>
  <c r="AS725" i="2" s="1"/>
  <c r="AZ724" i="2"/>
  <c r="AX724" i="2" s="1"/>
  <c r="AT725" i="2" s="1"/>
  <c r="AU725" i="2" l="1"/>
  <c r="AV725" i="2"/>
  <c r="BG725" i="2" l="1"/>
  <c r="BC725" i="2" s="1"/>
  <c r="BF725" i="2"/>
  <c r="BA725" i="2" s="1"/>
  <c r="BE725" i="2"/>
  <c r="AY725" i="2" s="1"/>
  <c r="BB725" i="2"/>
  <c r="AZ725" i="2" l="1"/>
  <c r="BD725" i="2"/>
  <c r="AX725" i="2" s="1"/>
  <c r="AT726" i="2" s="1"/>
  <c r="AW725" i="2"/>
  <c r="AS726" i="2" s="1"/>
  <c r="AU726" i="2" l="1"/>
  <c r="AV726" i="2"/>
  <c r="BG726" i="2" l="1"/>
  <c r="BD726" i="2" s="1"/>
  <c r="BF726" i="2"/>
  <c r="BA726" i="2" s="1"/>
  <c r="BE726" i="2"/>
  <c r="AY726" i="2"/>
  <c r="BB726" i="2" l="1"/>
  <c r="BC726" i="2"/>
  <c r="AW726" i="2" s="1"/>
  <c r="AS727" i="2" s="1"/>
  <c r="AZ726" i="2"/>
  <c r="AX726" i="2" s="1"/>
  <c r="AT727" i="2" s="1"/>
  <c r="AU727" i="2" l="1"/>
  <c r="AV727" i="2"/>
  <c r="BG727" i="2" l="1"/>
  <c r="BC727" i="2" s="1"/>
  <c r="BF727" i="2"/>
  <c r="BA727" i="2" s="1"/>
  <c r="BE727" i="2"/>
  <c r="BD727" i="2"/>
  <c r="AY727" i="2"/>
  <c r="BB727" i="2"/>
  <c r="AW727" i="2" l="1"/>
  <c r="AS728" i="2" s="1"/>
  <c r="AZ727" i="2"/>
  <c r="AU728" i="2"/>
  <c r="AX727" i="2"/>
  <c r="AT728" i="2" s="1"/>
  <c r="BE728" i="2" l="1"/>
  <c r="AV728" i="2"/>
  <c r="BG728" i="2" l="1"/>
  <c r="BF728" i="2"/>
  <c r="BC728" i="2"/>
  <c r="AY728" i="2"/>
  <c r="BA728" i="2"/>
  <c r="AW728" i="2" l="1"/>
  <c r="AS729" i="2" s="1"/>
  <c r="BD728" i="2"/>
  <c r="AU729" i="2"/>
  <c r="BB728" i="2"/>
  <c r="AZ728" i="2"/>
  <c r="AX728" i="2" l="1"/>
  <c r="AT729" i="2" s="1"/>
  <c r="BG729" i="2" l="1"/>
  <c r="AV729" i="2"/>
  <c r="BE729" i="2" l="1"/>
  <c r="AY729" i="2" s="1"/>
  <c r="BF729" i="2"/>
  <c r="BC729" i="2"/>
  <c r="BA729" i="2"/>
  <c r="AW729" i="2" l="1"/>
  <c r="AS730" i="2" s="1"/>
  <c r="BD729" i="2"/>
  <c r="AU730" i="2"/>
  <c r="AZ729" i="2"/>
  <c r="BB729" i="2"/>
  <c r="AX729" i="2" l="1"/>
  <c r="AT730" i="2" s="1"/>
  <c r="AV730" i="2" l="1"/>
  <c r="BG730" i="2"/>
  <c r="BE730" i="2" l="1"/>
  <c r="AY730" i="2" s="1"/>
  <c r="BF730" i="2"/>
  <c r="BA730" i="2" s="1"/>
  <c r="BC730" i="2"/>
  <c r="BD730" i="2" l="1"/>
  <c r="AZ730" i="2"/>
  <c r="AW730" i="2"/>
  <c r="AS731" i="2" s="1"/>
  <c r="BB730" i="2"/>
  <c r="AU731" i="2" l="1"/>
  <c r="AX730" i="2"/>
  <c r="AT731" i="2" s="1"/>
  <c r="BE731" i="2" l="1"/>
  <c r="AY731" i="2" s="1"/>
  <c r="AV731" i="2"/>
  <c r="BG731" i="2" l="1"/>
  <c r="BF731" i="2"/>
  <c r="BA731" i="2" s="1"/>
  <c r="BD731" i="2"/>
  <c r="BC731" i="2"/>
  <c r="BB731" i="2"/>
  <c r="AZ731" i="2"/>
  <c r="AW731" i="2" l="1"/>
  <c r="AX731" i="2"/>
  <c r="AT732" i="2" s="1"/>
  <c r="AU732" i="2" l="1"/>
  <c r="AS732" i="2"/>
  <c r="AV732" i="2"/>
  <c r="BE732" i="2"/>
  <c r="BG732" i="2" l="1"/>
  <c r="BD732" i="2" s="1"/>
  <c r="BF732" i="2"/>
  <c r="BA732" i="2" s="1"/>
  <c r="AY732" i="2"/>
  <c r="AZ732" i="2"/>
  <c r="BC732" i="2"/>
  <c r="BB732" i="2" l="1"/>
  <c r="AX732" i="2"/>
  <c r="AW732" i="2"/>
  <c r="AS733" i="2" s="1"/>
  <c r="AV733" i="2" l="1"/>
  <c r="AT733" i="2"/>
  <c r="AU733" i="2"/>
  <c r="BG733" i="2"/>
  <c r="BE733" i="2" l="1"/>
  <c r="AZ733" i="2" s="1"/>
  <c r="BF733" i="2"/>
  <c r="BB733" i="2" s="1"/>
  <c r="BD733" i="2"/>
  <c r="AY733" i="2" l="1"/>
  <c r="BA733" i="2"/>
  <c r="AX733" i="2"/>
  <c r="AT734" i="2" s="1"/>
  <c r="BC733" i="2"/>
  <c r="AW733" i="2" l="1"/>
  <c r="AS734" i="2" s="1"/>
  <c r="AU734" i="2"/>
  <c r="AV734" i="2"/>
  <c r="BG734" i="2" l="1"/>
  <c r="BF734" i="2"/>
  <c r="BE734" i="2"/>
  <c r="BD734" i="2"/>
  <c r="BA734" i="2"/>
  <c r="AY734" i="2"/>
  <c r="BB734" i="2"/>
  <c r="AZ734" i="2"/>
  <c r="AX734" i="2" l="1"/>
  <c r="AT735" i="2" s="1"/>
  <c r="AV735" i="2"/>
  <c r="BC734" i="2"/>
  <c r="AW734" i="2" s="1"/>
  <c r="AS735" i="2" s="1"/>
  <c r="BG735" i="2" l="1"/>
  <c r="AU735" i="2"/>
  <c r="BE735" i="2" l="1"/>
  <c r="BF735" i="2"/>
  <c r="AZ735" i="2"/>
  <c r="BD735" i="2"/>
  <c r="AY735" i="2"/>
  <c r="BA735" i="2" l="1"/>
  <c r="BB735" i="2"/>
  <c r="AX735" i="2" s="1"/>
  <c r="AT736" i="2" s="1"/>
  <c r="BC735" i="2"/>
  <c r="AW735" i="2" l="1"/>
  <c r="AV736" i="2"/>
  <c r="AU736" i="2" l="1"/>
  <c r="AS736" i="2"/>
  <c r="BG736" i="2"/>
  <c r="BE736" i="2"/>
  <c r="BF736" i="2"/>
  <c r="BD736" i="2"/>
  <c r="AZ736" i="2"/>
  <c r="BA736" i="2"/>
  <c r="BB736" i="2"/>
  <c r="AX736" i="2" l="1"/>
  <c r="AY736" i="2"/>
  <c r="BC736" i="2"/>
  <c r="AV737" i="2" l="1"/>
  <c r="AT737" i="2"/>
  <c r="AW736" i="2"/>
  <c r="AU737" i="2" l="1"/>
  <c r="AS737" i="2"/>
  <c r="BG737" i="2"/>
  <c r="BE737" i="2"/>
  <c r="AZ737" i="2" s="1"/>
  <c r="BF737" i="2"/>
  <c r="BB737" i="2"/>
  <c r="BD737" i="2"/>
  <c r="AY737" i="2" l="1"/>
  <c r="AX737" i="2"/>
  <c r="AT738" i="2" s="1"/>
  <c r="BA737" i="2"/>
  <c r="BC737" i="2"/>
  <c r="AW737" i="2" l="1"/>
  <c r="AS738" i="2" s="1"/>
  <c r="AV738" i="2"/>
  <c r="AU738" i="2" l="1"/>
  <c r="BG738" i="2"/>
  <c r="BF738" i="2"/>
  <c r="BE738" i="2"/>
  <c r="AZ738" i="2" s="1"/>
  <c r="BD738" i="2"/>
  <c r="BB738" i="2"/>
  <c r="AY738" i="2" l="1"/>
  <c r="BA738" i="2"/>
  <c r="AX738" i="2"/>
  <c r="AT739" i="2" s="1"/>
  <c r="BC738" i="2"/>
  <c r="AW738" i="2" l="1"/>
  <c r="AV739" i="2"/>
  <c r="AU739" i="2" l="1"/>
  <c r="AS739" i="2"/>
  <c r="BG739" i="2"/>
  <c r="BF739" i="2"/>
  <c r="BE739" i="2"/>
  <c r="AZ739" i="2" s="1"/>
  <c r="BD739" i="2"/>
  <c r="BA739" i="2"/>
  <c r="AY739" i="2"/>
  <c r="BB739" i="2"/>
  <c r="AX739" i="2" l="1"/>
  <c r="AT740" i="2" s="1"/>
  <c r="BC739" i="2"/>
  <c r="AW739" i="2" s="1"/>
  <c r="AS740" i="2" s="1"/>
  <c r="AU740" i="2" l="1"/>
  <c r="AV740" i="2"/>
  <c r="BG740" i="2" l="1"/>
  <c r="BF740" i="2"/>
  <c r="BA740" i="2" s="1"/>
  <c r="BE740" i="2"/>
  <c r="BD740" i="2"/>
  <c r="AZ740" i="2"/>
  <c r="AY740" i="2"/>
  <c r="BB740" i="2"/>
  <c r="AX740" i="2" l="1"/>
  <c r="AT741" i="2" s="1"/>
  <c r="BC740" i="2"/>
  <c r="AW740" i="2" s="1"/>
  <c r="AS741" i="2" s="1"/>
  <c r="AU741" i="2" l="1"/>
  <c r="AV741" i="2"/>
  <c r="BG741" i="2" l="1"/>
  <c r="BF741" i="2"/>
  <c r="BE741" i="2"/>
  <c r="AY741" i="2" s="1"/>
  <c r="BD741" i="2"/>
  <c r="BB741" i="2"/>
  <c r="BA741" i="2"/>
  <c r="AZ741" i="2"/>
  <c r="AX741" i="2" l="1"/>
  <c r="AT742" i="2" s="1"/>
  <c r="AV742" i="2"/>
  <c r="BC741" i="2"/>
  <c r="AW741" i="2" s="1"/>
  <c r="AS742" i="2" s="1"/>
  <c r="BG742" i="2" l="1"/>
  <c r="AU742" i="2"/>
  <c r="BE742" i="2" l="1"/>
  <c r="BF742" i="2"/>
  <c r="BD742" i="2"/>
  <c r="BA742" i="2" l="1"/>
  <c r="BB742" i="2"/>
  <c r="AY742" i="2"/>
  <c r="AZ742" i="2"/>
  <c r="BC742" i="2"/>
  <c r="AX742" i="2" l="1"/>
  <c r="AT743" i="2" s="1"/>
  <c r="AV743" i="2"/>
  <c r="AW742" i="2"/>
  <c r="AS743" i="2" s="1"/>
  <c r="AU743" i="2" l="1"/>
  <c r="BG743" i="2"/>
  <c r="BE743" i="2" l="1"/>
  <c r="AZ743" i="2" s="1"/>
  <c r="BF743" i="2"/>
  <c r="BB743" i="2" s="1"/>
  <c r="BD743" i="2"/>
  <c r="AX743" i="2" l="1"/>
  <c r="AY743" i="2"/>
  <c r="BA743" i="2"/>
  <c r="BC743" i="2"/>
  <c r="AV744" i="2" l="1"/>
  <c r="AT744" i="2"/>
  <c r="AW743" i="2"/>
  <c r="AS744" i="2" s="1"/>
  <c r="AU744" i="2" l="1"/>
  <c r="BG744" i="2"/>
  <c r="BE744" i="2" l="1"/>
  <c r="AZ744" i="2" s="1"/>
  <c r="BF744" i="2"/>
  <c r="BB744" i="2" s="1"/>
  <c r="BD744" i="2"/>
  <c r="AY744" i="2" l="1"/>
  <c r="BA744" i="2"/>
  <c r="AX744" i="2"/>
  <c r="AT745" i="2" s="1"/>
  <c r="BC744" i="2"/>
  <c r="AW744" i="2" l="1"/>
  <c r="AS745" i="2" s="1"/>
  <c r="AU745" i="2"/>
  <c r="AV745" i="2"/>
  <c r="BG745" i="2" l="1"/>
  <c r="BC745" i="2" s="1"/>
  <c r="BF745" i="2"/>
  <c r="BA745" i="2" s="1"/>
  <c r="BE745" i="2"/>
  <c r="AZ745" i="2" s="1"/>
  <c r="BB745" i="2"/>
  <c r="AY745" i="2" l="1"/>
  <c r="AW745" i="2" s="1"/>
  <c r="AS746" i="2" s="1"/>
  <c r="BD745" i="2"/>
  <c r="AX745" i="2" s="1"/>
  <c r="AT746" i="2" s="1"/>
  <c r="AV746" i="2" l="1"/>
  <c r="AU746" i="2"/>
  <c r="BG746" i="2" l="1"/>
  <c r="BD746" i="2" s="1"/>
  <c r="BE746" i="2"/>
  <c r="BF746" i="2"/>
  <c r="AY746" i="2" l="1"/>
  <c r="AZ746" i="2"/>
  <c r="BA746" i="2"/>
  <c r="BB746" i="2"/>
  <c r="BC746" i="2"/>
  <c r="AX746" i="2" l="1"/>
  <c r="AT747" i="2" s="1"/>
  <c r="AW746" i="2"/>
  <c r="AS747" i="2" s="1"/>
  <c r="AU747" i="2" l="1"/>
  <c r="AV747" i="2"/>
  <c r="BG747" i="2" l="1"/>
  <c r="BC747" i="2" s="1"/>
  <c r="BF747" i="2"/>
  <c r="BA747" i="2" s="1"/>
  <c r="BE747" i="2"/>
  <c r="AY747" i="2" s="1"/>
  <c r="BB747" i="2"/>
  <c r="AZ747" i="2" l="1"/>
  <c r="BD747" i="2"/>
  <c r="AX747" i="2" s="1"/>
  <c r="AT748" i="2" s="1"/>
  <c r="AW747" i="2"/>
  <c r="AS748" i="2" s="1"/>
  <c r="AV748" i="2" l="1"/>
  <c r="AU748" i="2"/>
  <c r="BG748" i="2" l="1"/>
  <c r="BD748" i="2" s="1"/>
  <c r="BE748" i="2"/>
  <c r="AZ748" i="2" s="1"/>
  <c r="BF748" i="2"/>
  <c r="AY748" i="2" l="1"/>
  <c r="BA748" i="2"/>
  <c r="BB748" i="2"/>
  <c r="AX748" i="2" s="1"/>
  <c r="AT749" i="2" s="1"/>
  <c r="BC748" i="2"/>
  <c r="AW748" i="2" l="1"/>
  <c r="AS749" i="2" s="1"/>
  <c r="BG749" i="2"/>
  <c r="AV749" i="2"/>
  <c r="AU749" i="2"/>
  <c r="BE749" i="2" l="1"/>
  <c r="BF749" i="2"/>
  <c r="BC749" i="2"/>
  <c r="BA749" i="2"/>
  <c r="AY749" i="2"/>
  <c r="AZ749" i="2"/>
  <c r="BB749" i="2"/>
  <c r="BD749" i="2" l="1"/>
  <c r="AX749" i="2" s="1"/>
  <c r="AT750" i="2" s="1"/>
  <c r="AW749" i="2"/>
  <c r="AS750" i="2" s="1"/>
  <c r="AU750" i="2" l="1"/>
  <c r="AV750" i="2"/>
  <c r="BG750" i="2" l="1"/>
  <c r="BD750" i="2" s="1"/>
  <c r="BF750" i="2"/>
  <c r="BE750" i="2"/>
  <c r="AY750" i="2" s="1"/>
  <c r="BA750" i="2"/>
  <c r="BB750" i="2" l="1"/>
  <c r="BC750" i="2"/>
  <c r="AW750" i="2" s="1"/>
  <c r="AS751" i="2" s="1"/>
  <c r="AZ750" i="2"/>
  <c r="AX750" i="2" s="1"/>
  <c r="AT751" i="2" s="1"/>
  <c r="AU751" i="2" l="1"/>
  <c r="AV751" i="2"/>
  <c r="BG751" i="2" l="1"/>
  <c r="BF751" i="2"/>
  <c r="BE751" i="2"/>
  <c r="AZ751" i="2" s="1"/>
  <c r="BD751" i="2"/>
  <c r="BA751" i="2"/>
  <c r="AY751" i="2"/>
  <c r="BC751" i="2" l="1"/>
  <c r="AW751" i="2" s="1"/>
  <c r="AS752" i="2" s="1"/>
  <c r="BB751" i="2"/>
  <c r="AX751" i="2" s="1"/>
  <c r="AT752" i="2" s="1"/>
  <c r="AU752" i="2" l="1"/>
  <c r="AV752" i="2"/>
  <c r="BG752" i="2" l="1"/>
  <c r="BD752" i="2" s="1"/>
  <c r="BF752" i="2"/>
  <c r="BA752" i="2" s="1"/>
  <c r="BE752" i="2"/>
  <c r="AZ752" i="2" s="1"/>
  <c r="BC752" i="2"/>
  <c r="BB752" i="2"/>
  <c r="AX752" i="2" l="1"/>
  <c r="AT753" i="2" s="1"/>
  <c r="AY752" i="2"/>
  <c r="AW752" i="2" s="1"/>
  <c r="AS753" i="2" s="1"/>
  <c r="AV753" i="2" l="1"/>
  <c r="AU753" i="2"/>
  <c r="BG753" i="2"/>
  <c r="BE753" i="2" l="1"/>
  <c r="AZ753" i="2" s="1"/>
  <c r="BF753" i="2"/>
  <c r="BB753" i="2" s="1"/>
  <c r="BD753" i="2"/>
  <c r="AY753" i="2" l="1"/>
  <c r="BA753" i="2"/>
  <c r="AX753" i="2"/>
  <c r="AT754" i="2" s="1"/>
  <c r="BC753" i="2"/>
  <c r="AW753" i="2" l="1"/>
  <c r="AS754" i="2" s="1"/>
  <c r="AU754" i="2"/>
  <c r="AV754" i="2"/>
  <c r="BG754" i="2" l="1"/>
  <c r="BF754" i="2"/>
  <c r="BE754" i="2"/>
  <c r="AY754" i="2" s="1"/>
  <c r="BD754" i="2"/>
  <c r="BA754" i="2"/>
  <c r="AZ754" i="2"/>
  <c r="BB754" i="2"/>
  <c r="AX754" i="2" l="1"/>
  <c r="AT755" i="2" s="1"/>
  <c r="BC754" i="2"/>
  <c r="AW754" i="2" s="1"/>
  <c r="AS755" i="2" s="1"/>
  <c r="AU755" i="2" l="1"/>
  <c r="AV755" i="2"/>
  <c r="BG755" i="2" l="1"/>
  <c r="BF755" i="2"/>
  <c r="BB755" i="2" s="1"/>
  <c r="BE755" i="2"/>
  <c r="BD755" i="2"/>
  <c r="AZ755" i="2"/>
  <c r="AY755" i="2"/>
  <c r="BA755" i="2"/>
  <c r="AX755" i="2" l="1"/>
  <c r="BC755" i="2"/>
  <c r="AW755" i="2" s="1"/>
  <c r="AS756" i="2" s="1"/>
  <c r="AV756" i="2" l="1"/>
  <c r="AT756" i="2"/>
  <c r="AU756" i="2"/>
  <c r="BG756" i="2" l="1"/>
  <c r="BD756" i="2" s="1"/>
  <c r="BE756" i="2"/>
  <c r="BF756" i="2"/>
  <c r="BA756" i="2" l="1"/>
  <c r="BB756" i="2"/>
  <c r="AY756" i="2"/>
  <c r="AZ756" i="2"/>
  <c r="BC756" i="2"/>
  <c r="AX756" i="2" l="1"/>
  <c r="AT757" i="2" s="1"/>
  <c r="AV757" i="2"/>
  <c r="AW756" i="2"/>
  <c r="AS757" i="2" s="1"/>
  <c r="BG757" i="2" l="1"/>
  <c r="AU757" i="2"/>
  <c r="BE757" i="2" l="1"/>
  <c r="AZ757" i="2" s="1"/>
  <c r="BF757" i="2"/>
  <c r="BD757" i="2"/>
  <c r="BB757" i="2"/>
  <c r="AY757" i="2" l="1"/>
  <c r="BA757" i="2"/>
  <c r="AX757" i="2"/>
  <c r="AT758" i="2" s="1"/>
  <c r="BC757" i="2"/>
  <c r="AW757" i="2" l="1"/>
  <c r="AV758" i="2"/>
  <c r="AU758" i="2" l="1"/>
  <c r="AS758" i="2"/>
  <c r="BG758" i="2"/>
  <c r="BD758" i="2" s="1"/>
  <c r="BE758" i="2" l="1"/>
  <c r="AZ758" i="2" s="1"/>
  <c r="BF758" i="2"/>
  <c r="BB758" i="2" s="1"/>
  <c r="BC758" i="2"/>
  <c r="AY758" i="2" l="1"/>
  <c r="AX758" i="2"/>
  <c r="AT759" i="2" s="1"/>
  <c r="BA758" i="2"/>
  <c r="AV759" i="2"/>
  <c r="AW758" i="2" l="1"/>
  <c r="AS759" i="2" s="1"/>
  <c r="AU759" i="2"/>
  <c r="BG759" i="2"/>
  <c r="BE759" i="2" l="1"/>
  <c r="AZ759" i="2" s="1"/>
  <c r="BF759" i="2"/>
  <c r="BB759" i="2" s="1"/>
  <c r="BD759" i="2"/>
  <c r="BA759" i="2" l="1"/>
  <c r="AY759" i="2"/>
  <c r="AX759" i="2"/>
  <c r="AT760" i="2" s="1"/>
  <c r="BC759" i="2"/>
  <c r="AW759" i="2" l="1"/>
  <c r="AV760" i="2"/>
  <c r="AU760" i="2" l="1"/>
  <c r="AS760" i="2"/>
  <c r="BG760" i="2"/>
  <c r="BD760" i="2" s="1"/>
  <c r="BE760" i="2" l="1"/>
  <c r="AZ760" i="2" s="1"/>
  <c r="BF760" i="2"/>
  <c r="AY760" i="2"/>
  <c r="BC760" i="2"/>
  <c r="BA760" i="2" l="1"/>
  <c r="BB760" i="2"/>
  <c r="AX760" i="2" s="1"/>
  <c r="AT761" i="2" s="1"/>
  <c r="AW760" i="2"/>
  <c r="AS761" i="2" s="1"/>
  <c r="AV761" i="2" l="1"/>
  <c r="AU761" i="2"/>
  <c r="BG761" i="2"/>
  <c r="BE761" i="2" l="1"/>
  <c r="BF761" i="2"/>
  <c r="BB761" i="2" s="1"/>
  <c r="BD761" i="2"/>
  <c r="BA761" i="2"/>
  <c r="AZ761" i="2"/>
  <c r="AY761" i="2"/>
  <c r="AX761" i="2" l="1"/>
  <c r="AT762" i="2" s="1"/>
  <c r="BC761" i="2"/>
  <c r="AW761" i="2" s="1"/>
  <c r="AS762" i="2" s="1"/>
  <c r="AU762" i="2" l="1"/>
  <c r="AV762" i="2"/>
  <c r="BG762" i="2" l="1"/>
  <c r="BF762" i="2"/>
  <c r="BE762" i="2"/>
  <c r="AZ762" i="2" s="1"/>
  <c r="BA762" i="2"/>
  <c r="BD762" i="2"/>
  <c r="AY762" i="2"/>
  <c r="BB762" i="2"/>
  <c r="AX762" i="2" l="1"/>
  <c r="AT763" i="2" s="1"/>
  <c r="BC762" i="2"/>
  <c r="AW762" i="2" s="1"/>
  <c r="AS763" i="2" s="1"/>
  <c r="AU763" i="2" l="1"/>
  <c r="AV763" i="2"/>
  <c r="BG763" i="2" l="1"/>
  <c r="BF763" i="2"/>
  <c r="BE763" i="2"/>
  <c r="AZ763" i="2" s="1"/>
  <c r="BB763" i="2"/>
  <c r="BD763" i="2"/>
  <c r="BA763" i="2"/>
  <c r="AY763" i="2" l="1"/>
  <c r="AX763" i="2"/>
  <c r="AT764" i="2" s="1"/>
  <c r="BC763" i="2"/>
  <c r="AW763" i="2" s="1"/>
  <c r="AS764" i="2" s="1"/>
  <c r="AU764" i="2" l="1"/>
  <c r="AV764" i="2"/>
  <c r="BG764" i="2" l="1"/>
  <c r="BD764" i="2" s="1"/>
  <c r="BF764" i="2"/>
  <c r="BE764" i="2"/>
  <c r="AY764" i="2" s="1"/>
  <c r="BA764" i="2"/>
  <c r="BB764" i="2" l="1"/>
  <c r="BC764" i="2"/>
  <c r="AW764" i="2" s="1"/>
  <c r="AS765" i="2" s="1"/>
  <c r="AZ764" i="2"/>
  <c r="AX764" i="2" l="1"/>
  <c r="AT765" i="2" s="1"/>
  <c r="AU765" i="2"/>
  <c r="AV765" i="2" l="1"/>
  <c r="BG765" i="2"/>
  <c r="BD765" i="2" s="1"/>
  <c r="BF765" i="2"/>
  <c r="BA765" i="2" s="1"/>
  <c r="BE765" i="2"/>
  <c r="AY765" i="2" s="1"/>
  <c r="AZ765" i="2" l="1"/>
  <c r="BC765" i="2"/>
  <c r="AW765" i="2" s="1"/>
  <c r="AS766" i="2" s="1"/>
  <c r="BB765" i="2"/>
  <c r="AX765" i="2" l="1"/>
  <c r="AT766" i="2" s="1"/>
  <c r="AV766" i="2"/>
  <c r="AU766" i="2"/>
  <c r="BG766" i="2" l="1"/>
  <c r="BE766" i="2"/>
  <c r="AZ766" i="2" s="1"/>
  <c r="BF766" i="2"/>
  <c r="BA766" i="2" s="1"/>
  <c r="AY766" i="2"/>
  <c r="BC766" i="2"/>
  <c r="BB766" i="2"/>
  <c r="BD766" i="2" l="1"/>
  <c r="AX766" i="2" s="1"/>
  <c r="AW766" i="2"/>
  <c r="AS767" i="2" s="1"/>
  <c r="AV767" i="2" l="1"/>
  <c r="AT767" i="2"/>
  <c r="AU767" i="2"/>
  <c r="BG767" i="2"/>
  <c r="BE767" i="2" l="1"/>
  <c r="BF767" i="2"/>
  <c r="BD767" i="2"/>
  <c r="AZ767" i="2"/>
  <c r="BB767" i="2"/>
  <c r="AY767" i="2"/>
  <c r="BA767" i="2"/>
  <c r="AX767" i="2" l="1"/>
  <c r="AT768" i="2" s="1"/>
  <c r="BC767" i="2"/>
  <c r="AW767" i="2" s="1"/>
  <c r="AS768" i="2" s="1"/>
  <c r="AU768" i="2" l="1"/>
  <c r="AV768" i="2"/>
  <c r="BG768" i="2" l="1"/>
  <c r="BD768" i="2" s="1"/>
  <c r="BF768" i="2"/>
  <c r="BA768" i="2" s="1"/>
  <c r="BE768" i="2"/>
  <c r="AZ768" i="2"/>
  <c r="BC768" i="2" l="1"/>
  <c r="AY768" i="2"/>
  <c r="BB768" i="2"/>
  <c r="AX768" i="2" s="1"/>
  <c r="AT769" i="2" s="1"/>
  <c r="AW768" i="2" l="1"/>
  <c r="AS769" i="2" s="1"/>
  <c r="AU769" i="2"/>
  <c r="AV769" i="2"/>
  <c r="BG769" i="2" l="1"/>
  <c r="BF769" i="2"/>
  <c r="BE769" i="2"/>
  <c r="AZ769" i="2" s="1"/>
  <c r="BD769" i="2"/>
  <c r="BB769" i="2"/>
  <c r="BA769" i="2"/>
  <c r="AX769" i="2" l="1"/>
  <c r="AT770" i="2" s="1"/>
  <c r="AY769" i="2"/>
  <c r="BC769" i="2"/>
  <c r="AW769" i="2" l="1"/>
  <c r="AS770" i="2" s="1"/>
  <c r="AU770" i="2"/>
  <c r="AV770" i="2"/>
  <c r="BG770" i="2" l="1"/>
  <c r="BF770" i="2"/>
  <c r="BE770" i="2"/>
  <c r="AZ770" i="2" s="1"/>
  <c r="BC770" i="2"/>
  <c r="BA770" i="2"/>
  <c r="AY770" i="2" l="1"/>
  <c r="BB770" i="2"/>
  <c r="BD770" i="2"/>
  <c r="AW770" i="2"/>
  <c r="AS771" i="2" s="1"/>
  <c r="AX770" i="2" l="1"/>
  <c r="AT771" i="2" s="1"/>
  <c r="AU771" i="2"/>
  <c r="BE771" i="2" l="1"/>
  <c r="AZ771" i="2" s="1"/>
  <c r="AV771" i="2"/>
  <c r="BG771" i="2" l="1"/>
  <c r="BD771" i="2" s="1"/>
  <c r="BF771" i="2"/>
  <c r="BA771" i="2" s="1"/>
  <c r="AY771" i="2"/>
  <c r="BB771" i="2"/>
  <c r="BC771" i="2"/>
  <c r="AX771" i="2" l="1"/>
  <c r="AT772" i="2" s="1"/>
  <c r="AV772" i="2"/>
  <c r="AW771" i="2"/>
  <c r="AS772" i="2" s="1"/>
  <c r="AU772" i="2" l="1"/>
  <c r="BG772" i="2"/>
  <c r="BE772" i="2" l="1"/>
  <c r="BF772" i="2"/>
  <c r="BD772" i="2"/>
  <c r="AZ772" i="2"/>
  <c r="AY772" i="2" l="1"/>
  <c r="BA772" i="2"/>
  <c r="BB772" i="2"/>
  <c r="AX772" i="2" s="1"/>
  <c r="AT773" i="2" s="1"/>
  <c r="BC772" i="2"/>
  <c r="AV773" i="2" l="1"/>
  <c r="AW772" i="2"/>
  <c r="AS773" i="2" s="1"/>
  <c r="AU773" i="2" l="1"/>
  <c r="BG773" i="2"/>
  <c r="BE773" i="2" l="1"/>
  <c r="AZ773" i="2" s="1"/>
  <c r="BF773" i="2"/>
  <c r="BB773" i="2" s="1"/>
  <c r="BD773" i="2"/>
  <c r="AY773" i="2" l="1"/>
  <c r="AX773" i="2"/>
  <c r="BA773" i="2"/>
  <c r="BC773" i="2"/>
  <c r="AV774" i="2" l="1"/>
  <c r="AT774" i="2"/>
  <c r="AW773" i="2"/>
  <c r="AS774" i="2" s="1"/>
  <c r="BG774" i="2" s="1"/>
  <c r="AU774" i="2" l="1"/>
  <c r="BE774" i="2"/>
  <c r="BF774" i="2"/>
  <c r="BB774" i="2" s="1"/>
  <c r="AZ774" i="2"/>
  <c r="AY774" i="2"/>
  <c r="BA774" i="2" l="1"/>
  <c r="BD774" i="2"/>
  <c r="AX774" i="2" s="1"/>
  <c r="AT775" i="2" s="1"/>
  <c r="BC774" i="2"/>
  <c r="AW774" i="2" s="1"/>
  <c r="AS775" i="2" s="1"/>
  <c r="AV775" i="2" l="1"/>
  <c r="AU775" i="2"/>
  <c r="BG775" i="2"/>
  <c r="BE775" i="2" l="1"/>
  <c r="BF775" i="2"/>
  <c r="BD775" i="2"/>
  <c r="AZ775" i="2"/>
  <c r="BB775" i="2"/>
  <c r="AX775" i="2" l="1"/>
  <c r="AT776" i="2" s="1"/>
  <c r="BA775" i="2"/>
  <c r="AY775" i="2"/>
  <c r="BC775" i="2"/>
  <c r="AW775" i="2" l="1"/>
  <c r="AV776" i="2"/>
  <c r="AU776" i="2" l="1"/>
  <c r="AS776" i="2"/>
  <c r="BG776" i="2" s="1"/>
  <c r="BC776" i="2" s="1"/>
  <c r="BF776" i="2"/>
  <c r="BE776" i="2"/>
  <c r="AZ776" i="2" s="1"/>
  <c r="BA776" i="2"/>
  <c r="AY776" i="2"/>
  <c r="BB776" i="2"/>
  <c r="BD776" i="2" l="1"/>
  <c r="AX776" i="2" s="1"/>
  <c r="AT777" i="2" s="1"/>
  <c r="AW776" i="2"/>
  <c r="AS777" i="2" s="1"/>
  <c r="AV777" i="2" l="1"/>
  <c r="AU777" i="2"/>
  <c r="BG777" i="2"/>
  <c r="BE777" i="2" l="1"/>
  <c r="AY777" i="2" s="1"/>
  <c r="BF777" i="2"/>
  <c r="BA777" i="2" s="1"/>
  <c r="BD777" i="2"/>
  <c r="BC777" i="2" l="1"/>
  <c r="AZ777" i="2"/>
  <c r="AW777" i="2"/>
  <c r="AS778" i="2" s="1"/>
  <c r="BB777" i="2"/>
  <c r="AX777" i="2" l="1"/>
  <c r="AT778" i="2" s="1"/>
  <c r="AU778" i="2"/>
  <c r="BE778" i="2" l="1"/>
  <c r="AV778" i="2"/>
  <c r="BG778" i="2" l="1"/>
  <c r="BF778" i="2"/>
  <c r="BA778" i="2" s="1"/>
  <c r="AY778" i="2"/>
  <c r="BD778" i="2"/>
  <c r="BB778" i="2" l="1"/>
  <c r="BC778" i="2"/>
  <c r="AW778" i="2" s="1"/>
  <c r="AS779" i="2" s="1"/>
  <c r="AZ778" i="2"/>
  <c r="AX778" i="2" s="1"/>
  <c r="AT779" i="2" s="1"/>
  <c r="AU779" i="2" l="1"/>
  <c r="AV779" i="2"/>
  <c r="BG779" i="2" l="1"/>
  <c r="BF779" i="2"/>
  <c r="BA779" i="2" s="1"/>
  <c r="BE779" i="2"/>
  <c r="AY779" i="2" s="1"/>
  <c r="BD779" i="2"/>
  <c r="BC779" i="2" l="1"/>
  <c r="AW779" i="2" s="1"/>
  <c r="AS780" i="2" s="1"/>
  <c r="AZ779" i="2"/>
  <c r="BB779" i="2"/>
  <c r="AU780" i="2" l="1"/>
  <c r="AX779" i="2"/>
  <c r="AT780" i="2" s="1"/>
  <c r="AV780" i="2" l="1"/>
  <c r="BE780" i="2"/>
  <c r="AY780" i="2" s="1"/>
  <c r="BG780" i="2" l="1"/>
  <c r="BC780" i="2"/>
  <c r="BF780" i="2"/>
  <c r="BA780" i="2" s="1"/>
  <c r="BD780" i="2"/>
  <c r="AZ780" i="2"/>
  <c r="BB780" i="2"/>
  <c r="AW780" i="2" l="1"/>
  <c r="AS781" i="2" s="1"/>
  <c r="AX780" i="2"/>
  <c r="AT781" i="2" s="1"/>
  <c r="AU781" i="2"/>
  <c r="BE781" i="2" l="1"/>
  <c r="AV781" i="2"/>
  <c r="BG781" i="2" l="1"/>
  <c r="BD781" i="2" s="1"/>
  <c r="BF781" i="2"/>
  <c r="AY781" i="2"/>
  <c r="AZ781" i="2"/>
  <c r="BC781" i="2" l="1"/>
  <c r="BB781" i="2"/>
  <c r="AX781" i="2" s="1"/>
  <c r="AT782" i="2" s="1"/>
  <c r="BA781" i="2"/>
  <c r="AW781" i="2" s="1"/>
  <c r="AS782" i="2" s="1"/>
  <c r="AU782" i="2" l="1"/>
  <c r="AV782" i="2"/>
  <c r="BG782" i="2" l="1"/>
  <c r="BD782" i="2" s="1"/>
  <c r="BE782" i="2"/>
  <c r="BF782" i="2"/>
  <c r="BB782" i="2" s="1"/>
  <c r="BC782" i="2"/>
  <c r="BA782" i="2" l="1"/>
  <c r="AZ782" i="2"/>
  <c r="AX782" i="2" s="1"/>
  <c r="AT783" i="2" s="1"/>
  <c r="AY782" i="2"/>
  <c r="AV783" i="2" l="1"/>
  <c r="AW782" i="2"/>
  <c r="AS783" i="2" s="1"/>
  <c r="AU783" i="2"/>
  <c r="BE783" i="2"/>
  <c r="AZ783" i="2" s="1"/>
  <c r="BF783" i="2" l="1"/>
  <c r="BB783" i="2" s="1"/>
  <c r="BG783" i="2"/>
  <c r="BC783" i="2" s="1"/>
  <c r="AY783" i="2"/>
  <c r="BA783" i="2" l="1"/>
  <c r="AW783" i="2"/>
  <c r="AS784" i="2" s="1"/>
  <c r="BD783" i="2"/>
  <c r="AX783" i="2" s="1"/>
  <c r="AU784" i="2"/>
  <c r="AV784" i="2" l="1"/>
  <c r="AT784" i="2"/>
  <c r="BG784" i="2"/>
  <c r="BE784" i="2"/>
  <c r="BF784" i="2"/>
  <c r="BD784" i="2"/>
  <c r="AZ784" i="2"/>
  <c r="AY784" i="2"/>
  <c r="BA784" i="2" l="1"/>
  <c r="BB784" i="2"/>
  <c r="AX784" i="2" s="1"/>
  <c r="AT785" i="2" s="1"/>
  <c r="BC784" i="2"/>
  <c r="AW784" i="2" l="1"/>
  <c r="AS785" i="2" s="1"/>
  <c r="AU785" i="2"/>
  <c r="AV785" i="2"/>
  <c r="BG785" i="2" l="1"/>
  <c r="BC785" i="2" s="1"/>
  <c r="BE785" i="2"/>
  <c r="AZ785" i="2" s="1"/>
  <c r="BF785" i="2"/>
  <c r="BB785" i="2"/>
  <c r="BD785" i="2" l="1"/>
  <c r="AX785" i="2" s="1"/>
  <c r="AT786" i="2" s="1"/>
  <c r="BA785" i="2"/>
  <c r="AY785" i="2"/>
  <c r="AW785" i="2" l="1"/>
  <c r="AS786" i="2" s="1"/>
  <c r="AV786" i="2"/>
  <c r="BG786" i="2" l="1"/>
  <c r="AU786" i="2"/>
  <c r="BE786" i="2" l="1"/>
  <c r="BF786" i="2"/>
  <c r="BD786" i="2"/>
  <c r="AY786" i="2" l="1"/>
  <c r="AZ786" i="2"/>
  <c r="BA786" i="2"/>
  <c r="BB786" i="2"/>
  <c r="BC786" i="2"/>
  <c r="AX786" i="2" l="1"/>
  <c r="AT787" i="2" s="1"/>
  <c r="AW786" i="2"/>
  <c r="AS787" i="2" s="1"/>
  <c r="AU787" i="2" l="1"/>
  <c r="AV787" i="2"/>
  <c r="BG787" i="2" l="1"/>
  <c r="BD787" i="2" s="1"/>
  <c r="BF787" i="2"/>
  <c r="BE787" i="2"/>
  <c r="AZ787" i="2" s="1"/>
  <c r="BB787" i="2"/>
  <c r="AY787" i="2" l="1"/>
  <c r="BA787" i="2"/>
  <c r="AX787" i="2"/>
  <c r="AT788" i="2" s="1"/>
  <c r="BC787" i="2"/>
  <c r="AW787" i="2" l="1"/>
  <c r="AS788" i="2" s="1"/>
  <c r="AU788" i="2"/>
  <c r="AV788" i="2"/>
  <c r="BG788" i="2" l="1"/>
  <c r="BD788" i="2" s="1"/>
  <c r="BF788" i="2"/>
  <c r="BB788" i="2" s="1"/>
  <c r="BE788" i="2"/>
  <c r="AZ788" i="2" s="1"/>
  <c r="BA788" i="2"/>
  <c r="AX788" i="2" l="1"/>
  <c r="AT789" i="2" s="1"/>
  <c r="AY788" i="2"/>
  <c r="BC788" i="2"/>
  <c r="AW788" i="2" l="1"/>
  <c r="AS789" i="2" s="1"/>
  <c r="AV789" i="2"/>
  <c r="AU789" i="2" l="1"/>
  <c r="BG789" i="2"/>
  <c r="BF789" i="2"/>
  <c r="BE789" i="2"/>
  <c r="AY789" i="2" s="1"/>
  <c r="BD789" i="2"/>
  <c r="BA789" i="2"/>
  <c r="BC789" i="2" l="1"/>
  <c r="AW789" i="2" s="1"/>
  <c r="AS790" i="2" s="1"/>
  <c r="AZ789" i="2"/>
  <c r="BB789" i="2"/>
  <c r="AU790" i="2" l="1"/>
  <c r="AX789" i="2"/>
  <c r="AT790" i="2" s="1"/>
  <c r="AV790" i="2" l="1"/>
  <c r="BE790" i="2"/>
  <c r="AY790" i="2" s="1"/>
  <c r="BG790" i="2" l="1"/>
  <c r="BC790" i="2" s="1"/>
  <c r="BF790" i="2"/>
  <c r="BA790" i="2" s="1"/>
  <c r="AZ790" i="2"/>
  <c r="AW790" i="2" l="1"/>
  <c r="AS791" i="2" s="1"/>
  <c r="BD790" i="2"/>
  <c r="BB790" i="2"/>
  <c r="AX790" i="2" s="1"/>
  <c r="AT791" i="2" s="1"/>
  <c r="AU791" i="2"/>
  <c r="BE791" i="2" l="1"/>
  <c r="AV791" i="2"/>
  <c r="BG791" i="2" l="1"/>
  <c r="BF791" i="2"/>
  <c r="BC791" i="2"/>
  <c r="AY791" i="2"/>
  <c r="BA791" i="2"/>
  <c r="BD791" i="2" l="1"/>
  <c r="AW791" i="2"/>
  <c r="AS792" i="2" s="1"/>
  <c r="AZ791" i="2"/>
  <c r="BB791" i="2"/>
  <c r="AX791" i="2" l="1"/>
  <c r="AT792" i="2" s="1"/>
  <c r="AU792" i="2"/>
  <c r="AV792" i="2" l="1"/>
  <c r="BE792" i="2"/>
  <c r="BG792" i="2" l="1"/>
  <c r="BD792" i="2" s="1"/>
  <c r="BF792" i="2"/>
  <c r="BA792" i="2" s="1"/>
  <c r="AY792" i="2"/>
  <c r="BC792" i="2" l="1"/>
  <c r="AW792" i="2" s="1"/>
  <c r="AS793" i="2" s="1"/>
  <c r="AZ792" i="2"/>
  <c r="BB792" i="2"/>
  <c r="AU793" i="2" l="1"/>
  <c r="AX792" i="2"/>
  <c r="AT793" i="2" s="1"/>
  <c r="BE793" i="2" l="1"/>
  <c r="AV793" i="2"/>
  <c r="BG793" i="2" l="1"/>
  <c r="BC793" i="2" s="1"/>
  <c r="BF793" i="2"/>
  <c r="AY793" i="2"/>
  <c r="AZ793" i="2"/>
  <c r="BA793" i="2"/>
  <c r="AW793" i="2" l="1"/>
  <c r="AS794" i="2" s="1"/>
  <c r="BD793" i="2"/>
  <c r="AU794" i="2"/>
  <c r="BB793" i="2"/>
  <c r="AX793" i="2" s="1"/>
  <c r="AT794" i="2" s="1"/>
  <c r="AV794" i="2" l="1"/>
  <c r="BE794" i="2"/>
  <c r="AY794" i="2" s="1"/>
  <c r="BG794" i="2" l="1"/>
  <c r="BC794" i="2" s="1"/>
  <c r="BF794" i="2"/>
  <c r="BA794" i="2" s="1"/>
  <c r="AZ794" i="2"/>
  <c r="BD794" i="2" l="1"/>
  <c r="AW794" i="2"/>
  <c r="AS795" i="2" s="1"/>
  <c r="BB794" i="2"/>
  <c r="AX794" i="2" s="1"/>
  <c r="AT795" i="2" s="1"/>
  <c r="AU795" i="2"/>
  <c r="BG795" i="2" l="1"/>
  <c r="BD795" i="2" s="1"/>
  <c r="AV795" i="2"/>
  <c r="BE795" i="2"/>
  <c r="BF795" i="2"/>
  <c r="AY795" i="2" l="1"/>
  <c r="AZ795" i="2"/>
  <c r="BA795" i="2"/>
  <c r="BB795" i="2"/>
  <c r="BC795" i="2"/>
  <c r="AX795" i="2" l="1"/>
  <c r="AT796" i="2" s="1"/>
  <c r="AV796" i="2"/>
  <c r="AW795" i="2"/>
  <c r="AS796" i="2" s="1"/>
  <c r="BG796" i="2" l="1"/>
  <c r="AU796" i="2"/>
  <c r="BE796" i="2" l="1"/>
  <c r="BF796" i="2"/>
  <c r="BD796" i="2"/>
  <c r="AZ796" i="2"/>
  <c r="BB796" i="2"/>
  <c r="AY796" i="2"/>
  <c r="BA796" i="2" l="1"/>
  <c r="AX796" i="2"/>
  <c r="AT797" i="2" s="1"/>
  <c r="BC796" i="2"/>
  <c r="AW796" i="2" s="1"/>
  <c r="AS797" i="2" s="1"/>
  <c r="AU797" i="2" l="1"/>
  <c r="AV797" i="2"/>
  <c r="BG797" i="2" l="1"/>
  <c r="BF797" i="2"/>
  <c r="BE797" i="2"/>
  <c r="AY797" i="2" s="1"/>
  <c r="BD797" i="2"/>
  <c r="BA797" i="2"/>
  <c r="BB797" i="2"/>
  <c r="AZ797" i="2"/>
  <c r="AX797" i="2" l="1"/>
  <c r="AT798" i="2" s="1"/>
  <c r="AV798" i="2"/>
  <c r="BC797" i="2"/>
  <c r="AW797" i="2" s="1"/>
  <c r="AS798" i="2" s="1"/>
  <c r="AU798" i="2" l="1"/>
  <c r="BG798" i="2"/>
  <c r="BE798" i="2" l="1"/>
  <c r="AY798" i="2" s="1"/>
  <c r="BF798" i="2"/>
  <c r="BD798" i="2"/>
  <c r="AZ798" i="2" l="1"/>
  <c r="BA798" i="2"/>
  <c r="BB798" i="2"/>
  <c r="AX798" i="2" s="1"/>
  <c r="AT799" i="2" s="1"/>
  <c r="BC798" i="2"/>
  <c r="AV799" i="2" l="1"/>
  <c r="AW798" i="2"/>
  <c r="AS799" i="2" s="1"/>
  <c r="BG799" i="2" l="1"/>
  <c r="AU799" i="2"/>
  <c r="BE799" i="2" l="1"/>
  <c r="BF799" i="2"/>
  <c r="BD799" i="2"/>
  <c r="BA799" i="2" l="1"/>
  <c r="BB799" i="2"/>
  <c r="AY799" i="2"/>
  <c r="AZ799" i="2"/>
  <c r="BC799" i="2"/>
  <c r="AX799" i="2" l="1"/>
  <c r="AT800" i="2" s="1"/>
  <c r="AV800" i="2"/>
  <c r="AW799" i="2"/>
  <c r="AS800" i="2" s="1"/>
  <c r="AU800" i="2" l="1"/>
  <c r="BG800" i="2"/>
  <c r="BE800" i="2" l="1"/>
  <c r="AZ800" i="2" s="1"/>
  <c r="BF800" i="2"/>
  <c r="BB800" i="2" s="1"/>
  <c r="BD800" i="2"/>
  <c r="BA800" i="2" l="1"/>
  <c r="AX800" i="2"/>
  <c r="AT801" i="2" s="1"/>
  <c r="AY800" i="2"/>
  <c r="AV801" i="2"/>
  <c r="BC800" i="2"/>
  <c r="AW800" i="2" s="1"/>
  <c r="AS801" i="2" s="1"/>
  <c r="AU801" i="2" l="1"/>
  <c r="BG801" i="2"/>
  <c r="BE801" i="2" l="1"/>
  <c r="BF801" i="2"/>
  <c r="AZ801" i="2"/>
  <c r="BD801" i="2"/>
  <c r="AY801" i="2"/>
  <c r="BA801" i="2" l="1"/>
  <c r="BB801" i="2"/>
  <c r="AX801" i="2" s="1"/>
  <c r="AT802" i="2" s="1"/>
  <c r="BC801" i="2"/>
  <c r="AW801" i="2" l="1"/>
  <c r="AV802" i="2"/>
  <c r="AU802" i="2" l="1"/>
  <c r="AS802" i="2"/>
  <c r="BG802" i="2"/>
  <c r="BE802" i="2"/>
  <c r="AY802" i="2" s="1"/>
  <c r="BF802" i="2"/>
  <c r="BA802" i="2" s="1"/>
  <c r="BC802" i="2"/>
  <c r="BB802" i="2"/>
  <c r="AZ802" i="2"/>
  <c r="BD802" i="2" l="1"/>
  <c r="AW802" i="2"/>
  <c r="AS803" i="2" s="1"/>
  <c r="AX802" i="2"/>
  <c r="AT803" i="2" s="1"/>
  <c r="AV803" i="2" l="1"/>
  <c r="AU803" i="2"/>
  <c r="BG803" i="2" l="1"/>
  <c r="BE803" i="2"/>
  <c r="AZ803" i="2" s="1"/>
  <c r="BF803" i="2"/>
  <c r="BC803" i="2"/>
  <c r="AY803" i="2"/>
  <c r="BA803" i="2"/>
  <c r="BB803" i="2"/>
  <c r="BD803" i="2" l="1"/>
  <c r="AX803" i="2" s="1"/>
  <c r="AW803" i="2"/>
  <c r="AS804" i="2" s="1"/>
  <c r="AV804" i="2" l="1"/>
  <c r="AT804" i="2"/>
  <c r="AU804" i="2"/>
  <c r="BG804" i="2"/>
  <c r="BE804" i="2" l="1"/>
  <c r="BF804" i="2"/>
  <c r="BB804" i="2" s="1"/>
  <c r="AZ804" i="2"/>
  <c r="BD804" i="2"/>
  <c r="AY804" i="2"/>
  <c r="BA804" i="2"/>
  <c r="AX804" i="2" l="1"/>
  <c r="AT805" i="2" s="1"/>
  <c r="BC804" i="2"/>
  <c r="AW804" i="2" s="1"/>
  <c r="AS805" i="2" s="1"/>
  <c r="AU805" i="2" l="1"/>
  <c r="AV805" i="2"/>
  <c r="BG805" i="2" l="1"/>
  <c r="BD805" i="2" s="1"/>
  <c r="BF805" i="2"/>
  <c r="BB805" i="2" s="1"/>
  <c r="BE805" i="2"/>
  <c r="AZ805" i="2"/>
  <c r="BA805" i="2" l="1"/>
  <c r="AX805" i="2"/>
  <c r="AY805" i="2"/>
  <c r="BC805" i="2"/>
  <c r="AV806" i="2" l="1"/>
  <c r="AT806" i="2"/>
  <c r="AW805" i="2"/>
  <c r="AS806" i="2" s="1"/>
  <c r="AU806" i="2" l="1"/>
  <c r="BG806" i="2"/>
  <c r="BE806" i="2" l="1"/>
  <c r="AY806" i="2" s="1"/>
  <c r="BF806" i="2"/>
  <c r="BD806" i="2"/>
  <c r="AZ806" i="2" l="1"/>
  <c r="BA806" i="2"/>
  <c r="BB806" i="2"/>
  <c r="AX806" i="2" s="1"/>
  <c r="AT807" i="2" s="1"/>
  <c r="BC806" i="2"/>
  <c r="AW806" i="2" l="1"/>
  <c r="AS807" i="2" s="1"/>
  <c r="AV807" i="2"/>
  <c r="AU807" i="2"/>
  <c r="BG807" i="2" l="1"/>
  <c r="BE807" i="2"/>
  <c r="BF807" i="2"/>
  <c r="BA807" i="2" s="1"/>
  <c r="AY807" i="2"/>
  <c r="BD807" i="2"/>
  <c r="BC807" i="2" l="1"/>
  <c r="AW807" i="2" s="1"/>
  <c r="AS808" i="2" s="1"/>
  <c r="BB807" i="2"/>
  <c r="AZ807" i="2"/>
  <c r="AX807" i="2" l="1"/>
  <c r="AT808" i="2" s="1"/>
  <c r="AV808" i="2"/>
  <c r="BG808" i="2"/>
  <c r="AU808" i="2"/>
  <c r="BE808" i="2" l="1"/>
  <c r="BF808" i="2"/>
  <c r="AY808" i="2"/>
  <c r="BC808" i="2"/>
  <c r="BA808" i="2"/>
  <c r="BB808" i="2"/>
  <c r="AZ808" i="2"/>
  <c r="BD808" i="2" l="1"/>
  <c r="AX808" i="2" s="1"/>
  <c r="AT809" i="2" s="1"/>
  <c r="AW808" i="2"/>
  <c r="AS809" i="2" s="1"/>
  <c r="AU809" i="2" l="1"/>
  <c r="AV809" i="2"/>
  <c r="BG809" i="2" l="1"/>
  <c r="BF809" i="2"/>
  <c r="BA809" i="2" s="1"/>
  <c r="BE809" i="2"/>
  <c r="AZ809" i="2" s="1"/>
  <c r="BD809" i="2"/>
  <c r="AY809" i="2"/>
  <c r="BC809" i="2" l="1"/>
  <c r="AW809" i="2" s="1"/>
  <c r="AS810" i="2" s="1"/>
  <c r="BB809" i="2"/>
  <c r="AX809" i="2" s="1"/>
  <c r="AT810" i="2" s="1"/>
  <c r="AV810" i="2" l="1"/>
  <c r="AU810" i="2"/>
  <c r="BG810" i="2" l="1"/>
  <c r="BE810" i="2"/>
  <c r="AZ810" i="2" s="1"/>
  <c r="BF810" i="2"/>
  <c r="BA810" i="2" s="1"/>
  <c r="BD810" i="2"/>
  <c r="AY810" i="2"/>
  <c r="BC810" i="2" l="1"/>
  <c r="AW810" i="2" s="1"/>
  <c r="AS811" i="2" s="1"/>
  <c r="BB810" i="2"/>
  <c r="AX810" i="2" s="1"/>
  <c r="AT811" i="2" s="1"/>
  <c r="AU811" i="2" l="1"/>
  <c r="AV811" i="2"/>
  <c r="BG811" i="2" l="1"/>
  <c r="BF811" i="2"/>
  <c r="BE811" i="2"/>
  <c r="AZ811" i="2" s="1"/>
  <c r="BD811" i="2"/>
  <c r="BB811" i="2"/>
  <c r="AY811" i="2"/>
  <c r="BA811" i="2" l="1"/>
  <c r="AX811" i="2"/>
  <c r="AT812" i="2" s="1"/>
  <c r="BC811" i="2"/>
  <c r="AW811" i="2" s="1"/>
  <c r="AS812" i="2" s="1"/>
  <c r="AU812" i="2" l="1"/>
  <c r="AV812" i="2"/>
  <c r="BG812" i="2" l="1"/>
  <c r="BF812" i="2"/>
  <c r="BE812" i="2"/>
  <c r="AZ812" i="2" s="1"/>
  <c r="BD812" i="2"/>
  <c r="BA812" i="2"/>
  <c r="AY812" i="2" l="1"/>
  <c r="BB812" i="2"/>
  <c r="AX812" i="2" s="1"/>
  <c r="AT813" i="2" s="1"/>
  <c r="BC812" i="2"/>
  <c r="AW812" i="2" s="1"/>
  <c r="AS813" i="2" s="1"/>
  <c r="AU813" i="2" l="1"/>
  <c r="AV813" i="2"/>
  <c r="BG813" i="2" l="1"/>
  <c r="BD813" i="2" s="1"/>
  <c r="BF813" i="2"/>
  <c r="BE813" i="2"/>
  <c r="AY813" i="2" s="1"/>
  <c r="BA813" i="2"/>
  <c r="BC813" i="2" l="1"/>
  <c r="AW813" i="2" s="1"/>
  <c r="AS814" i="2" s="1"/>
  <c r="BB813" i="2"/>
  <c r="AZ813" i="2"/>
  <c r="AU814" i="2" l="1"/>
  <c r="AX813" i="2"/>
  <c r="AT814" i="2" s="1"/>
  <c r="AV814" i="2" l="1"/>
  <c r="BE814" i="2"/>
  <c r="BG814" i="2" l="1"/>
  <c r="BF814" i="2"/>
  <c r="AY814" i="2"/>
  <c r="BA814" i="2"/>
  <c r="BC814" i="2"/>
  <c r="BD814" i="2" l="1"/>
  <c r="AZ814" i="2"/>
  <c r="AW814" i="2"/>
  <c r="AS815" i="2" s="1"/>
  <c r="BB814" i="2"/>
  <c r="AU815" i="2" l="1"/>
  <c r="AX814" i="2"/>
  <c r="AT815" i="2" s="1"/>
  <c r="BE815" i="2" l="1"/>
  <c r="AV815" i="2"/>
  <c r="BG815" i="2" l="1"/>
  <c r="BF815" i="2"/>
  <c r="BA815" i="2" s="1"/>
  <c r="AY815" i="2"/>
  <c r="BC815" i="2"/>
  <c r="BD815" i="2" l="1"/>
  <c r="AZ815" i="2"/>
  <c r="AW815" i="2"/>
  <c r="AS816" i="2" s="1"/>
  <c r="BB815" i="2"/>
  <c r="AU816" i="2" l="1"/>
  <c r="AX815" i="2"/>
  <c r="AT816" i="2" s="1"/>
  <c r="BE816" i="2" l="1"/>
  <c r="AZ816" i="2" s="1"/>
  <c r="AV816" i="2"/>
  <c r="BG816" i="2" l="1"/>
  <c r="BF816" i="2"/>
  <c r="BA816" i="2" s="1"/>
  <c r="AY816" i="2"/>
  <c r="BD816" i="2"/>
  <c r="BC816" i="2"/>
  <c r="BB816" i="2"/>
  <c r="AW816" i="2" l="1"/>
  <c r="AS817" i="2" s="1"/>
  <c r="AX816" i="2"/>
  <c r="AU817" i="2"/>
  <c r="AV817" i="2" l="1"/>
  <c r="AT817" i="2"/>
  <c r="BG817" i="2"/>
  <c r="BF817" i="2"/>
  <c r="BE817" i="2"/>
  <c r="AZ817" i="2" s="1"/>
  <c r="BA817" i="2"/>
  <c r="BD817" i="2"/>
  <c r="AY817" i="2"/>
  <c r="BB817" i="2"/>
  <c r="AX817" i="2" l="1"/>
  <c r="AT818" i="2" s="1"/>
  <c r="BC817" i="2"/>
  <c r="AW817" i="2" s="1"/>
  <c r="AS818" i="2" s="1"/>
  <c r="AU818" i="2" l="1"/>
  <c r="AV818" i="2"/>
  <c r="BG818" i="2" l="1"/>
  <c r="BF818" i="2"/>
  <c r="BE818" i="2"/>
  <c r="AZ818" i="2" s="1"/>
  <c r="BD818" i="2"/>
  <c r="BB818" i="2"/>
  <c r="AY818" i="2"/>
  <c r="BA818" i="2"/>
  <c r="AX818" i="2" l="1"/>
  <c r="AT819" i="2" s="1"/>
  <c r="BC818" i="2"/>
  <c r="AW818" i="2" s="1"/>
  <c r="AS819" i="2" s="1"/>
  <c r="AU819" i="2" l="1"/>
  <c r="AV819" i="2"/>
  <c r="BG819" i="2" l="1"/>
  <c r="BF819" i="2"/>
  <c r="BB819" i="2" s="1"/>
  <c r="BE819" i="2"/>
  <c r="AY819" i="2" s="1"/>
  <c r="BD819" i="2"/>
  <c r="BA819" i="2" l="1"/>
  <c r="BC819" i="2"/>
  <c r="AZ819" i="2"/>
  <c r="AX819" i="2" s="1"/>
  <c r="AT820" i="2" s="1"/>
  <c r="AV820" i="2" l="1"/>
  <c r="AW819" i="2"/>
  <c r="AS820" i="2" s="1"/>
  <c r="AU820" i="2" l="1"/>
  <c r="BG820" i="2"/>
  <c r="BE820" i="2" l="1"/>
  <c r="BF820" i="2"/>
  <c r="BD820" i="2"/>
  <c r="AZ820" i="2"/>
  <c r="BA820" i="2" l="1"/>
  <c r="BB820" i="2"/>
  <c r="AX820" i="2" s="1"/>
  <c r="AT821" i="2" s="1"/>
  <c r="AY820" i="2"/>
  <c r="BC820" i="2"/>
  <c r="AV821" i="2" l="1"/>
  <c r="AW820" i="2"/>
  <c r="AS821" i="2" s="1"/>
  <c r="AU821" i="2" l="1"/>
  <c r="BG821" i="2"/>
  <c r="BE821" i="2" l="1"/>
  <c r="AZ821" i="2" s="1"/>
  <c r="BF821" i="2"/>
  <c r="BD821" i="2"/>
  <c r="AY821" i="2" l="1"/>
  <c r="BA821" i="2"/>
  <c r="BB821" i="2"/>
  <c r="AX821" i="2" s="1"/>
  <c r="AT822" i="2" s="1"/>
  <c r="BC821" i="2"/>
  <c r="AW821" i="2" l="1"/>
  <c r="AS822" i="2" s="1"/>
  <c r="AU822" i="2"/>
  <c r="AV822" i="2"/>
  <c r="BG822" i="2" l="1"/>
  <c r="BF822" i="2"/>
  <c r="BA822" i="2" s="1"/>
  <c r="BE822" i="2"/>
  <c r="AZ822" i="2" s="1"/>
  <c r="BD822" i="2"/>
  <c r="AY822" i="2" l="1"/>
  <c r="BC822" i="2"/>
  <c r="BB822" i="2"/>
  <c r="AX822" i="2" s="1"/>
  <c r="AT823" i="2" s="1"/>
  <c r="AV823" i="2" l="1"/>
  <c r="AW822" i="2"/>
  <c r="AS823" i="2" s="1"/>
  <c r="AU823" i="2" l="1"/>
  <c r="BG823" i="2"/>
  <c r="BE823" i="2" l="1"/>
  <c r="BF823" i="2"/>
  <c r="BD823" i="2"/>
  <c r="AZ823" i="2"/>
  <c r="AY823" i="2"/>
  <c r="BB823" i="2"/>
  <c r="AX823" i="2" l="1"/>
  <c r="AT824" i="2" s="1"/>
  <c r="BA823" i="2"/>
  <c r="BC823" i="2"/>
  <c r="AW823" i="2" l="1"/>
  <c r="AS824" i="2" s="1"/>
  <c r="AU824" i="2"/>
  <c r="AV824" i="2"/>
  <c r="BG824" i="2" l="1"/>
  <c r="BF824" i="2"/>
  <c r="BB824" i="2" s="1"/>
  <c r="BE824" i="2"/>
  <c r="BD824" i="2"/>
  <c r="BA824" i="2"/>
  <c r="AZ824" i="2"/>
  <c r="AY824" i="2"/>
  <c r="AX824" i="2" l="1"/>
  <c r="AT825" i="2" s="1"/>
  <c r="BC824" i="2"/>
  <c r="AW824" i="2" s="1"/>
  <c r="AS825" i="2" s="1"/>
  <c r="AU825" i="2" l="1"/>
  <c r="AV825" i="2"/>
  <c r="BG825" i="2" l="1"/>
  <c r="BF825" i="2"/>
  <c r="BE825" i="2"/>
  <c r="AZ825" i="2" s="1"/>
  <c r="BB825" i="2"/>
  <c r="BD825" i="2"/>
  <c r="AX825" i="2" l="1"/>
  <c r="AT826" i="2" s="1"/>
  <c r="BA825" i="2"/>
  <c r="AY825" i="2"/>
  <c r="BC825" i="2"/>
  <c r="AW825" i="2" l="1"/>
  <c r="AS826" i="2" s="1"/>
  <c r="AV826" i="2"/>
  <c r="AU826" i="2" l="1"/>
  <c r="BG826" i="2"/>
  <c r="BE826" i="2" l="1"/>
  <c r="AZ826" i="2" s="1"/>
  <c r="BF826" i="2"/>
  <c r="BD826" i="2"/>
  <c r="AY826" i="2" l="1"/>
  <c r="BA826" i="2"/>
  <c r="BB826" i="2"/>
  <c r="AX826" i="2" s="1"/>
  <c r="AT827" i="2" s="1"/>
  <c r="BC826" i="2"/>
  <c r="AV827" i="2" l="1"/>
  <c r="AW826" i="2"/>
  <c r="AS827" i="2" s="1"/>
  <c r="AU827" i="2" l="1"/>
  <c r="BG827" i="2"/>
  <c r="BE827" i="2" l="1"/>
  <c r="BF827" i="2"/>
  <c r="AZ827" i="2"/>
  <c r="BB827" i="2"/>
  <c r="BD827" i="2"/>
  <c r="BA827" i="2"/>
  <c r="AY827" i="2"/>
  <c r="AX827" i="2" l="1"/>
  <c r="AT828" i="2" s="1"/>
  <c r="BC827" i="2"/>
  <c r="AW827" i="2" s="1"/>
  <c r="AS828" i="2" s="1"/>
  <c r="AU828" i="2" l="1"/>
  <c r="AV828" i="2"/>
  <c r="BG828" i="2" l="1"/>
  <c r="BD828" i="2" s="1"/>
  <c r="BF828" i="2"/>
  <c r="BB828" i="2" s="1"/>
  <c r="BE828" i="2"/>
  <c r="AZ828" i="2"/>
  <c r="AX828" i="2" l="1"/>
  <c r="AT829" i="2" s="1"/>
  <c r="AY828" i="2"/>
  <c r="BA828" i="2"/>
  <c r="BC828" i="2"/>
  <c r="AV829" i="2"/>
  <c r="AW828" i="2" l="1"/>
  <c r="AS829" i="2" s="1"/>
  <c r="AU829" i="2" l="1"/>
  <c r="BG829" i="2"/>
  <c r="BE829" i="2" l="1"/>
  <c r="BF829" i="2"/>
  <c r="BB829" i="2" s="1"/>
  <c r="BD829" i="2"/>
  <c r="AZ829" i="2"/>
  <c r="BA829" i="2"/>
  <c r="AY829" i="2"/>
  <c r="AX829" i="2" l="1"/>
  <c r="BC829" i="2"/>
  <c r="AW829" i="2" s="1"/>
  <c r="AS830" i="2" s="1"/>
  <c r="AV830" i="2" l="1"/>
  <c r="AT830" i="2"/>
  <c r="BG830" i="2"/>
  <c r="AU830" i="2"/>
  <c r="BE830" i="2" l="1"/>
  <c r="BF830" i="2"/>
  <c r="AZ830" i="2"/>
  <c r="BD830" i="2"/>
  <c r="AY830" i="2"/>
  <c r="BB830" i="2"/>
  <c r="BA830" i="2" l="1"/>
  <c r="AX830" i="2"/>
  <c r="AT831" i="2" s="1"/>
  <c r="BC830" i="2"/>
  <c r="AW830" i="2" s="1"/>
  <c r="AS831" i="2" s="1"/>
  <c r="AU831" i="2" l="1"/>
  <c r="AV831" i="2"/>
  <c r="BG831" i="2" l="1"/>
  <c r="BD831" i="2" s="1"/>
  <c r="BE831" i="2"/>
  <c r="AZ831" i="2" s="1"/>
  <c r="BF831" i="2"/>
  <c r="BB831" i="2" s="1"/>
  <c r="AY831" i="2"/>
  <c r="BA831" i="2"/>
  <c r="AX831" i="2" l="1"/>
  <c r="AT832" i="2" s="1"/>
  <c r="BC831" i="2"/>
  <c r="AW831" i="2" s="1"/>
  <c r="AS832" i="2" s="1"/>
  <c r="AU832" i="2" l="1"/>
  <c r="AV832" i="2"/>
  <c r="BG832" i="2" l="1"/>
  <c r="BD832" i="2" s="1"/>
  <c r="BF832" i="2"/>
  <c r="BA832" i="2" s="1"/>
  <c r="BE832" i="2"/>
  <c r="AZ832" i="2" s="1"/>
  <c r="AY832" i="2" l="1"/>
  <c r="BC832" i="2"/>
  <c r="AW832" i="2" s="1"/>
  <c r="AS833" i="2" s="1"/>
  <c r="BB832" i="2"/>
  <c r="AX832" i="2" s="1"/>
  <c r="AT833" i="2" s="1"/>
  <c r="AU833" i="2" l="1"/>
  <c r="AV833" i="2"/>
  <c r="BG833" i="2" l="1"/>
  <c r="BC833" i="2" s="1"/>
  <c r="BF833" i="2"/>
  <c r="BA833" i="2" s="1"/>
  <c r="BE833" i="2"/>
  <c r="AY833" i="2" s="1"/>
  <c r="BB833" i="2"/>
  <c r="BD833" i="2" l="1"/>
  <c r="AW833" i="2"/>
  <c r="AS834" i="2" s="1"/>
  <c r="AZ833" i="2"/>
  <c r="AX833" i="2" s="1"/>
  <c r="AT834" i="2" s="1"/>
  <c r="AU834" i="2"/>
  <c r="BE834" i="2" l="1"/>
  <c r="AV834" i="2"/>
  <c r="BG834" i="2" l="1"/>
  <c r="BC834" i="2" s="1"/>
  <c r="BF834" i="2"/>
  <c r="BA834" i="2" s="1"/>
  <c r="BB834" i="2" l="1"/>
  <c r="BD834" i="2"/>
  <c r="AZ834" i="2"/>
  <c r="AY834" i="2"/>
  <c r="AW834" i="2" s="1"/>
  <c r="AS835" i="2" s="1"/>
  <c r="AU835" i="2" l="1"/>
  <c r="AX834" i="2"/>
  <c r="AT835" i="2" s="1"/>
  <c r="BE835" i="2" l="1"/>
  <c r="AY835" i="2" s="1"/>
  <c r="AV835" i="2"/>
  <c r="BG835" i="2" l="1"/>
  <c r="BF835" i="2"/>
  <c r="BB835" i="2" s="1"/>
  <c r="BD835" i="2"/>
  <c r="BA835" i="2"/>
  <c r="BC835" i="2"/>
  <c r="AZ835" i="2"/>
  <c r="AX835" i="2" s="1"/>
  <c r="AV836" i="2" s="1"/>
  <c r="AT836" i="2" l="1"/>
  <c r="AW835" i="2"/>
  <c r="AS836" i="2" s="1"/>
  <c r="AU836" i="2" l="1"/>
  <c r="BG836" i="2"/>
  <c r="BE836" i="2" l="1"/>
  <c r="AZ836" i="2" s="1"/>
  <c r="BF836" i="2"/>
  <c r="BD836" i="2"/>
  <c r="AY836" i="2" l="1"/>
  <c r="BA836" i="2"/>
  <c r="BB836" i="2"/>
  <c r="AX836" i="2" s="1"/>
  <c r="AT837" i="2" s="1"/>
  <c r="BC836" i="2"/>
  <c r="AW836" i="2" l="1"/>
  <c r="AS837" i="2" s="1"/>
  <c r="AV837" i="2"/>
  <c r="BG837" i="2" l="1"/>
  <c r="AU837" i="2"/>
  <c r="BE837" i="2"/>
  <c r="AZ837" i="2" s="1"/>
  <c r="BF837" i="2"/>
  <c r="BD837" i="2"/>
  <c r="BA837" i="2"/>
  <c r="BB837" i="2"/>
  <c r="AY837" i="2" l="1"/>
  <c r="AX837" i="2"/>
  <c r="AT838" i="2" s="1"/>
  <c r="BC837" i="2"/>
  <c r="AW837" i="2" s="1"/>
  <c r="AS838" i="2" s="1"/>
  <c r="AU838" i="2" l="1"/>
  <c r="AV838" i="2"/>
  <c r="BG838" i="2" l="1"/>
  <c r="BD838" i="2" s="1"/>
  <c r="BF838" i="2"/>
  <c r="BE838" i="2"/>
  <c r="AZ838" i="2" s="1"/>
  <c r="BA838" i="2"/>
  <c r="AY838" i="2"/>
  <c r="BC838" i="2" l="1"/>
  <c r="AW838" i="2" s="1"/>
  <c r="AS839" i="2" s="1"/>
  <c r="BB838" i="2"/>
  <c r="AX838" i="2" s="1"/>
  <c r="AT839" i="2" s="1"/>
  <c r="AU839" i="2" l="1"/>
  <c r="AV839" i="2"/>
  <c r="BG839" i="2" l="1"/>
  <c r="BF839" i="2"/>
  <c r="BB839" i="2" s="1"/>
  <c r="BE839" i="2"/>
  <c r="BD839" i="2"/>
  <c r="AZ839" i="2"/>
  <c r="BA839" i="2"/>
  <c r="AX839" i="2" l="1"/>
  <c r="AT840" i="2" s="1"/>
  <c r="AY839" i="2"/>
  <c r="BC839" i="2"/>
  <c r="AW839" i="2" l="1"/>
  <c r="AS840" i="2" s="1"/>
  <c r="AV840" i="2"/>
  <c r="BG840" i="2" l="1"/>
  <c r="AU840" i="2"/>
  <c r="BE840" i="2" l="1"/>
  <c r="BF840" i="2"/>
  <c r="AZ840" i="2"/>
  <c r="BD840" i="2"/>
  <c r="BB840" i="2"/>
  <c r="AY840" i="2"/>
  <c r="BA840" i="2"/>
  <c r="BC840" i="2" l="1"/>
  <c r="AW840" i="2" s="1"/>
  <c r="AS841" i="2" s="1"/>
  <c r="AX840" i="2"/>
  <c r="AT841" i="2" s="1"/>
  <c r="AU841" i="2" l="1"/>
  <c r="AV841" i="2"/>
  <c r="BG841" i="2" l="1"/>
  <c r="BF841" i="2"/>
  <c r="BE841" i="2"/>
  <c r="AZ841" i="2" s="1"/>
  <c r="BD841" i="2"/>
  <c r="BB841" i="2"/>
  <c r="AY841" i="2"/>
  <c r="AX841" i="2" l="1"/>
  <c r="AT842" i="2" s="1"/>
  <c r="BA841" i="2"/>
  <c r="BC841" i="2"/>
  <c r="AW841" i="2" l="1"/>
  <c r="AS842" i="2" s="1"/>
  <c r="AU842" i="2"/>
  <c r="AV842" i="2"/>
  <c r="BG842" i="2" l="1"/>
  <c r="BD842" i="2" s="1"/>
  <c r="BF842" i="2"/>
  <c r="BB842" i="2" s="1"/>
  <c r="BE842" i="2"/>
  <c r="AZ842" i="2" s="1"/>
  <c r="BA842" i="2"/>
  <c r="AY842" i="2"/>
  <c r="AX842" i="2" l="1"/>
  <c r="AT843" i="2" s="1"/>
  <c r="BC842" i="2"/>
  <c r="AW842" i="2" s="1"/>
  <c r="AS843" i="2" s="1"/>
  <c r="AU843" i="2" l="1"/>
  <c r="AV843" i="2"/>
  <c r="BG843" i="2" l="1"/>
  <c r="BF843" i="2"/>
  <c r="BB843" i="2" s="1"/>
  <c r="BE843" i="2"/>
  <c r="AY843" i="2" s="1"/>
  <c r="BA843" i="2"/>
  <c r="BC843" i="2"/>
  <c r="AZ843" i="2"/>
  <c r="BD843" i="2" l="1"/>
  <c r="AX843" i="2" s="1"/>
  <c r="AT844" i="2" s="1"/>
  <c r="AW843" i="2"/>
  <c r="AS844" i="2" s="1"/>
  <c r="AU844" i="2" l="1"/>
  <c r="AV844" i="2"/>
  <c r="BG844" i="2" l="1"/>
  <c r="BD844" i="2" s="1"/>
  <c r="BF844" i="2"/>
  <c r="BA844" i="2" s="1"/>
  <c r="BE844" i="2"/>
  <c r="AY844" i="2" s="1"/>
  <c r="BC844" i="2" l="1"/>
  <c r="AW844" i="2" s="1"/>
  <c r="AS845" i="2" s="1"/>
  <c r="BB844" i="2"/>
  <c r="AZ844" i="2"/>
  <c r="AX844" i="2" l="1"/>
  <c r="AT845" i="2" s="1"/>
  <c r="AV845" i="2"/>
  <c r="AU845" i="2"/>
  <c r="BG845" i="2"/>
  <c r="BE845" i="2" l="1"/>
  <c r="BF845" i="2"/>
  <c r="BA845" i="2" s="1"/>
  <c r="BC845" i="2"/>
  <c r="AY845" i="2"/>
  <c r="AZ845" i="2"/>
  <c r="BB845" i="2"/>
  <c r="AW845" i="2" l="1"/>
  <c r="AS846" i="2" s="1"/>
  <c r="BD845" i="2"/>
  <c r="AX845" i="2" s="1"/>
  <c r="AT846" i="2" s="1"/>
  <c r="AU846" i="2"/>
  <c r="AV846" i="2" l="1"/>
  <c r="BE846" i="2"/>
  <c r="BG846" i="2" l="1"/>
  <c r="BC846" i="2" s="1"/>
  <c r="BF846" i="2"/>
  <c r="BA846" i="2" s="1"/>
  <c r="AY846" i="2"/>
  <c r="BB846" i="2" l="1"/>
  <c r="AW846" i="2"/>
  <c r="AS847" i="2" s="1"/>
  <c r="BD846" i="2"/>
  <c r="AU847" i="2"/>
  <c r="AZ846" i="2"/>
  <c r="AX846" i="2" s="1"/>
  <c r="AT847" i="2" s="1"/>
  <c r="BE847" i="2" l="1"/>
  <c r="AY847" i="2" s="1"/>
  <c r="AV847" i="2"/>
  <c r="BG847" i="2" l="1"/>
  <c r="BC847" i="2" s="1"/>
  <c r="BF847" i="2"/>
  <c r="BA847" i="2" s="1"/>
  <c r="AZ847" i="2"/>
  <c r="BB847" i="2"/>
  <c r="AW847" i="2" l="1"/>
  <c r="AS848" i="2" s="1"/>
  <c r="BD847" i="2"/>
  <c r="AX847" i="2" s="1"/>
  <c r="AT848" i="2" s="1"/>
  <c r="AU848" i="2"/>
  <c r="AV848" i="2" l="1"/>
  <c r="BE848" i="2"/>
  <c r="BG848" i="2" l="1"/>
  <c r="BF848" i="2"/>
  <c r="BC848" i="2"/>
  <c r="AY848" i="2"/>
  <c r="BA848" i="2"/>
  <c r="AW848" i="2" l="1"/>
  <c r="AS849" i="2" s="1"/>
  <c r="BD848" i="2"/>
  <c r="AZ848" i="2"/>
  <c r="BB848" i="2"/>
  <c r="AU849" i="2" l="1"/>
  <c r="AX848" i="2"/>
  <c r="AT849" i="2" s="1"/>
  <c r="BG849" i="2" l="1"/>
  <c r="AV849" i="2"/>
  <c r="BE849" i="2" l="1"/>
  <c r="AY849" i="2" s="1"/>
  <c r="BF849" i="2"/>
  <c r="BA849" i="2" s="1"/>
  <c r="BC849" i="2"/>
  <c r="BD849" i="2" l="1"/>
  <c r="AW849" i="2"/>
  <c r="AS850" i="2" s="1"/>
  <c r="AZ849" i="2"/>
  <c r="BB849" i="2"/>
  <c r="AU850" i="2" l="1"/>
  <c r="AX849" i="2"/>
  <c r="AT850" i="2" s="1"/>
  <c r="AV850" i="2" l="1"/>
  <c r="BE850" i="2"/>
  <c r="AY850" i="2" s="1"/>
  <c r="BG850" i="2" l="1"/>
  <c r="BF850" i="2"/>
  <c r="BA850" i="2" s="1"/>
  <c r="BD850" i="2"/>
  <c r="AZ850" i="2"/>
  <c r="BC850" i="2"/>
  <c r="AW850" i="2" l="1"/>
  <c r="AS851" i="2" s="1"/>
  <c r="BB850" i="2"/>
  <c r="AX850" i="2" s="1"/>
  <c r="AT851" i="2" s="1"/>
  <c r="AU851" i="2"/>
  <c r="BE851" i="2" l="1"/>
  <c r="AV851" i="2"/>
  <c r="BG851" i="2" l="1"/>
  <c r="BF851" i="2"/>
  <c r="BA851" i="2" s="1"/>
  <c r="BD851" i="2"/>
  <c r="AY851" i="2"/>
  <c r="AZ851" i="2"/>
  <c r="BC851" i="2"/>
  <c r="BB851" i="2" l="1"/>
  <c r="AX851" i="2" s="1"/>
  <c r="AT852" i="2" s="1"/>
  <c r="AW851" i="2"/>
  <c r="AS852" i="2" s="1"/>
  <c r="AV852" i="2" l="1"/>
  <c r="BG852" i="2"/>
  <c r="AU852" i="2"/>
  <c r="BE852" i="2" l="1"/>
  <c r="BF852" i="2"/>
  <c r="BD852" i="2"/>
  <c r="BA852" i="2" l="1"/>
  <c r="BB852" i="2"/>
  <c r="AY852" i="2"/>
  <c r="AZ852" i="2"/>
  <c r="BC852" i="2"/>
  <c r="AX852" i="2" l="1"/>
  <c r="AT853" i="2" s="1"/>
  <c r="AW852" i="2"/>
  <c r="AS853" i="2" s="1"/>
  <c r="AV853" i="2" l="1"/>
  <c r="AU853" i="2"/>
  <c r="BG853" i="2"/>
  <c r="BE853" i="2" l="1"/>
  <c r="AZ853" i="2" s="1"/>
  <c r="BF853" i="2"/>
  <c r="BD853" i="2"/>
  <c r="AY853" i="2" l="1"/>
  <c r="BA853" i="2"/>
  <c r="BB853" i="2"/>
  <c r="AX853" i="2" s="1"/>
  <c r="AT854" i="2" s="1"/>
  <c r="BC853" i="2"/>
  <c r="AW853" i="2" l="1"/>
  <c r="AS854" i="2" s="1"/>
  <c r="AV854" i="2"/>
  <c r="BG854" i="2"/>
  <c r="AU854" i="2"/>
  <c r="BE854" i="2" l="1"/>
  <c r="BF854" i="2"/>
  <c r="BD854" i="2"/>
  <c r="AZ854" i="2"/>
  <c r="BA854" i="2"/>
  <c r="AY854" i="2"/>
  <c r="BC854" i="2" l="1"/>
  <c r="AW854" i="2"/>
  <c r="AS855" i="2" s="1"/>
  <c r="BB854" i="2"/>
  <c r="AX854" i="2" s="1"/>
  <c r="AT855" i="2" s="1"/>
  <c r="AV855" i="2" l="1"/>
  <c r="AU855" i="2"/>
  <c r="BG855" i="2"/>
  <c r="BE855" i="2" l="1"/>
  <c r="BF855" i="2"/>
  <c r="BA855" i="2" s="1"/>
  <c r="AY855" i="2"/>
  <c r="BC855" i="2"/>
  <c r="BB855" i="2"/>
  <c r="AZ855" i="2"/>
  <c r="BD855" i="2" l="1"/>
  <c r="AW855" i="2"/>
  <c r="AS856" i="2" s="1"/>
  <c r="AX855" i="2"/>
  <c r="AT856" i="2" s="1"/>
  <c r="AV856" i="2" l="1"/>
  <c r="AU856" i="2"/>
  <c r="BG856" i="2"/>
  <c r="BE856" i="2" l="1"/>
  <c r="AZ856" i="2" s="1"/>
  <c r="BF856" i="2"/>
  <c r="BB856" i="2" s="1"/>
  <c r="BD856" i="2"/>
  <c r="AX856" i="2" l="1"/>
  <c r="AT857" i="2" s="1"/>
  <c r="BA856" i="2"/>
  <c r="AY856" i="2"/>
  <c r="BC856" i="2"/>
  <c r="AV857" i="2" l="1"/>
  <c r="AW856" i="2"/>
  <c r="AS857" i="2" s="1"/>
  <c r="AU857" i="2" l="1"/>
  <c r="BG857" i="2"/>
  <c r="BE857" i="2" l="1"/>
  <c r="AZ857" i="2" s="1"/>
  <c r="BF857" i="2"/>
  <c r="BB857" i="2" s="1"/>
  <c r="BD857" i="2"/>
  <c r="BA857" i="2"/>
  <c r="AY857" i="2" l="1"/>
  <c r="AX857" i="2"/>
  <c r="AT858" i="2" s="1"/>
  <c r="BC857" i="2"/>
  <c r="AW857" i="2" s="1"/>
  <c r="AS858" i="2" s="1"/>
  <c r="AU858" i="2" l="1"/>
  <c r="AV858" i="2"/>
  <c r="BG858" i="2" l="1"/>
  <c r="BD858" i="2" s="1"/>
  <c r="BF858" i="2"/>
  <c r="BB858" i="2" s="1"/>
  <c r="BE858" i="2"/>
  <c r="AY858" i="2" s="1"/>
  <c r="AZ858" i="2"/>
  <c r="AX858" i="2" l="1"/>
  <c r="AT859" i="2" s="1"/>
  <c r="BA858" i="2"/>
  <c r="AV859" i="2"/>
  <c r="BC858" i="2"/>
  <c r="AW858" i="2" l="1"/>
  <c r="AS859" i="2" s="1"/>
  <c r="AU859" i="2"/>
  <c r="BG859" i="2"/>
  <c r="BE859" i="2" l="1"/>
  <c r="BF859" i="2"/>
  <c r="BD859" i="2"/>
  <c r="BB859" i="2"/>
  <c r="BA859" i="2" l="1"/>
  <c r="AY859" i="2"/>
  <c r="AZ859" i="2"/>
  <c r="AX859" i="2" s="1"/>
  <c r="AT860" i="2" s="1"/>
  <c r="BC859" i="2"/>
  <c r="AW859" i="2" l="1"/>
  <c r="AS860" i="2" s="1"/>
  <c r="AU860" i="2"/>
  <c r="AV860" i="2"/>
  <c r="BG860" i="2" l="1"/>
  <c r="BD860" i="2" s="1"/>
  <c r="BF860" i="2"/>
  <c r="BA860" i="2" s="1"/>
  <c r="BE860" i="2"/>
  <c r="AY860" i="2" s="1"/>
  <c r="AZ860" i="2" l="1"/>
  <c r="BC860" i="2"/>
  <c r="AW860" i="2" s="1"/>
  <c r="AS861" i="2" s="1"/>
  <c r="BB860" i="2"/>
  <c r="AU861" i="2" l="1"/>
  <c r="AX860" i="2"/>
  <c r="AT861" i="2" s="1"/>
  <c r="BE861" i="2" l="1"/>
  <c r="AV861" i="2"/>
  <c r="BG861" i="2" l="1"/>
  <c r="BF861" i="2"/>
  <c r="BA861" i="2" s="1"/>
  <c r="BD861" i="2"/>
  <c r="BB861" i="2" l="1"/>
  <c r="BC861" i="2"/>
  <c r="AZ861" i="2"/>
  <c r="AX861" i="2" s="1"/>
  <c r="AT862" i="2" s="1"/>
  <c r="AY861" i="2"/>
  <c r="AV862" i="2" l="1"/>
  <c r="AW861" i="2"/>
  <c r="AS862" i="2" s="1"/>
  <c r="BG862" i="2" l="1"/>
  <c r="AU862" i="2"/>
  <c r="BE862" i="2" l="1"/>
  <c r="BF862" i="2"/>
  <c r="BD862" i="2"/>
  <c r="BB862" i="2"/>
  <c r="AZ862" i="2"/>
  <c r="BA862" i="2" l="1"/>
  <c r="AX862" i="2"/>
  <c r="AT863" i="2" s="1"/>
  <c r="AY862" i="2"/>
  <c r="BC862" i="2"/>
  <c r="AW862" i="2" l="1"/>
  <c r="AS863" i="2" s="1"/>
  <c r="AV863" i="2"/>
  <c r="AU863" i="2" l="1"/>
  <c r="BG863" i="2"/>
  <c r="BF863" i="2"/>
  <c r="BE863" i="2"/>
  <c r="AZ863" i="2" s="1"/>
  <c r="BA863" i="2"/>
  <c r="BD863" i="2"/>
  <c r="AY863" i="2"/>
  <c r="BC863" i="2" l="1"/>
  <c r="AW863" i="2" s="1"/>
  <c r="AS864" i="2" s="1"/>
  <c r="BB863" i="2"/>
  <c r="AX863" i="2" s="1"/>
  <c r="AT864" i="2" s="1"/>
  <c r="AV864" i="2" l="1"/>
  <c r="AU864" i="2"/>
  <c r="BG864" i="2"/>
  <c r="BE864" i="2" l="1"/>
  <c r="BF864" i="2"/>
  <c r="BA864" i="2" s="1"/>
  <c r="AY864" i="2"/>
  <c r="BC864" i="2"/>
  <c r="BB864" i="2"/>
  <c r="AZ864" i="2"/>
  <c r="BD864" i="2" l="1"/>
  <c r="AX864" i="2" s="1"/>
  <c r="AT865" i="2" s="1"/>
  <c r="AW864" i="2"/>
  <c r="AS865" i="2" s="1"/>
  <c r="AU865" i="2" l="1"/>
  <c r="AV865" i="2"/>
  <c r="BG865" i="2" l="1"/>
  <c r="BC865" i="2" s="1"/>
  <c r="BF865" i="2"/>
  <c r="BA865" i="2" s="1"/>
  <c r="BE865" i="2"/>
  <c r="AY865" i="2" s="1"/>
  <c r="AZ865" i="2"/>
  <c r="BB865" i="2"/>
  <c r="BD865" i="2" l="1"/>
  <c r="AX865" i="2"/>
  <c r="AT866" i="2" s="1"/>
  <c r="AW865" i="2"/>
  <c r="AS866" i="2" s="1"/>
  <c r="AU866" i="2" l="1"/>
  <c r="AV866" i="2"/>
  <c r="BG866" i="2" l="1"/>
  <c r="BF866" i="2"/>
  <c r="BE866" i="2"/>
  <c r="AY866" i="2" s="1"/>
  <c r="BC866" i="2"/>
  <c r="BA866" i="2"/>
  <c r="AZ866" i="2"/>
  <c r="BB866" i="2"/>
  <c r="BD866" i="2" l="1"/>
  <c r="AX866" i="2" s="1"/>
  <c r="AT867" i="2" s="1"/>
  <c r="AW866" i="2"/>
  <c r="AS867" i="2" s="1"/>
  <c r="AV867" i="2" l="1"/>
  <c r="AU867" i="2"/>
  <c r="BG867" i="2"/>
  <c r="BE867" i="2" l="1"/>
  <c r="BF867" i="2"/>
  <c r="BD867" i="2"/>
  <c r="BA867" i="2" l="1"/>
  <c r="BB867" i="2"/>
  <c r="AY867" i="2"/>
  <c r="AZ867" i="2"/>
  <c r="BC867" i="2"/>
  <c r="AX867" i="2" l="1"/>
  <c r="AT868" i="2" s="1"/>
  <c r="AV868" i="2"/>
  <c r="AW867" i="2"/>
  <c r="AS868" i="2" s="1"/>
  <c r="BG868" i="2" l="1"/>
  <c r="AU868" i="2"/>
  <c r="BE868" i="2" l="1"/>
  <c r="BF868" i="2"/>
  <c r="BD868" i="2"/>
  <c r="AY868" i="2" l="1"/>
  <c r="AZ868" i="2"/>
  <c r="BA868" i="2"/>
  <c r="BB868" i="2"/>
  <c r="BC868" i="2"/>
  <c r="AX868" i="2" l="1"/>
  <c r="AT869" i="2" s="1"/>
  <c r="AW868" i="2"/>
  <c r="AS869" i="2" s="1"/>
  <c r="AU869" i="2" l="1"/>
  <c r="AV869" i="2"/>
  <c r="BG869" i="2" l="1"/>
  <c r="BF869" i="2"/>
  <c r="BE869" i="2"/>
  <c r="AY869" i="2" s="1"/>
  <c r="BC869" i="2"/>
  <c r="BA869" i="2"/>
  <c r="BB869" i="2"/>
  <c r="AZ869" i="2"/>
  <c r="BD869" i="2" l="1"/>
  <c r="AX869" i="2" s="1"/>
  <c r="AT870" i="2" s="1"/>
  <c r="AW869" i="2"/>
  <c r="AS870" i="2" s="1"/>
  <c r="AU870" i="2" l="1"/>
  <c r="AV870" i="2"/>
  <c r="BG870" i="2" l="1"/>
  <c r="BD870" i="2" s="1"/>
  <c r="BF870" i="2"/>
  <c r="BA870" i="2" s="1"/>
  <c r="BE870" i="2"/>
  <c r="AY870" i="2" s="1"/>
  <c r="BC870" i="2" l="1"/>
  <c r="AW870" i="2" s="1"/>
  <c r="AS871" i="2" s="1"/>
  <c r="AZ870" i="2"/>
  <c r="BB870" i="2"/>
  <c r="AU871" i="2" l="1"/>
  <c r="AX870" i="2"/>
  <c r="AT871" i="2" s="1"/>
  <c r="BE871" i="2" l="1"/>
  <c r="AV871" i="2"/>
  <c r="BG871" i="2" l="1"/>
  <c r="BF871" i="2"/>
  <c r="AY871" i="2"/>
  <c r="AZ871" i="2"/>
  <c r="BC871" i="2"/>
  <c r="BA871" i="2"/>
  <c r="AW871" i="2" l="1"/>
  <c r="AS872" i="2" s="1"/>
  <c r="BD871" i="2"/>
  <c r="AU872" i="2"/>
  <c r="BB871" i="2"/>
  <c r="AX871" i="2" s="1"/>
  <c r="AT872" i="2" s="1"/>
  <c r="AV872" i="2" l="1"/>
  <c r="BE872" i="2"/>
  <c r="AY872" i="2" s="1"/>
  <c r="BG872" i="2" l="1"/>
  <c r="BC872" i="2"/>
  <c r="BF872" i="2"/>
  <c r="BA872" i="2" s="1"/>
  <c r="BD872" i="2"/>
  <c r="AZ872" i="2"/>
  <c r="BB872" i="2"/>
  <c r="AW872" i="2" l="1"/>
  <c r="AS873" i="2" s="1"/>
  <c r="AX872" i="2"/>
  <c r="AT873" i="2" s="1"/>
  <c r="AU873" i="2"/>
  <c r="AV873" i="2" l="1"/>
  <c r="BE873" i="2"/>
  <c r="BG873" i="2" l="1"/>
  <c r="BF873" i="2"/>
  <c r="BC873" i="2"/>
  <c r="AY873" i="2"/>
  <c r="BA873" i="2"/>
  <c r="BD873" i="2" l="1"/>
  <c r="BB873" i="2"/>
  <c r="AW873" i="2"/>
  <c r="AS874" i="2" s="1"/>
  <c r="AZ873" i="2"/>
  <c r="AX873" i="2" l="1"/>
  <c r="AU874" i="2"/>
  <c r="AV874" i="2" l="1"/>
  <c r="AT874" i="2"/>
  <c r="BG874" i="2"/>
  <c r="BF874" i="2"/>
  <c r="BE874" i="2"/>
  <c r="AY874" i="2" s="1"/>
  <c r="BA874" i="2"/>
  <c r="BD874" i="2"/>
  <c r="BC874" i="2" l="1"/>
  <c r="AW874" i="2" s="1"/>
  <c r="AS875" i="2" s="1"/>
  <c r="BB874" i="2"/>
  <c r="AZ874" i="2"/>
  <c r="AX874" i="2" l="1"/>
  <c r="AT875" i="2" s="1"/>
  <c r="AU875" i="2"/>
  <c r="AV875" i="2"/>
  <c r="BG875" i="2" l="1"/>
  <c r="BF875" i="2"/>
  <c r="BA875" i="2" s="1"/>
  <c r="BE875" i="2"/>
  <c r="BC875" i="2"/>
  <c r="AY875" i="2"/>
  <c r="AZ875" i="2"/>
  <c r="BB875" i="2"/>
  <c r="BD875" i="2" l="1"/>
  <c r="AX875" i="2" s="1"/>
  <c r="AT876" i="2" s="1"/>
  <c r="AW875" i="2"/>
  <c r="AS876" i="2" s="1"/>
  <c r="AV876" i="2" l="1"/>
  <c r="AU876" i="2"/>
  <c r="BG876" i="2"/>
  <c r="BE876" i="2" l="1"/>
  <c r="AZ876" i="2" s="1"/>
  <c r="BF876" i="2"/>
  <c r="BD876" i="2"/>
  <c r="AY876" i="2" l="1"/>
  <c r="BA876" i="2"/>
  <c r="BB876" i="2"/>
  <c r="AX876" i="2" s="1"/>
  <c r="AT877" i="2" s="1"/>
  <c r="BC876" i="2"/>
  <c r="AW876" i="2" s="1"/>
  <c r="AS877" i="2" s="1"/>
  <c r="AU877" i="2" l="1"/>
  <c r="AV877" i="2"/>
  <c r="BG877" i="2" l="1"/>
  <c r="BF877" i="2"/>
  <c r="BA877" i="2" s="1"/>
  <c r="BE877" i="2"/>
  <c r="AZ877" i="2" s="1"/>
  <c r="BC877" i="2"/>
  <c r="AY877" i="2"/>
  <c r="BD877" i="2" l="1"/>
  <c r="AW877" i="2"/>
  <c r="AS878" i="2" s="1"/>
  <c r="BB877" i="2"/>
  <c r="AX877" i="2" l="1"/>
  <c r="AT878" i="2" s="1"/>
  <c r="AU878" i="2"/>
  <c r="AV878" i="2" l="1"/>
  <c r="BG878" i="2"/>
  <c r="BF878" i="2"/>
  <c r="BE878" i="2"/>
  <c r="BD878" i="2"/>
  <c r="BA878" i="2"/>
  <c r="AZ878" i="2"/>
  <c r="AY878" i="2" l="1"/>
  <c r="BC878" i="2"/>
  <c r="BB878" i="2"/>
  <c r="AX878" i="2" s="1"/>
  <c r="AT879" i="2" s="1"/>
  <c r="AV879" i="2" l="1"/>
  <c r="AW878" i="2"/>
  <c r="AS879" i="2" s="1"/>
  <c r="BG879" i="2" l="1"/>
  <c r="AU879" i="2"/>
  <c r="BE879" i="2" l="1"/>
  <c r="AZ879" i="2" s="1"/>
  <c r="BF879" i="2"/>
  <c r="BD879" i="2"/>
  <c r="BA879" i="2" l="1"/>
  <c r="BB879" i="2"/>
  <c r="AX879" i="2" s="1"/>
  <c r="AT880" i="2" s="1"/>
  <c r="AY879" i="2"/>
  <c r="BC879" i="2"/>
  <c r="AV880" i="2" l="1"/>
  <c r="AW879" i="2"/>
  <c r="AS880" i="2" s="1"/>
  <c r="AU880" i="2" l="1"/>
  <c r="BG880" i="2"/>
  <c r="BE880" i="2" l="1"/>
  <c r="AZ880" i="2" s="1"/>
  <c r="BF880" i="2"/>
  <c r="BD880" i="2"/>
  <c r="AY880" i="2" l="1"/>
  <c r="BA880" i="2"/>
  <c r="BB880" i="2"/>
  <c r="AX880" i="2" s="1"/>
  <c r="AT881" i="2" s="1"/>
  <c r="BC880" i="2"/>
  <c r="AW880" i="2" l="1"/>
  <c r="AV881" i="2"/>
  <c r="AU881" i="2" l="1"/>
  <c r="AS881" i="2"/>
  <c r="BG881" i="2"/>
  <c r="BD881" i="2" s="1"/>
  <c r="BF881" i="2" l="1"/>
  <c r="BB881" i="2" s="1"/>
  <c r="BE881" i="2"/>
  <c r="AZ881" i="2" s="1"/>
  <c r="BC881" i="2"/>
  <c r="AX881" i="2" l="1"/>
  <c r="AY881" i="2"/>
  <c r="BA881" i="2"/>
  <c r="AV882" i="2" l="1"/>
  <c r="AT882" i="2"/>
  <c r="AW881" i="2"/>
  <c r="AS882" i="2" s="1"/>
  <c r="AU882" i="2" l="1"/>
  <c r="BG882" i="2"/>
  <c r="BD882" i="2" s="1"/>
  <c r="BE882" i="2"/>
  <c r="AY882" i="2" s="1"/>
  <c r="BF882" i="2"/>
  <c r="AZ882" i="2" l="1"/>
  <c r="BA882" i="2"/>
  <c r="BB882" i="2"/>
  <c r="BC882" i="2"/>
  <c r="AX882" i="2" l="1"/>
  <c r="AW882" i="2"/>
  <c r="AS883" i="2" s="1"/>
  <c r="AV883" i="2" l="1"/>
  <c r="AT883" i="2"/>
  <c r="AU883" i="2"/>
  <c r="BG883" i="2"/>
  <c r="BE883" i="2" l="1"/>
  <c r="AY883" i="2" s="1"/>
  <c r="BD883" i="2"/>
  <c r="BF883" i="2"/>
  <c r="BA883" i="2" s="1"/>
  <c r="BC883" i="2"/>
  <c r="BB883" i="2" l="1"/>
  <c r="AW883" i="2"/>
  <c r="AS884" i="2" s="1"/>
  <c r="AZ883" i="2"/>
  <c r="AU884" i="2"/>
  <c r="AX883" i="2" l="1"/>
  <c r="AT884" i="2" s="1"/>
  <c r="BG884" i="2"/>
  <c r="BD884" i="2" s="1"/>
  <c r="BF884" i="2"/>
  <c r="BB884" i="2" s="1"/>
  <c r="BE884" i="2"/>
  <c r="AZ884" i="2" s="1"/>
  <c r="BA884" i="2"/>
  <c r="AY884" i="2" l="1"/>
  <c r="AV884" i="2"/>
  <c r="AX884" i="2"/>
  <c r="BC884" i="2"/>
  <c r="AW884" i="2" s="1"/>
  <c r="AS885" i="2" s="1"/>
  <c r="AT885" i="2" l="1"/>
  <c r="AV885" i="2"/>
  <c r="BG885" i="2"/>
  <c r="AU885" i="2"/>
  <c r="BE885" i="2" l="1"/>
  <c r="AZ885" i="2" s="1"/>
  <c r="BF885" i="2"/>
  <c r="BB885" i="2" s="1"/>
  <c r="BD885" i="2"/>
  <c r="BA885" i="2"/>
  <c r="AY885" i="2" l="1"/>
  <c r="AX885" i="2"/>
  <c r="AT886" i="2" s="1"/>
  <c r="BC885" i="2"/>
  <c r="AW885" i="2" s="1"/>
  <c r="AS886" i="2" s="1"/>
  <c r="AU886" i="2" l="1"/>
  <c r="AV886" i="2"/>
  <c r="BG886" i="2" l="1"/>
  <c r="BC886" i="2" s="1"/>
  <c r="BF886" i="2"/>
  <c r="BE886" i="2"/>
  <c r="AY886" i="2" s="1"/>
  <c r="BA886" i="2"/>
  <c r="BB886" i="2"/>
  <c r="AZ886" i="2"/>
  <c r="BD886" i="2" l="1"/>
  <c r="AW886" i="2"/>
  <c r="AS887" i="2" s="1"/>
  <c r="AX886" i="2"/>
  <c r="AT887" i="2" s="1"/>
  <c r="AV887" i="2" l="1"/>
  <c r="AU887" i="2"/>
  <c r="BG887" i="2"/>
  <c r="BE887" i="2" l="1"/>
  <c r="BF887" i="2"/>
  <c r="AZ887" i="2"/>
  <c r="BB887" i="2"/>
  <c r="AY887" i="2"/>
  <c r="BD887" i="2"/>
  <c r="BA887" i="2"/>
  <c r="BC887" i="2" l="1"/>
  <c r="AW887" i="2" s="1"/>
  <c r="AS888" i="2" s="1"/>
  <c r="AX887" i="2"/>
  <c r="AT888" i="2" s="1"/>
  <c r="AU888" i="2" l="1"/>
  <c r="AV888" i="2"/>
  <c r="BG888" i="2" l="1"/>
  <c r="BC888" i="2" s="1"/>
  <c r="BF888" i="2"/>
  <c r="BA888" i="2" s="1"/>
  <c r="BE888" i="2"/>
  <c r="AZ888" i="2"/>
  <c r="BB888" i="2"/>
  <c r="BD888" i="2" l="1"/>
  <c r="AX888" i="2" s="1"/>
  <c r="AT889" i="2" s="1"/>
  <c r="AY888" i="2"/>
  <c r="AW888" i="2" s="1"/>
  <c r="AS889" i="2" s="1"/>
  <c r="AV889" i="2" l="1"/>
  <c r="BG889" i="2"/>
  <c r="AU889" i="2"/>
  <c r="BE889" i="2" l="1"/>
  <c r="BF889" i="2"/>
  <c r="AZ889" i="2"/>
  <c r="BD889" i="2"/>
  <c r="AY889" i="2"/>
  <c r="BA889" i="2" l="1"/>
  <c r="BB889" i="2"/>
  <c r="AX889" i="2" s="1"/>
  <c r="AT890" i="2" s="1"/>
  <c r="BC889" i="2"/>
  <c r="AW889" i="2" s="1"/>
  <c r="AS890" i="2" s="1"/>
  <c r="AU890" i="2" l="1"/>
  <c r="AV890" i="2"/>
  <c r="BG890" i="2" l="1"/>
  <c r="BF890" i="2"/>
  <c r="BB890" i="2" s="1"/>
  <c r="BE890" i="2"/>
  <c r="BD890" i="2"/>
  <c r="AZ890" i="2"/>
  <c r="BA890" i="2" l="1"/>
  <c r="AX890" i="2"/>
  <c r="AT891" i="2" s="1"/>
  <c r="AY890" i="2"/>
  <c r="BC890" i="2"/>
  <c r="AW890" i="2" l="1"/>
  <c r="AS891" i="2" s="1"/>
  <c r="AV891" i="2"/>
  <c r="BG891" i="2" l="1"/>
  <c r="AU891" i="2"/>
  <c r="BE891" i="2" l="1"/>
  <c r="BF891" i="2"/>
  <c r="AZ891" i="2"/>
  <c r="BB891" i="2"/>
  <c r="AY891" i="2"/>
  <c r="BD891" i="2" l="1"/>
  <c r="AX891" i="2" s="1"/>
  <c r="AT892" i="2" s="1"/>
  <c r="BA891" i="2"/>
  <c r="BC891" i="2"/>
  <c r="AV892" i="2" l="1"/>
  <c r="AW891" i="2"/>
  <c r="AU892" i="2" l="1"/>
  <c r="AS892" i="2"/>
  <c r="BG892" i="2"/>
  <c r="BE892" i="2"/>
  <c r="BF892" i="2"/>
  <c r="BB892" i="2" s="1"/>
  <c r="BD892" i="2"/>
  <c r="BA892" i="2"/>
  <c r="AY892" i="2" l="1"/>
  <c r="AZ892" i="2"/>
  <c r="AX892" i="2" s="1"/>
  <c r="AT893" i="2" s="1"/>
  <c r="BC892" i="2"/>
  <c r="AV893" i="2" l="1"/>
  <c r="AW892" i="2"/>
  <c r="AS893" i="2" s="1"/>
  <c r="AU893" i="2" l="1"/>
  <c r="BG893" i="2"/>
  <c r="BE893" i="2" l="1"/>
  <c r="BF893" i="2"/>
  <c r="BD893" i="2"/>
  <c r="BA893" i="2" l="1"/>
  <c r="BB893" i="2"/>
  <c r="AY893" i="2"/>
  <c r="AZ893" i="2"/>
  <c r="BC893" i="2"/>
  <c r="AX893" i="2" l="1"/>
  <c r="AT894" i="2" s="1"/>
  <c r="AV894" i="2"/>
  <c r="AW893" i="2"/>
  <c r="AS894" i="2" s="1"/>
  <c r="BG894" i="2" l="1"/>
  <c r="AU894" i="2"/>
  <c r="BE894" i="2" l="1"/>
  <c r="BF894" i="2"/>
  <c r="BD894" i="2"/>
  <c r="AY894" i="2" l="1"/>
  <c r="AZ894" i="2"/>
  <c r="BA894" i="2"/>
  <c r="BB894" i="2"/>
  <c r="BC894" i="2"/>
  <c r="AX894" i="2" l="1"/>
  <c r="AT895" i="2" s="1"/>
  <c r="AW894" i="2"/>
  <c r="AS895" i="2" s="1"/>
  <c r="AU895" i="2" l="1"/>
  <c r="AV895" i="2"/>
  <c r="BG895" i="2" l="1"/>
  <c r="BF895" i="2"/>
  <c r="BA895" i="2" s="1"/>
  <c r="BE895" i="2"/>
  <c r="AY895" i="2" s="1"/>
  <c r="BC895" i="2"/>
  <c r="AZ895" i="2"/>
  <c r="BB895" i="2"/>
  <c r="BD895" i="2" l="1"/>
  <c r="AX895" i="2" s="1"/>
  <c r="AT896" i="2" s="1"/>
  <c r="AW895" i="2"/>
  <c r="AS896" i="2" s="1"/>
  <c r="AU896" i="2" l="1"/>
  <c r="AV896" i="2"/>
  <c r="BG896" i="2" l="1"/>
  <c r="BF896" i="2"/>
  <c r="BA896" i="2" s="1"/>
  <c r="BE896" i="2"/>
  <c r="AY896" i="2" s="1"/>
  <c r="BD896" i="2"/>
  <c r="BC896" i="2" l="1"/>
  <c r="AW896" i="2" s="1"/>
  <c r="AS897" i="2" s="1"/>
  <c r="BB896" i="2"/>
  <c r="AZ896" i="2"/>
  <c r="AU897" i="2" l="1"/>
  <c r="AX896" i="2"/>
  <c r="AT897" i="2" s="1"/>
  <c r="AV897" i="2" l="1"/>
  <c r="BE897" i="2"/>
  <c r="BG897" i="2" l="1"/>
  <c r="BD897" i="2" s="1"/>
  <c r="BF897" i="2"/>
  <c r="AZ897" i="2"/>
  <c r="AY897" i="2"/>
  <c r="BB897" i="2" l="1"/>
  <c r="AX897" i="2" s="1"/>
  <c r="AT898" i="2" s="1"/>
  <c r="BA897" i="2"/>
  <c r="BC897" i="2"/>
  <c r="AW897" i="2" l="1"/>
  <c r="AS898" i="2" s="1"/>
  <c r="AU898" i="2"/>
  <c r="AV898" i="2"/>
  <c r="BG898" i="2" l="1"/>
  <c r="BF898" i="2"/>
  <c r="BE898" i="2"/>
  <c r="AZ898" i="2" s="1"/>
  <c r="BD898" i="2"/>
  <c r="BB898" i="2"/>
  <c r="AY898" i="2"/>
  <c r="BA898" i="2"/>
  <c r="AX898" i="2" l="1"/>
  <c r="AT899" i="2" s="1"/>
  <c r="BC898" i="2"/>
  <c r="AW898" i="2" s="1"/>
  <c r="AS899" i="2" s="1"/>
  <c r="AU899" i="2" l="1"/>
  <c r="AV899" i="2"/>
  <c r="BG899" i="2" l="1"/>
  <c r="BD899" i="2" s="1"/>
  <c r="BF899" i="2"/>
  <c r="BB899" i="2" s="1"/>
  <c r="BE899" i="2"/>
  <c r="AZ899" i="2" s="1"/>
  <c r="BA899" i="2"/>
  <c r="AY899" i="2" l="1"/>
  <c r="AX899" i="2"/>
  <c r="AT900" i="2" s="1"/>
  <c r="BC899" i="2"/>
  <c r="AW899" i="2" l="1"/>
  <c r="AS900" i="2" s="1"/>
  <c r="AU900" i="2"/>
  <c r="AV900" i="2"/>
  <c r="BG900" i="2" l="1"/>
  <c r="BF900" i="2"/>
  <c r="BA900" i="2" s="1"/>
  <c r="BE900" i="2"/>
  <c r="AZ900" i="2" s="1"/>
  <c r="BC900" i="2"/>
  <c r="BB900" i="2"/>
  <c r="BD900" i="2" l="1"/>
  <c r="AY900" i="2"/>
  <c r="AW900" i="2" s="1"/>
  <c r="AS901" i="2" s="1"/>
  <c r="AX900" i="2"/>
  <c r="AT901" i="2" s="1"/>
  <c r="AV901" i="2" l="1"/>
  <c r="AU901" i="2"/>
  <c r="BG901" i="2"/>
  <c r="BE901" i="2" l="1"/>
  <c r="BF901" i="2"/>
  <c r="BD901" i="2"/>
  <c r="BA901" i="2"/>
  <c r="AZ901" i="2"/>
  <c r="AY901" i="2" l="1"/>
  <c r="BC901" i="2"/>
  <c r="BB901" i="2"/>
  <c r="AX901" i="2" s="1"/>
  <c r="AT902" i="2" s="1"/>
  <c r="AV902" i="2" l="1"/>
  <c r="AW901" i="2"/>
  <c r="AS902" i="2" s="1"/>
  <c r="BG902" i="2" l="1"/>
  <c r="AU902" i="2"/>
  <c r="BE902" i="2" l="1"/>
  <c r="BF902" i="2"/>
  <c r="AZ902" i="2"/>
  <c r="BD902" i="2"/>
  <c r="BB902" i="2"/>
  <c r="AY902" i="2"/>
  <c r="BA902" i="2" l="1"/>
  <c r="AX902" i="2"/>
  <c r="AT903" i="2" s="1"/>
  <c r="BC902" i="2"/>
  <c r="AW902" i="2" l="1"/>
  <c r="AV903" i="2"/>
  <c r="AU903" i="2" l="1"/>
  <c r="AS903" i="2"/>
  <c r="BG903" i="2"/>
  <c r="BC903" i="2" l="1"/>
  <c r="BE903" i="2"/>
  <c r="BF903" i="2"/>
  <c r="BB903" i="2" s="1"/>
  <c r="BD903" i="2"/>
  <c r="AY903" i="2" l="1"/>
  <c r="AZ903" i="2"/>
  <c r="AX903" i="2" s="1"/>
  <c r="AT904" i="2" s="1"/>
  <c r="BA903" i="2"/>
  <c r="AV904" i="2" l="1"/>
  <c r="AW903" i="2"/>
  <c r="AS904" i="2" s="1"/>
  <c r="AU904" i="2" l="1"/>
  <c r="BG904" i="2" l="1"/>
  <c r="BD904" i="2" s="1"/>
  <c r="BF904" i="2"/>
  <c r="BB904" i="2" s="1"/>
  <c r="BC904" i="2"/>
  <c r="BE904" i="2"/>
  <c r="AZ904" i="2" s="1"/>
  <c r="AX904" i="2" s="1"/>
  <c r="AT905" i="2" s="1"/>
  <c r="AV905" i="2" l="1"/>
  <c r="AY904" i="2"/>
  <c r="BA904" i="2"/>
  <c r="AW904" i="2" l="1"/>
  <c r="AS905" i="2" s="1"/>
  <c r="AU905" i="2"/>
  <c r="BG905" i="2" l="1"/>
  <c r="BD905" i="2" s="1"/>
  <c r="BF905" i="2"/>
  <c r="BC905" i="2"/>
  <c r="BE905" i="2"/>
  <c r="AZ905" i="2" s="1"/>
  <c r="AY905" i="2" l="1"/>
  <c r="BA905" i="2"/>
  <c r="BB905" i="2"/>
  <c r="AX905" i="2" s="1"/>
  <c r="AT906" i="2" s="1"/>
  <c r="AW905" i="2" l="1"/>
  <c r="AS906" i="2" s="1"/>
  <c r="AV906" i="2"/>
  <c r="AU906" i="2"/>
  <c r="BG906" i="2" l="1"/>
  <c r="BD906" i="2" s="1"/>
  <c r="BE906" i="2"/>
  <c r="AZ906" i="2" s="1"/>
  <c r="BF906" i="2"/>
  <c r="BB906" i="2" s="1"/>
  <c r="AY906" i="2"/>
  <c r="AX906" i="2" l="1"/>
  <c r="AT907" i="2" s="1"/>
  <c r="AV907" i="2"/>
  <c r="BA906" i="2"/>
  <c r="BC906" i="2"/>
  <c r="AW906" i="2" l="1"/>
  <c r="AS907" i="2" s="1"/>
  <c r="AU907" i="2"/>
  <c r="BG907" i="2" l="1"/>
  <c r="BE907" i="2"/>
  <c r="BF907" i="2"/>
  <c r="AY907" i="2" l="1"/>
  <c r="AZ907" i="2"/>
  <c r="BA907" i="2"/>
  <c r="BB907" i="2"/>
  <c r="BD907" i="2"/>
  <c r="BC907" i="2"/>
  <c r="AX907" i="2" l="1"/>
  <c r="AT908" i="2" s="1"/>
  <c r="AW907" i="2"/>
  <c r="AS908" i="2" s="1"/>
  <c r="AU908" i="2" l="1"/>
  <c r="AV908" i="2"/>
  <c r="BG908" i="2" l="1"/>
  <c r="BC908" i="2" s="1"/>
  <c r="BF908" i="2"/>
  <c r="BB908" i="2" s="1"/>
  <c r="BE908" i="2"/>
  <c r="AZ908" i="2" s="1"/>
  <c r="BA908" i="2"/>
  <c r="AY908" i="2" l="1"/>
  <c r="AW908" i="2" s="1"/>
  <c r="AS909" i="2" s="1"/>
  <c r="BD908" i="2"/>
  <c r="AX908" i="2" s="1"/>
  <c r="AT909" i="2" s="1"/>
  <c r="AV909" i="2" l="1"/>
  <c r="AU909" i="2"/>
  <c r="BG909" i="2" l="1"/>
  <c r="BC909" i="2" s="1"/>
  <c r="BF909" i="2"/>
  <c r="BA909" i="2" s="1"/>
  <c r="BE909" i="2"/>
  <c r="BD909" i="2"/>
  <c r="BB909" i="2" l="1"/>
  <c r="AZ909" i="2"/>
  <c r="AX909" i="2" s="1"/>
  <c r="AT910" i="2" s="1"/>
  <c r="AY909" i="2"/>
  <c r="AW909" i="2" s="1"/>
  <c r="AS910" i="2" s="1"/>
  <c r="AU910" i="2" l="1"/>
  <c r="AV910" i="2"/>
  <c r="BG910" i="2"/>
  <c r="BD910" i="2" s="1"/>
  <c r="BF910" i="2" l="1"/>
  <c r="BB910" i="2" s="1"/>
  <c r="BE910" i="2"/>
  <c r="AZ910" i="2" s="1"/>
  <c r="AX910" i="2" s="1"/>
  <c r="AT911" i="2" s="1"/>
  <c r="BA910" i="2"/>
  <c r="BC910" i="2"/>
  <c r="AY910" i="2" l="1"/>
  <c r="AV911" i="2"/>
  <c r="AW910" i="2"/>
  <c r="AU911" i="2" l="1"/>
  <c r="AS911" i="2"/>
  <c r="BG911" i="2"/>
  <c r="BD911" i="2" s="1"/>
  <c r="BF911" i="2" l="1"/>
  <c r="BB911" i="2" s="1"/>
  <c r="BE911" i="2"/>
  <c r="AY911" i="2" s="1"/>
  <c r="BA911" i="2"/>
  <c r="BC911" i="2"/>
  <c r="AZ911" i="2" l="1"/>
  <c r="AX911" i="2" s="1"/>
  <c r="AT912" i="2" s="1"/>
  <c r="AW911" i="2"/>
  <c r="AS912" i="2" s="1"/>
  <c r="AV912" i="2"/>
  <c r="AU912" i="2" l="1"/>
  <c r="BG912" i="2"/>
  <c r="BF912" i="2"/>
  <c r="BA912" i="2" s="1"/>
  <c r="BE912" i="2"/>
  <c r="AY912" i="2" s="1"/>
  <c r="BD912" i="2"/>
  <c r="BC912" i="2" l="1"/>
  <c r="AW912" i="2" s="1"/>
  <c r="AS913" i="2" s="1"/>
  <c r="AZ912" i="2"/>
  <c r="BB912" i="2"/>
  <c r="AU913" i="2" l="1"/>
  <c r="AX912" i="2"/>
  <c r="AT913" i="2" s="1"/>
  <c r="BE913" i="2" l="1"/>
  <c r="AZ913" i="2" s="1"/>
  <c r="AV913" i="2"/>
  <c r="BG913" i="2" l="1"/>
  <c r="BC913" i="2" s="1"/>
  <c r="BF913" i="2"/>
  <c r="BA913" i="2" s="1"/>
  <c r="BD913" i="2"/>
  <c r="AY913" i="2"/>
  <c r="BB913" i="2"/>
  <c r="AX913" i="2" s="1"/>
  <c r="AV914" i="2" s="1"/>
  <c r="AT914" i="2" l="1"/>
  <c r="AW913" i="2"/>
  <c r="AU914" i="2" l="1"/>
  <c r="AS914" i="2"/>
  <c r="BG914" i="2"/>
  <c r="BC914" i="2" l="1"/>
  <c r="BF914" i="2"/>
  <c r="BE914" i="2"/>
  <c r="AZ914" i="2" s="1"/>
  <c r="BD914" i="2"/>
  <c r="AY914" i="2" l="1"/>
  <c r="BA914" i="2"/>
  <c r="BB914" i="2"/>
  <c r="AX914" i="2" s="1"/>
  <c r="AT915" i="2" s="1"/>
  <c r="AV915" i="2" l="1"/>
  <c r="AW914" i="2"/>
  <c r="AS915" i="2" s="1"/>
  <c r="AU915" i="2" l="1"/>
  <c r="BG915" i="2" l="1"/>
  <c r="BD915" i="2" s="1"/>
  <c r="BF915" i="2"/>
  <c r="BB915" i="2" s="1"/>
  <c r="BE915" i="2"/>
  <c r="AZ915" i="2" s="1"/>
  <c r="BC915" i="2"/>
  <c r="BA915" i="2"/>
  <c r="AY915" i="2" l="1"/>
  <c r="AW915" i="2" s="1"/>
  <c r="AS916" i="2" s="1"/>
  <c r="AX915" i="2"/>
  <c r="AT916" i="2" s="1"/>
  <c r="AU916" i="2" l="1"/>
  <c r="BE916" i="2"/>
  <c r="AY916" i="2" s="1"/>
  <c r="AV916" i="2"/>
  <c r="AZ916" i="2" l="1"/>
  <c r="BF916" i="2"/>
  <c r="BA916" i="2" s="1"/>
  <c r="BG916" i="2"/>
  <c r="BC916" i="2" s="1"/>
  <c r="AW916" i="2" l="1"/>
  <c r="BB916" i="2"/>
  <c r="BD916" i="2"/>
  <c r="AX916" i="2" s="1"/>
  <c r="AT917" i="2" s="1"/>
  <c r="AU917" i="2" l="1"/>
  <c r="AS917" i="2"/>
  <c r="AV917" i="2"/>
  <c r="BG917" i="2"/>
  <c r="BC917" i="2" s="1"/>
  <c r="BE917" i="2" l="1"/>
  <c r="AY917" i="2" s="1"/>
  <c r="AZ917" i="2"/>
  <c r="BD917" i="2"/>
  <c r="BF917" i="2"/>
  <c r="BA917" i="2" s="1"/>
  <c r="AW917" i="2" s="1"/>
  <c r="AS918" i="2" s="1"/>
  <c r="BB917" i="2" l="1"/>
  <c r="AX917" i="2" s="1"/>
  <c r="AT918" i="2" s="1"/>
  <c r="AU918" i="2"/>
  <c r="AV918" i="2" l="1"/>
  <c r="BG918" i="2"/>
  <c r="BD918" i="2" s="1"/>
  <c r="BE918" i="2"/>
  <c r="BF918" i="2"/>
  <c r="AZ918" i="2"/>
  <c r="AY918" i="2"/>
  <c r="BA918" i="2" l="1"/>
  <c r="BB918" i="2"/>
  <c r="AX918" i="2" s="1"/>
  <c r="AT919" i="2" s="1"/>
  <c r="BC918" i="2"/>
  <c r="AW918" i="2" l="1"/>
  <c r="AS919" i="2" s="1"/>
  <c r="AV919" i="2"/>
  <c r="BG919" i="2" l="1"/>
  <c r="BD919" i="2" s="1"/>
  <c r="AU919" i="2"/>
  <c r="BF919" i="2"/>
  <c r="BE919" i="2"/>
  <c r="AY919" i="2" s="1"/>
  <c r="BB919" i="2"/>
  <c r="BA919" i="2"/>
  <c r="AZ919" i="2" l="1"/>
  <c r="AX919" i="2" s="1"/>
  <c r="AT920" i="2" s="1"/>
  <c r="BC919" i="2"/>
  <c r="AW919" i="2" s="1"/>
  <c r="AS920" i="2" s="1"/>
  <c r="AU920" i="2" l="1"/>
  <c r="AV920" i="2"/>
  <c r="BG920" i="2" l="1"/>
  <c r="BF920" i="2"/>
  <c r="BE920" i="2"/>
  <c r="AZ920" i="2" s="1"/>
  <c r="BD920" i="2"/>
  <c r="BB920" i="2"/>
  <c r="BA920" i="2" l="1"/>
  <c r="AY920" i="2"/>
  <c r="AX920" i="2"/>
  <c r="AT921" i="2" s="1"/>
  <c r="BC920" i="2"/>
  <c r="AW920" i="2" l="1"/>
  <c r="AS921" i="2" s="1"/>
  <c r="AU921" i="2"/>
  <c r="AV921" i="2"/>
  <c r="BG921" i="2" l="1"/>
  <c r="BF921" i="2"/>
  <c r="BE921" i="2"/>
  <c r="AZ921" i="2" s="1"/>
  <c r="BB921" i="2"/>
  <c r="BD921" i="2"/>
  <c r="AY921" i="2"/>
  <c r="BA921" i="2" l="1"/>
  <c r="AX921" i="2"/>
  <c r="AT922" i="2" s="1"/>
  <c r="BC921" i="2"/>
  <c r="AW921" i="2" l="1"/>
  <c r="AS922" i="2" s="1"/>
  <c r="AU922" i="2"/>
  <c r="AV922" i="2"/>
  <c r="BG922" i="2" l="1"/>
  <c r="BF922" i="2"/>
  <c r="BA922" i="2" s="1"/>
  <c r="BE922" i="2"/>
  <c r="AY922" i="2" s="1"/>
  <c r="BD922" i="2"/>
  <c r="BC922" i="2" l="1"/>
  <c r="AW922" i="2" s="1"/>
  <c r="AS923" i="2" s="1"/>
  <c r="BB922" i="2"/>
  <c r="AZ922" i="2"/>
  <c r="AX922" i="2" l="1"/>
  <c r="AU923" i="2"/>
  <c r="AV923" i="2" l="1"/>
  <c r="AT923" i="2"/>
  <c r="BG923" i="2"/>
  <c r="BF923" i="2"/>
  <c r="BE923" i="2"/>
  <c r="AZ923" i="2" s="1"/>
  <c r="BC923" i="2"/>
  <c r="BA923" i="2"/>
  <c r="BB923" i="2"/>
  <c r="AY923" i="2" l="1"/>
  <c r="BD923" i="2"/>
  <c r="AX923" i="2" s="1"/>
  <c r="AT924" i="2" s="1"/>
  <c r="AW923" i="2"/>
  <c r="AS924" i="2" s="1"/>
  <c r="AV924" i="2" l="1"/>
  <c r="AU924" i="2"/>
  <c r="BG924" i="2"/>
  <c r="BE924" i="2" l="1"/>
  <c r="BF924" i="2"/>
  <c r="BB924" i="2" s="1"/>
  <c r="AZ924" i="2"/>
  <c r="BD924" i="2"/>
  <c r="BA924" i="2"/>
  <c r="AY924" i="2"/>
  <c r="AX924" i="2" l="1"/>
  <c r="AT925" i="2" s="1"/>
  <c r="BC924" i="2"/>
  <c r="AW924" i="2" s="1"/>
  <c r="AS925" i="2" s="1"/>
  <c r="AU925" i="2" l="1"/>
  <c r="AV925" i="2"/>
  <c r="BG925" i="2" l="1"/>
  <c r="BF925" i="2"/>
  <c r="BE925" i="2"/>
  <c r="AY925" i="2" s="1"/>
  <c r="BC925" i="2"/>
  <c r="BA925" i="2"/>
  <c r="AZ925" i="2"/>
  <c r="BB925" i="2"/>
  <c r="BD925" i="2" l="1"/>
  <c r="AX925" i="2" s="1"/>
  <c r="AT926" i="2" s="1"/>
  <c r="AW925" i="2"/>
  <c r="AS926" i="2" s="1"/>
  <c r="AV926" i="2" l="1"/>
  <c r="BG926" i="2"/>
  <c r="AU926" i="2"/>
  <c r="BE926" i="2" l="1"/>
  <c r="BF926" i="2"/>
  <c r="BD926" i="2"/>
  <c r="BA926" i="2" l="1"/>
  <c r="BB926" i="2"/>
  <c r="AY926" i="2"/>
  <c r="AZ926" i="2"/>
  <c r="BC926" i="2"/>
  <c r="AX926" i="2" l="1"/>
  <c r="AW926" i="2"/>
  <c r="AS927" i="2" s="1"/>
  <c r="AV927" i="2" l="1"/>
  <c r="AT927" i="2"/>
  <c r="AU927" i="2"/>
  <c r="BG927" i="2"/>
  <c r="BE927" i="2" l="1"/>
  <c r="BF927" i="2"/>
  <c r="AZ927" i="2"/>
  <c r="BB927" i="2"/>
  <c r="AY927" i="2"/>
  <c r="BD927" i="2"/>
  <c r="BA927" i="2" l="1"/>
  <c r="AX927" i="2"/>
  <c r="AT928" i="2" s="1"/>
  <c r="BC927" i="2"/>
  <c r="AW927" i="2" s="1"/>
  <c r="AS928" i="2" s="1"/>
  <c r="AU928" i="2" l="1"/>
  <c r="AV928" i="2"/>
  <c r="BG928" i="2" l="1"/>
  <c r="BF928" i="2"/>
  <c r="BE928" i="2"/>
  <c r="AZ928" i="2" s="1"/>
  <c r="BB928" i="2"/>
  <c r="BD928" i="2"/>
  <c r="BA928" i="2"/>
  <c r="AY928" i="2" l="1"/>
  <c r="AX928" i="2"/>
  <c r="BC928" i="2"/>
  <c r="AW928" i="2" s="1"/>
  <c r="AS929" i="2" s="1"/>
  <c r="AV929" i="2" l="1"/>
  <c r="AT929" i="2"/>
  <c r="AU929" i="2"/>
  <c r="BG929" i="2"/>
  <c r="BE929" i="2" l="1"/>
  <c r="BF929" i="2"/>
  <c r="BB929" i="2" s="1"/>
  <c r="AZ929" i="2"/>
  <c r="AY929" i="2"/>
  <c r="BA929" i="2" l="1"/>
  <c r="BD929" i="2"/>
  <c r="AX929" i="2" s="1"/>
  <c r="AT930" i="2" s="1"/>
  <c r="BC929" i="2"/>
  <c r="AW929" i="2" s="1"/>
  <c r="AS930" i="2" s="1"/>
  <c r="AV930" i="2" l="1"/>
  <c r="BG930" i="2"/>
  <c r="AU930" i="2"/>
  <c r="BE930" i="2" l="1"/>
  <c r="BF930" i="2"/>
  <c r="BB930" i="2" s="1"/>
  <c r="BD930" i="2"/>
  <c r="AZ930" i="2"/>
  <c r="BA930" i="2"/>
  <c r="AX930" i="2" l="1"/>
  <c r="AT931" i="2" s="1"/>
  <c r="AY930" i="2"/>
  <c r="BC930" i="2"/>
  <c r="AW930" i="2" l="1"/>
  <c r="AS931" i="2" s="1"/>
  <c r="AV931" i="2"/>
  <c r="AU931" i="2" l="1"/>
  <c r="BG931" i="2"/>
  <c r="BE931" i="2" l="1"/>
  <c r="BF931" i="2"/>
  <c r="BD931" i="2"/>
  <c r="BB931" i="2"/>
  <c r="AZ931" i="2"/>
  <c r="AX931" i="2" l="1"/>
  <c r="AT932" i="2" s="1"/>
  <c r="BA931" i="2"/>
  <c r="AY931" i="2"/>
  <c r="BC931" i="2"/>
  <c r="AW931" i="2" l="1"/>
  <c r="AS932" i="2" s="1"/>
  <c r="AV932" i="2"/>
  <c r="BG932" i="2" l="1"/>
  <c r="AU932" i="2"/>
  <c r="BE932" i="2" l="1"/>
  <c r="BF932" i="2"/>
  <c r="BD932" i="2"/>
  <c r="AZ932" i="2"/>
  <c r="BA932" i="2" l="1"/>
  <c r="BB932" i="2"/>
  <c r="AX932" i="2" s="1"/>
  <c r="AT933" i="2" s="1"/>
  <c r="AY932" i="2"/>
  <c r="BC932" i="2"/>
  <c r="AV933" i="2" l="1"/>
  <c r="AW932" i="2"/>
  <c r="AS933" i="2" s="1"/>
  <c r="AU933" i="2" l="1"/>
  <c r="BG933" i="2"/>
  <c r="BE933" i="2" l="1"/>
  <c r="BF933" i="2"/>
  <c r="BB933" i="2" s="1"/>
  <c r="BD933" i="2"/>
  <c r="BA933" i="2"/>
  <c r="AY933" i="2" l="1"/>
  <c r="AZ933" i="2"/>
  <c r="AX933" i="2" s="1"/>
  <c r="AT934" i="2" s="1"/>
  <c r="BC933" i="2"/>
  <c r="AV934" i="2" l="1"/>
  <c r="AW933" i="2"/>
  <c r="AS934" i="2" s="1"/>
  <c r="AU934" i="2" l="1"/>
  <c r="BG934" i="2"/>
  <c r="BE934" i="2" l="1"/>
  <c r="BF934" i="2"/>
  <c r="BD934" i="2"/>
  <c r="AY934" i="2" l="1"/>
  <c r="AZ934" i="2"/>
  <c r="BA934" i="2"/>
  <c r="BB934" i="2"/>
  <c r="BC934" i="2"/>
  <c r="AX934" i="2" l="1"/>
  <c r="AT935" i="2" s="1"/>
  <c r="AW934" i="2"/>
  <c r="AS935" i="2" s="1"/>
  <c r="AU935" i="2" l="1"/>
  <c r="AV935" i="2"/>
  <c r="BG935" i="2" l="1"/>
  <c r="BF935" i="2"/>
  <c r="BE935" i="2"/>
  <c r="AZ935" i="2" s="1"/>
  <c r="BB935" i="2"/>
  <c r="BD935" i="2"/>
  <c r="BA935" i="2" l="1"/>
  <c r="AX935" i="2"/>
  <c r="AT936" i="2" s="1"/>
  <c r="AY935" i="2"/>
  <c r="BC935" i="2"/>
  <c r="AW935" i="2" l="1"/>
  <c r="AS936" i="2" s="1"/>
  <c r="AV936" i="2"/>
  <c r="AU936" i="2" l="1"/>
  <c r="BG936" i="2"/>
  <c r="BE936" i="2" l="1"/>
  <c r="AZ936" i="2" s="1"/>
  <c r="BF936" i="2"/>
  <c r="BD936" i="2"/>
  <c r="BB936" i="2"/>
  <c r="AY936" i="2" l="1"/>
  <c r="AX936" i="2"/>
  <c r="AT937" i="2" s="1"/>
  <c r="BA936" i="2"/>
  <c r="BC936" i="2"/>
  <c r="AW936" i="2" l="1"/>
  <c r="AS937" i="2" s="1"/>
  <c r="AU937" i="2"/>
  <c r="AV937" i="2"/>
  <c r="BG937" i="2" l="1"/>
  <c r="BF937" i="2"/>
  <c r="BE937" i="2"/>
  <c r="BD937" i="2"/>
  <c r="AZ937" i="2"/>
  <c r="BB937" i="2"/>
  <c r="AY937" i="2" l="1"/>
  <c r="BA937" i="2"/>
  <c r="AX937" i="2"/>
  <c r="AT938" i="2" s="1"/>
  <c r="BC937" i="2"/>
  <c r="AW937" i="2" l="1"/>
  <c r="AS938" i="2" s="1"/>
  <c r="AU938" i="2"/>
  <c r="AV938" i="2"/>
  <c r="BG938" i="2" l="1"/>
  <c r="BC938" i="2" s="1"/>
  <c r="BF938" i="2"/>
  <c r="BB938" i="2" s="1"/>
  <c r="BE938" i="2"/>
  <c r="AZ938" i="2"/>
  <c r="AY938" i="2"/>
  <c r="BA938" i="2"/>
  <c r="BD938" i="2" l="1"/>
  <c r="AW938" i="2"/>
  <c r="AS939" i="2" s="1"/>
  <c r="AX938" i="2"/>
  <c r="AT939" i="2" s="1"/>
  <c r="AV939" i="2" l="1"/>
  <c r="BG939" i="2"/>
  <c r="AU939" i="2"/>
  <c r="BE939" i="2" l="1"/>
  <c r="AY939" i="2" s="1"/>
  <c r="BF939" i="2"/>
  <c r="BA939" i="2" s="1"/>
  <c r="BD939" i="2"/>
  <c r="AZ939" i="2" l="1"/>
  <c r="BC939" i="2"/>
  <c r="AW939" i="2" s="1"/>
  <c r="AS940" i="2" s="1"/>
  <c r="BB939" i="2"/>
  <c r="AX939" i="2" s="1"/>
  <c r="AT940" i="2" s="1"/>
  <c r="AU940" i="2" l="1"/>
  <c r="AV940" i="2"/>
  <c r="BG940" i="2" l="1"/>
  <c r="BF940" i="2"/>
  <c r="BE940" i="2"/>
  <c r="AY940" i="2" s="1"/>
  <c r="BD940" i="2"/>
  <c r="BA940" i="2"/>
  <c r="AZ940" i="2"/>
  <c r="BB940" i="2"/>
  <c r="AX940" i="2" l="1"/>
  <c r="AT941" i="2" s="1"/>
  <c r="AV941" i="2"/>
  <c r="BC940" i="2"/>
  <c r="AW940" i="2" s="1"/>
  <c r="AS941" i="2" s="1"/>
  <c r="AU941" i="2" l="1"/>
  <c r="BG941" i="2"/>
  <c r="BE941" i="2" l="1"/>
  <c r="AZ941" i="2" s="1"/>
  <c r="BF941" i="2"/>
  <c r="BB941" i="2" s="1"/>
  <c r="BD941" i="2"/>
  <c r="AX941" i="2" l="1"/>
  <c r="AT942" i="2" s="1"/>
  <c r="AY941" i="2"/>
  <c r="BA941" i="2"/>
  <c r="BC941" i="2"/>
  <c r="AW941" i="2" l="1"/>
  <c r="AS942" i="2" s="1"/>
  <c r="AV942" i="2"/>
  <c r="BG942" i="2" l="1"/>
  <c r="AU942" i="2"/>
  <c r="BE942" i="2" l="1"/>
  <c r="BF942" i="2"/>
  <c r="AZ942" i="2"/>
  <c r="AY942" i="2"/>
  <c r="BD942" i="2"/>
  <c r="BA942" i="2" l="1"/>
  <c r="BB942" i="2"/>
  <c r="AX942" i="2" s="1"/>
  <c r="AT943" i="2" s="1"/>
  <c r="BC942" i="2"/>
  <c r="AW942" i="2" l="1"/>
  <c r="AV943" i="2"/>
  <c r="AU943" i="2" l="1"/>
  <c r="AS943" i="2"/>
  <c r="BG943" i="2"/>
  <c r="BC943" i="2" s="1"/>
  <c r="BF943" i="2" l="1"/>
  <c r="BA943" i="2" s="1"/>
  <c r="BE943" i="2"/>
  <c r="AY943" i="2" s="1"/>
  <c r="AW943" i="2" s="1"/>
  <c r="AS944" i="2" s="1"/>
  <c r="BD943" i="2"/>
  <c r="BB943" i="2"/>
  <c r="AZ943" i="2" l="1"/>
  <c r="AX943" i="2" s="1"/>
  <c r="AT944" i="2" s="1"/>
  <c r="AU944" i="2"/>
  <c r="BE944" i="2" l="1"/>
  <c r="AY944" i="2" s="1"/>
  <c r="AV944" i="2"/>
  <c r="BG944" i="2" l="1"/>
  <c r="BC944" i="2" s="1"/>
  <c r="BF944" i="2"/>
  <c r="BA944" i="2" s="1"/>
  <c r="AZ944" i="2"/>
  <c r="BB944" i="2" l="1"/>
  <c r="AW944" i="2"/>
  <c r="AS945" i="2" s="1"/>
  <c r="BD944" i="2"/>
  <c r="AU945" i="2"/>
  <c r="AX944" i="2" l="1"/>
  <c r="AT945" i="2" s="1"/>
  <c r="AV945" i="2"/>
  <c r="BE945" i="2"/>
  <c r="BG945" i="2" l="1"/>
  <c r="BD945" i="2" s="1"/>
  <c r="BF945" i="2"/>
  <c r="BA945" i="2" s="1"/>
  <c r="BB945" i="2" l="1"/>
  <c r="BC945" i="2"/>
  <c r="AZ945" i="2"/>
  <c r="AX945" i="2" s="1"/>
  <c r="AT946" i="2" s="1"/>
  <c r="AY945" i="2"/>
  <c r="AW945" i="2" l="1"/>
  <c r="AS946" i="2" s="1"/>
  <c r="AV946" i="2"/>
  <c r="BG946" i="2" l="1"/>
  <c r="AU946" i="2"/>
  <c r="BE946" i="2" l="1"/>
  <c r="BF946" i="2"/>
  <c r="BB946" i="2" s="1"/>
  <c r="BD946" i="2"/>
  <c r="BA946" i="2"/>
  <c r="AZ946" i="2"/>
  <c r="AY946" i="2"/>
  <c r="AX946" i="2" l="1"/>
  <c r="AT947" i="2" s="1"/>
  <c r="BC946" i="2"/>
  <c r="AW946" i="2" s="1"/>
  <c r="AS947" i="2" s="1"/>
  <c r="AV947" i="2"/>
  <c r="AU947" i="2" l="1"/>
  <c r="BG947" i="2"/>
  <c r="BE947" i="2" l="1"/>
  <c r="AZ947" i="2" s="1"/>
  <c r="BF947" i="2"/>
  <c r="BB947" i="2" s="1"/>
  <c r="BD947" i="2"/>
  <c r="BA947" i="2" l="1"/>
  <c r="AX947" i="2"/>
  <c r="AT948" i="2" s="1"/>
  <c r="AY947" i="2"/>
  <c r="BC947" i="2"/>
  <c r="AW947" i="2" l="1"/>
  <c r="AV948" i="2"/>
  <c r="AU948" i="2" l="1"/>
  <c r="AS948" i="2"/>
  <c r="BG948" i="2"/>
  <c r="BD948" i="2" s="1"/>
  <c r="BE948" i="2" l="1"/>
  <c r="AZ948" i="2" s="1"/>
  <c r="BF948" i="2"/>
  <c r="BB948" i="2" s="1"/>
  <c r="BC948" i="2"/>
  <c r="AY948" i="2" l="1"/>
  <c r="AX948" i="2"/>
  <c r="BA948" i="2"/>
  <c r="AW948" i="2" s="1"/>
  <c r="AS949" i="2" s="1"/>
  <c r="AV949" i="2" l="1"/>
  <c r="AT949" i="2"/>
  <c r="BG949" i="2"/>
  <c r="AU949" i="2"/>
  <c r="BE949" i="2" l="1"/>
  <c r="AZ949" i="2" s="1"/>
  <c r="BF949" i="2"/>
  <c r="BB949" i="2" s="1"/>
  <c r="BD949" i="2"/>
  <c r="BA949" i="2" l="1"/>
  <c r="BC949" i="2"/>
  <c r="AX949" i="2"/>
  <c r="AT950" i="2" s="1"/>
  <c r="AY949" i="2"/>
  <c r="AW949" i="2" s="1"/>
  <c r="AS950" i="2" s="1"/>
  <c r="AU950" i="2" l="1"/>
  <c r="AV950" i="2"/>
  <c r="BG950" i="2" l="1"/>
  <c r="BF950" i="2"/>
  <c r="BE950" i="2"/>
  <c r="AZ950" i="2" s="1"/>
  <c r="BD950" i="2"/>
  <c r="BA950" i="2"/>
  <c r="BB950" i="2"/>
  <c r="AY950" i="2" l="1"/>
  <c r="AX950" i="2"/>
  <c r="BC950" i="2"/>
  <c r="AW950" i="2" s="1"/>
  <c r="AS951" i="2" s="1"/>
  <c r="AV951" i="2" l="1"/>
  <c r="AT951" i="2"/>
  <c r="AU951" i="2"/>
  <c r="BG951" i="2" l="1"/>
  <c r="BE951" i="2"/>
  <c r="AZ951" i="2" s="1"/>
  <c r="BF951" i="2"/>
  <c r="BD951" i="2"/>
  <c r="AY951" i="2"/>
  <c r="BB951" i="2"/>
  <c r="AX951" i="2" l="1"/>
  <c r="AT952" i="2" s="1"/>
  <c r="BA951" i="2"/>
  <c r="BC951" i="2"/>
  <c r="AW951" i="2" l="1"/>
  <c r="AS952" i="2" s="1"/>
  <c r="AV952" i="2"/>
  <c r="AU952" i="2" l="1"/>
  <c r="BG952" i="2"/>
  <c r="BE952" i="2" l="1"/>
  <c r="AZ952" i="2" s="1"/>
  <c r="BF952" i="2"/>
  <c r="BD952" i="2"/>
  <c r="BB952" i="2"/>
  <c r="AY952" i="2" l="1"/>
  <c r="AX952" i="2"/>
  <c r="AT953" i="2" s="1"/>
  <c r="BA952" i="2"/>
  <c r="BC952" i="2"/>
  <c r="AW952" i="2" l="1"/>
  <c r="AS953" i="2" s="1"/>
  <c r="AU953" i="2"/>
  <c r="AV953" i="2"/>
  <c r="BG953" i="2" l="1"/>
  <c r="BF953" i="2"/>
  <c r="BE953" i="2"/>
  <c r="AZ953" i="2" s="1"/>
  <c r="BD953" i="2"/>
  <c r="BA953" i="2"/>
  <c r="AY953" i="2" l="1"/>
  <c r="BC953" i="2"/>
  <c r="AW953" i="2" s="1"/>
  <c r="AS954" i="2" s="1"/>
  <c r="BB953" i="2"/>
  <c r="AX953" i="2" s="1"/>
  <c r="AT954" i="2" s="1"/>
  <c r="AU954" i="2" l="1"/>
  <c r="AV954" i="2"/>
  <c r="BG954" i="2" l="1"/>
  <c r="BF954" i="2"/>
  <c r="BE954" i="2"/>
  <c r="AZ954" i="2" s="1"/>
  <c r="BA954" i="2"/>
  <c r="BD954" i="2"/>
  <c r="AY954" i="2"/>
  <c r="BB954" i="2"/>
  <c r="AX954" i="2" l="1"/>
  <c r="BC954" i="2"/>
  <c r="AW954" i="2" s="1"/>
  <c r="AS955" i="2" s="1"/>
  <c r="AV955" i="2" l="1"/>
  <c r="AT955" i="2"/>
  <c r="BG955" i="2"/>
  <c r="AU955" i="2"/>
  <c r="BE955" i="2" l="1"/>
  <c r="BF955" i="2"/>
  <c r="BB955" i="2" s="1"/>
  <c r="BD955" i="2"/>
  <c r="BA955" i="2"/>
  <c r="AY955" i="2" l="1"/>
  <c r="AZ955" i="2"/>
  <c r="AX955" i="2" s="1"/>
  <c r="AT956" i="2" s="1"/>
  <c r="BC955" i="2"/>
  <c r="AV956" i="2" l="1"/>
  <c r="AW955" i="2"/>
  <c r="AS956" i="2" s="1"/>
  <c r="AU956" i="2" l="1"/>
  <c r="BG956" i="2"/>
  <c r="BE956" i="2" l="1"/>
  <c r="BF956" i="2"/>
  <c r="BB956" i="2" s="1"/>
  <c r="BD956" i="2"/>
  <c r="AZ956" i="2"/>
  <c r="BA956" i="2"/>
  <c r="AX956" i="2" l="1"/>
  <c r="AT957" i="2" s="1"/>
  <c r="AV957" i="2"/>
  <c r="AY956" i="2"/>
  <c r="BC956" i="2"/>
  <c r="AW956" i="2" l="1"/>
  <c r="AS957" i="2" s="1"/>
  <c r="BG957" i="2" l="1"/>
  <c r="AU957" i="2"/>
  <c r="BE957" i="2" l="1"/>
  <c r="BF957" i="2"/>
  <c r="BD957" i="2"/>
  <c r="BA957" i="2" l="1"/>
  <c r="BB957" i="2"/>
  <c r="AY957" i="2"/>
  <c r="AZ957" i="2"/>
  <c r="BC957" i="2"/>
  <c r="AX957" i="2" l="1"/>
  <c r="AT958" i="2" s="1"/>
  <c r="AW957" i="2"/>
  <c r="AS958" i="2" s="1"/>
  <c r="AV958" i="2" l="1"/>
  <c r="AU958" i="2"/>
  <c r="BG958" i="2"/>
  <c r="BE958" i="2" l="1"/>
  <c r="BF958" i="2"/>
  <c r="BA958" i="2" s="1"/>
  <c r="BD958" i="2"/>
  <c r="AZ958" i="2"/>
  <c r="BB958" i="2" l="1"/>
  <c r="AX958" i="2" s="1"/>
  <c r="AT959" i="2" s="1"/>
  <c r="AY958" i="2"/>
  <c r="BC958" i="2"/>
  <c r="AV959" i="2" l="1"/>
  <c r="AW958" i="2"/>
  <c r="AS959" i="2" s="1"/>
  <c r="AU959" i="2" l="1"/>
  <c r="BG959" i="2"/>
  <c r="BE959" i="2" l="1"/>
  <c r="AZ959" i="2" s="1"/>
  <c r="BF959" i="2"/>
  <c r="BD959" i="2"/>
  <c r="AY959" i="2" l="1"/>
  <c r="BA959" i="2"/>
  <c r="BB959" i="2"/>
  <c r="AX959" i="2" s="1"/>
  <c r="AT960" i="2" s="1"/>
  <c r="BC959" i="2"/>
  <c r="AW959" i="2" l="1"/>
  <c r="AV960" i="2"/>
  <c r="AU960" i="2" l="1"/>
  <c r="AS960" i="2"/>
  <c r="BG960" i="2"/>
  <c r="BD960" i="2" s="1"/>
  <c r="BF960" i="2"/>
  <c r="BA960" i="2" s="1"/>
  <c r="BE960" i="2"/>
  <c r="AZ960" i="2" s="1"/>
  <c r="BB960" i="2" l="1"/>
  <c r="AX960" i="2" s="1"/>
  <c r="AT961" i="2" s="1"/>
  <c r="AY960" i="2"/>
  <c r="BC960" i="2"/>
  <c r="AW960" i="2" l="1"/>
  <c r="AS961" i="2" s="1"/>
  <c r="AV961" i="2"/>
  <c r="AU961" i="2" l="1"/>
  <c r="BG961" i="2"/>
  <c r="BD961" i="2" s="1"/>
  <c r="BF961" i="2"/>
  <c r="BE961" i="2"/>
  <c r="AY961" i="2" s="1"/>
  <c r="BA961" i="2"/>
  <c r="BC961" i="2" l="1"/>
  <c r="AW961" i="2" s="1"/>
  <c r="AS962" i="2" s="1"/>
  <c r="BB961" i="2"/>
  <c r="AZ961" i="2"/>
  <c r="AX961" i="2" l="1"/>
  <c r="AT962" i="2" s="1"/>
  <c r="BG962" i="2" s="1"/>
  <c r="AU962" i="2"/>
  <c r="AV962" i="2" l="1"/>
  <c r="BE962" i="2"/>
  <c r="BF962" i="2"/>
  <c r="BB962" i="2" s="1"/>
  <c r="AZ962" i="2"/>
  <c r="BD962" i="2"/>
  <c r="BA962" i="2"/>
  <c r="AY962" i="2"/>
  <c r="AX962" i="2" l="1"/>
  <c r="AT963" i="2" s="1"/>
  <c r="AV963" i="2"/>
  <c r="BC962" i="2"/>
  <c r="AW962" i="2" s="1"/>
  <c r="AS963" i="2" s="1"/>
  <c r="AU963" i="2" l="1"/>
  <c r="BG963" i="2"/>
  <c r="BE963" i="2" l="1"/>
  <c r="AZ963" i="2" s="1"/>
  <c r="BF963" i="2"/>
  <c r="BB963" i="2" s="1"/>
  <c r="BD963" i="2"/>
  <c r="BA963" i="2" l="1"/>
  <c r="AY963" i="2"/>
  <c r="AX963" i="2"/>
  <c r="AT964" i="2" s="1"/>
  <c r="BC963" i="2"/>
  <c r="AW963" i="2" l="1"/>
  <c r="AS964" i="2" s="1"/>
  <c r="AV964" i="2"/>
  <c r="AU964" i="2" l="1"/>
  <c r="BG964" i="2"/>
  <c r="BF964" i="2"/>
  <c r="BB964" i="2" s="1"/>
  <c r="BE964" i="2"/>
  <c r="AZ964" i="2" s="1"/>
  <c r="BD964" i="2"/>
  <c r="BA964" i="2"/>
  <c r="AY964" i="2" l="1"/>
  <c r="AX964" i="2"/>
  <c r="AT965" i="2" s="1"/>
  <c r="BC964" i="2"/>
  <c r="AW964" i="2" l="1"/>
  <c r="AS965" i="2" s="1"/>
  <c r="AU965" i="2"/>
  <c r="AV965" i="2"/>
  <c r="BG965" i="2" l="1"/>
  <c r="BF965" i="2"/>
  <c r="BE965" i="2"/>
  <c r="AZ965" i="2" s="1"/>
  <c r="BD965" i="2"/>
  <c r="BA965" i="2"/>
  <c r="AY965" i="2"/>
  <c r="BC965" i="2" l="1"/>
  <c r="AW965" i="2" s="1"/>
  <c r="AS966" i="2" s="1"/>
  <c r="BB965" i="2"/>
  <c r="AX965" i="2" s="1"/>
  <c r="AT966" i="2" s="1"/>
  <c r="AV966" i="2" l="1"/>
  <c r="AU966" i="2"/>
  <c r="BG966" i="2"/>
  <c r="BE966" i="2" l="1"/>
  <c r="AZ966" i="2" s="1"/>
  <c r="BF966" i="2"/>
  <c r="BC966" i="2"/>
  <c r="BA966" i="2"/>
  <c r="AY966" i="2" l="1"/>
  <c r="BD966" i="2"/>
  <c r="AW966" i="2"/>
  <c r="AS967" i="2" s="1"/>
  <c r="BB966" i="2"/>
  <c r="AX966" i="2" l="1"/>
  <c r="AT967" i="2" s="1"/>
  <c r="AV967" i="2"/>
  <c r="AU967" i="2"/>
  <c r="BG967" i="2"/>
  <c r="BE967" i="2" l="1"/>
  <c r="AZ967" i="2" s="1"/>
  <c r="BF967" i="2"/>
  <c r="BB967" i="2" s="1"/>
  <c r="BC967" i="2"/>
  <c r="BA967" i="2" l="1"/>
  <c r="AY967" i="2"/>
  <c r="BD967" i="2"/>
  <c r="AX967" i="2" s="1"/>
  <c r="AT968" i="2" s="1"/>
  <c r="AW967" i="2"/>
  <c r="AS968" i="2" s="1"/>
  <c r="AV968" i="2" l="1"/>
  <c r="AU968" i="2"/>
  <c r="BG968" i="2"/>
  <c r="BE968" i="2" l="1"/>
  <c r="BF968" i="2"/>
  <c r="AZ968" i="2"/>
  <c r="AY968" i="2"/>
  <c r="BD968" i="2"/>
  <c r="BA968" i="2" l="1"/>
  <c r="BB968" i="2"/>
  <c r="AX968" i="2" s="1"/>
  <c r="AT969" i="2" s="1"/>
  <c r="BC968" i="2"/>
  <c r="AW968" i="2" l="1"/>
  <c r="AS969" i="2" s="1"/>
  <c r="AV969" i="2"/>
  <c r="AU969" i="2"/>
  <c r="BG969" i="2"/>
  <c r="BE969" i="2" l="1"/>
  <c r="BF969" i="2"/>
  <c r="BD969" i="2"/>
  <c r="BB969" i="2"/>
  <c r="AZ969" i="2"/>
  <c r="BA969" i="2" l="1"/>
  <c r="AX969" i="2"/>
  <c r="AT970" i="2" s="1"/>
  <c r="BC969" i="2"/>
  <c r="AY969" i="2"/>
  <c r="AW969" i="2" l="1"/>
  <c r="AV970" i="2"/>
  <c r="AU970" i="2" l="1"/>
  <c r="AS970" i="2"/>
  <c r="BG970" i="2"/>
  <c r="BD970" i="2" s="1"/>
  <c r="BE970" i="2" l="1"/>
  <c r="AY970" i="2" s="1"/>
  <c r="BF970" i="2"/>
  <c r="BA970" i="2" s="1"/>
  <c r="BC970" i="2"/>
  <c r="AZ970" i="2"/>
  <c r="BB970" i="2"/>
  <c r="AW970" i="2" l="1"/>
  <c r="AS971" i="2" s="1"/>
  <c r="AX970" i="2"/>
  <c r="AT971" i="2" s="1"/>
  <c r="AU971" i="2"/>
  <c r="AV971" i="2" l="1"/>
  <c r="BE971" i="2"/>
  <c r="BG971" i="2" l="1"/>
  <c r="BC971" i="2" s="1"/>
  <c r="BF971" i="2"/>
  <c r="AY971" i="2"/>
  <c r="AZ971" i="2"/>
  <c r="BA971" i="2"/>
  <c r="BD971" i="2" l="1"/>
  <c r="AW971" i="2"/>
  <c r="BB971" i="2"/>
  <c r="AX971" i="2" s="1"/>
  <c r="AT972" i="2" s="1"/>
  <c r="AU972" i="2" l="1"/>
  <c r="AS972" i="2"/>
  <c r="BE972" i="2"/>
  <c r="AY972" i="2" s="1"/>
  <c r="AV972" i="2"/>
  <c r="BG972" i="2" l="1"/>
  <c r="BC972" i="2" s="1"/>
  <c r="BF972" i="2"/>
  <c r="BA972" i="2" s="1"/>
  <c r="AW972" i="2" s="1"/>
  <c r="AS973" i="2" s="1"/>
  <c r="BD972" i="2"/>
  <c r="AZ972" i="2"/>
  <c r="BB972" i="2" l="1"/>
  <c r="AU973" i="2"/>
  <c r="AX972" i="2"/>
  <c r="AT973" i="2" s="1"/>
  <c r="AV973" i="2" l="1"/>
  <c r="BE973" i="2"/>
  <c r="AY973" i="2" s="1"/>
  <c r="BG973" i="2" l="1"/>
  <c r="BC973" i="2" s="1"/>
  <c r="BF973" i="2"/>
  <c r="BA973" i="2" s="1"/>
  <c r="AZ973" i="2"/>
  <c r="BD973" i="2" l="1"/>
  <c r="AW973" i="2"/>
  <c r="AS974" i="2" s="1"/>
  <c r="BB973" i="2"/>
  <c r="AX973" i="2" s="1"/>
  <c r="AU974" i="2"/>
  <c r="AV974" i="2" l="1"/>
  <c r="AT974" i="2"/>
  <c r="BG974" i="2"/>
  <c r="BC974" i="2" s="1"/>
  <c r="BF974" i="2" l="1"/>
  <c r="BE974" i="2"/>
  <c r="BD974" i="2"/>
  <c r="AY974" i="2" l="1"/>
  <c r="AZ974" i="2"/>
  <c r="BA974" i="2"/>
  <c r="BB974" i="2"/>
  <c r="AX974" i="2" l="1"/>
  <c r="AT975" i="2" s="1"/>
  <c r="AW974" i="2"/>
  <c r="AS975" i="2" s="1"/>
  <c r="AU975" i="2" l="1"/>
  <c r="AV975" i="2"/>
  <c r="BG975" i="2" l="1"/>
  <c r="BC975" i="2" s="1"/>
  <c r="BE975" i="2"/>
  <c r="AZ975" i="2" s="1"/>
  <c r="BF975" i="2"/>
  <c r="AY975" i="2" l="1"/>
  <c r="BA975" i="2"/>
  <c r="AW975" i="2" s="1"/>
  <c r="AS976" i="2" s="1"/>
  <c r="BB975" i="2"/>
  <c r="BD975" i="2"/>
  <c r="AX975" i="2" l="1"/>
  <c r="AT976" i="2" s="1"/>
  <c r="AU976" i="2"/>
  <c r="AV976" i="2" l="1"/>
  <c r="BG976" i="2" l="1"/>
  <c r="BC976" i="2" s="1"/>
  <c r="BE976" i="2"/>
  <c r="AY976" i="2" s="1"/>
  <c r="BF976" i="2"/>
  <c r="BA976" i="2" s="1"/>
  <c r="AW976" i="2" l="1"/>
  <c r="AS977" i="2" s="1"/>
  <c r="BD976" i="2"/>
  <c r="BB976" i="2"/>
  <c r="AZ976" i="2"/>
  <c r="AX976" i="2" l="1"/>
  <c r="AT977" i="2" s="1"/>
  <c r="AU977" i="2"/>
  <c r="AV977" i="2" l="1"/>
  <c r="BF977" i="2" l="1"/>
  <c r="BA977" i="2" s="1"/>
  <c r="BE977" i="2"/>
  <c r="AY977" i="2" s="1"/>
  <c r="BG977" i="2"/>
  <c r="BC977" i="2" s="1"/>
  <c r="AW977" i="2" l="1"/>
  <c r="AS978" i="2" s="1"/>
  <c r="AU978" i="2"/>
  <c r="AZ977" i="2"/>
  <c r="BB977" i="2"/>
  <c r="BD977" i="2"/>
  <c r="AX977" i="2" l="1"/>
  <c r="AT978" i="2" s="1"/>
  <c r="AV978" i="2" l="1"/>
  <c r="BG978" i="2" l="1"/>
  <c r="BC978" i="2" s="1"/>
  <c r="BF978" i="2"/>
  <c r="BA978" i="2" s="1"/>
  <c r="BE978" i="2"/>
  <c r="AY978" i="2" s="1"/>
  <c r="AW978" i="2" l="1"/>
  <c r="AS979" i="2" s="1"/>
  <c r="AU979" i="2"/>
  <c r="AZ978" i="2"/>
  <c r="BB978" i="2"/>
  <c r="BD978" i="2"/>
  <c r="AX978" i="2" l="1"/>
  <c r="AT979" i="2" s="1"/>
  <c r="AV979" i="2" l="1"/>
  <c r="BG979" i="2" l="1"/>
  <c r="BC979" i="2" s="1"/>
  <c r="BE979" i="2"/>
  <c r="AY979" i="2" s="1"/>
  <c r="BF979" i="2"/>
  <c r="BA979" i="2" s="1"/>
  <c r="AW979" i="2" l="1"/>
  <c r="AS980" i="2" s="1"/>
  <c r="AU980" i="2"/>
  <c r="BB979" i="2"/>
  <c r="AZ979" i="2"/>
  <c r="BD979" i="2"/>
  <c r="AX979" i="2" l="1"/>
  <c r="AT980" i="2" s="1"/>
  <c r="AV980" i="2"/>
  <c r="BG980" i="2"/>
  <c r="BC980" i="2" s="1"/>
  <c r="BF980" i="2"/>
  <c r="BA980" i="2" s="1"/>
  <c r="BE980" i="2"/>
  <c r="AY980" i="2" s="1"/>
  <c r="AW980" i="2" l="1"/>
  <c r="AS981" i="2" s="1"/>
  <c r="BD980" i="2"/>
  <c r="AZ980" i="2"/>
  <c r="BB980" i="2"/>
  <c r="AU981" i="2" l="1"/>
  <c r="AX980" i="2"/>
  <c r="AT981" i="2" s="1"/>
  <c r="AV981" i="2" l="1"/>
  <c r="BG981" i="2" l="1"/>
  <c r="BC981" i="2" s="1"/>
  <c r="BE981" i="2"/>
  <c r="BF981" i="2"/>
  <c r="BD981" i="2"/>
  <c r="AY981" i="2" l="1"/>
  <c r="AZ981" i="2"/>
  <c r="BA981" i="2"/>
  <c r="BB981" i="2"/>
  <c r="AX981" i="2" l="1"/>
  <c r="AT982" i="2" s="1"/>
  <c r="AW981" i="2"/>
  <c r="AS982" i="2" s="1"/>
  <c r="AU982" i="2" l="1"/>
  <c r="AV982" i="2"/>
  <c r="BG982" i="2" l="1"/>
  <c r="BC982" i="2" s="1"/>
  <c r="BE982" i="2"/>
  <c r="AZ982" i="2" s="1"/>
  <c r="BF982" i="2"/>
  <c r="AY982" i="2" l="1"/>
  <c r="BA982" i="2"/>
  <c r="AW982" i="2" s="1"/>
  <c r="AS983" i="2" s="1"/>
  <c r="BB982" i="2"/>
  <c r="BD982" i="2"/>
  <c r="AX982" i="2" l="1"/>
  <c r="AT983" i="2" s="1"/>
  <c r="AV983" i="2"/>
  <c r="AU983" i="2"/>
  <c r="BG983" i="2" l="1"/>
  <c r="BC983" i="2" s="1"/>
  <c r="BE983" i="2"/>
  <c r="AZ983" i="2" s="1"/>
  <c r="BF983" i="2"/>
  <c r="BA983" i="2" s="1"/>
  <c r="BD983" i="2"/>
  <c r="AY983" i="2" l="1"/>
  <c r="BB983" i="2"/>
  <c r="AX983" i="2" s="1"/>
  <c r="AT984" i="2" s="1"/>
  <c r="AW983" i="2"/>
  <c r="AS984" i="2" s="1"/>
  <c r="AV984" i="2" l="1"/>
  <c r="AU984" i="2"/>
  <c r="BG984" i="2" l="1"/>
  <c r="BC984" i="2" s="1"/>
  <c r="BE984" i="2"/>
  <c r="AZ984" i="2" s="1"/>
  <c r="BF984" i="2"/>
  <c r="BA984" i="2" s="1"/>
  <c r="AY984" i="2"/>
  <c r="BD984" i="2"/>
  <c r="BB984" i="2"/>
  <c r="AX984" i="2" l="1"/>
  <c r="AT985" i="2" s="1"/>
  <c r="AW984" i="2"/>
  <c r="AS985" i="2" s="1"/>
  <c r="AU985" i="2" l="1"/>
  <c r="AV985" i="2"/>
  <c r="BG985" i="2" l="1"/>
  <c r="BC985" i="2" s="1"/>
  <c r="BE985" i="2"/>
  <c r="BF985" i="2"/>
  <c r="BA985" i="2" s="1"/>
  <c r="AZ985" i="2" l="1"/>
  <c r="AY985" i="2"/>
  <c r="AW985" i="2" s="1"/>
  <c r="BB985" i="2"/>
  <c r="BD985" i="2"/>
  <c r="AU986" i="2" l="1"/>
  <c r="AS986" i="2"/>
  <c r="AX985" i="2"/>
  <c r="AT986" i="2" s="1"/>
  <c r="AV986" i="2" l="1"/>
  <c r="BG986" i="2" l="1"/>
  <c r="BC986" i="2" s="1"/>
  <c r="BF986" i="2"/>
  <c r="BD986" i="2"/>
  <c r="BE986" i="2"/>
  <c r="AY986" i="2" s="1"/>
  <c r="BB986" i="2" l="1"/>
  <c r="BA986" i="2"/>
  <c r="AW986" i="2" s="1"/>
  <c r="AS987" i="2" s="1"/>
  <c r="AZ986" i="2"/>
  <c r="AX986" i="2" s="1"/>
  <c r="AT987" i="2" s="1"/>
  <c r="AU987" i="2" l="1"/>
  <c r="AV987" i="2"/>
  <c r="BG987" i="2" l="1"/>
  <c r="BC987" i="2" s="1"/>
  <c r="BF987" i="2"/>
  <c r="BA987" i="2" s="1"/>
  <c r="BE987" i="2"/>
  <c r="AY987" i="2" s="1"/>
  <c r="AW987" i="2" l="1"/>
  <c r="AS988" i="2" s="1"/>
  <c r="BD987" i="2"/>
  <c r="BB987" i="2"/>
  <c r="AZ987" i="2"/>
  <c r="AU988" i="2"/>
  <c r="AX987" i="2" l="1"/>
  <c r="AT988" i="2" s="1"/>
  <c r="AV988" i="2"/>
  <c r="BG988" i="2" l="1"/>
  <c r="BD988" i="2"/>
  <c r="BF988" i="2"/>
  <c r="BB988" i="2" s="1"/>
  <c r="BE988" i="2"/>
  <c r="AZ988" i="2" s="1"/>
  <c r="BA988" i="2"/>
  <c r="AY988" i="2"/>
  <c r="BC988" i="2"/>
  <c r="AX988" i="2" l="1"/>
  <c r="AT989" i="2" s="1"/>
  <c r="AW988" i="2"/>
  <c r="AS989" i="2" s="1"/>
  <c r="AV989" i="2"/>
  <c r="AU989" i="2" l="1"/>
  <c r="BG989" i="2"/>
  <c r="BF989" i="2"/>
  <c r="BE989" i="2"/>
  <c r="BD989" i="2"/>
  <c r="BB989" i="2"/>
  <c r="AZ989" i="2"/>
  <c r="BA989" i="2"/>
  <c r="AX989" i="2" l="1"/>
  <c r="AT990" i="2" s="1"/>
  <c r="AV990" i="2"/>
  <c r="AY989" i="2"/>
  <c r="BC989" i="2"/>
  <c r="AW989" i="2" l="1"/>
  <c r="AS990" i="2" s="1"/>
  <c r="BG990" i="2" l="1"/>
  <c r="AU990" i="2"/>
  <c r="BE990" i="2" l="1"/>
  <c r="BF990" i="2"/>
  <c r="BB990" i="2" s="1"/>
  <c r="AZ990" i="2"/>
  <c r="BA990" i="2"/>
  <c r="BD990" i="2"/>
  <c r="AY990" i="2"/>
  <c r="AX990" i="2" l="1"/>
  <c r="AT991" i="2" s="1"/>
  <c r="BC990" i="2"/>
  <c r="AW990" i="2" s="1"/>
  <c r="AS991" i="2" s="1"/>
  <c r="AU991" i="2" l="1"/>
  <c r="AV991" i="2"/>
  <c r="BG991" i="2" l="1"/>
  <c r="BF991" i="2"/>
  <c r="BE991" i="2"/>
  <c r="BC991" i="2"/>
  <c r="BA991" i="2"/>
  <c r="AZ991" i="2"/>
  <c r="BB991" i="2"/>
  <c r="BD991" i="2" l="1"/>
  <c r="AX991" i="2" s="1"/>
  <c r="AT992" i="2" s="1"/>
  <c r="AY991" i="2"/>
  <c r="AW991" i="2" s="1"/>
  <c r="AS992" i="2" s="1"/>
  <c r="AU992" i="2" l="1"/>
  <c r="AV992" i="2"/>
  <c r="BG992" i="2" l="1"/>
  <c r="BD992" i="2" s="1"/>
  <c r="BF992" i="2"/>
  <c r="BE992" i="2"/>
  <c r="AZ992" i="2" s="1"/>
  <c r="BA992" i="2"/>
  <c r="AY992" i="2" l="1"/>
  <c r="BC992" i="2"/>
  <c r="BB992" i="2"/>
  <c r="AX992" i="2" s="1"/>
  <c r="AT993" i="2" s="1"/>
  <c r="AV993" i="2" l="1"/>
  <c r="AW992" i="2"/>
  <c r="AS993" i="2" s="1"/>
  <c r="BG993" i="2" l="1"/>
  <c r="AU993" i="2"/>
  <c r="BE993" i="2" l="1"/>
  <c r="BF993" i="2"/>
  <c r="BD993" i="2"/>
  <c r="AY993" i="2" l="1"/>
  <c r="AZ993" i="2"/>
  <c r="BA993" i="2"/>
  <c r="BB993" i="2"/>
  <c r="BC993" i="2"/>
  <c r="AX993" i="2" l="1"/>
  <c r="AT994" i="2" s="1"/>
  <c r="AW993" i="2"/>
  <c r="AS994" i="2" s="1"/>
  <c r="AU994" i="2" l="1"/>
  <c r="AV994" i="2"/>
  <c r="BG994" i="2" l="1"/>
  <c r="BF994" i="2"/>
  <c r="BE994" i="2"/>
  <c r="AZ994" i="2" s="1"/>
  <c r="BB994" i="2"/>
  <c r="BA994" i="2"/>
  <c r="BD994" i="2"/>
  <c r="AY994" i="2" l="1"/>
  <c r="AX994" i="2"/>
  <c r="AT995" i="2" s="1"/>
  <c r="BC994" i="2"/>
  <c r="AW994" i="2" s="1"/>
  <c r="AS995" i="2" s="1"/>
  <c r="AU995" i="2" l="1"/>
  <c r="AV995" i="2"/>
  <c r="BG995" i="2" l="1"/>
  <c r="BF995" i="2"/>
  <c r="BA995" i="2" s="1"/>
  <c r="BE995" i="2"/>
  <c r="BD995" i="2"/>
  <c r="AZ995" i="2"/>
  <c r="AY995" i="2" l="1"/>
  <c r="BB995" i="2"/>
  <c r="AX995" i="2" s="1"/>
  <c r="AT996" i="2" s="1"/>
  <c r="BC995" i="2"/>
  <c r="AV996" i="2" l="1"/>
  <c r="AW995" i="2"/>
  <c r="AS996" i="2" s="1"/>
  <c r="BG996" i="2" l="1"/>
  <c r="AU996" i="2"/>
  <c r="BE996" i="2" l="1"/>
  <c r="BF996" i="2"/>
  <c r="AZ996" i="2"/>
  <c r="BD996" i="2"/>
  <c r="BA996" i="2" l="1"/>
  <c r="BB996" i="2"/>
  <c r="AX996" i="2" s="1"/>
  <c r="AT997" i="2" s="1"/>
  <c r="AY996" i="2"/>
  <c r="BC996" i="2"/>
  <c r="AV997" i="2" l="1"/>
  <c r="AW996" i="2"/>
  <c r="AS997" i="2" s="1"/>
  <c r="AU997" i="2" l="1"/>
  <c r="BG997" i="2"/>
  <c r="BE997" i="2" l="1"/>
  <c r="AZ997" i="2" s="1"/>
  <c r="BF997" i="2"/>
  <c r="BD997" i="2"/>
  <c r="BB997" i="2"/>
  <c r="BA997" i="2"/>
  <c r="AY997" i="2" l="1"/>
  <c r="AX997" i="2"/>
  <c r="AT998" i="2" s="1"/>
  <c r="BC997" i="2"/>
  <c r="AW997" i="2" l="1"/>
  <c r="AS998" i="2" s="1"/>
  <c r="AU998" i="2"/>
  <c r="AV998" i="2"/>
  <c r="BG998" i="2" l="1"/>
  <c r="BF998" i="2"/>
  <c r="BE998" i="2"/>
  <c r="AZ998" i="2" s="1"/>
  <c r="BD998" i="2"/>
  <c r="BB998" i="2"/>
  <c r="BA998" i="2"/>
  <c r="AY998" i="2"/>
  <c r="AX998" i="2" l="1"/>
  <c r="AT999" i="2" s="1"/>
  <c r="BC998" i="2"/>
  <c r="AW998" i="2" s="1"/>
  <c r="AS999" i="2" s="1"/>
  <c r="AU999" i="2" l="1"/>
  <c r="AV999" i="2"/>
  <c r="BG999" i="2" l="1"/>
  <c r="BF999" i="2"/>
  <c r="BB999" i="2" s="1"/>
  <c r="BE999" i="2"/>
  <c r="AZ999" i="2" s="1"/>
  <c r="BD999" i="2"/>
  <c r="BA999" i="2"/>
  <c r="AY999" i="2"/>
  <c r="AX999" i="2" l="1"/>
  <c r="AT1000" i="2" s="1"/>
  <c r="AV1000" i="2"/>
  <c r="BC999" i="2"/>
  <c r="AW999" i="2" s="1"/>
  <c r="AS1000" i="2" s="1"/>
  <c r="AU1000" i="2" l="1"/>
  <c r="BG1000" i="2"/>
  <c r="BE1000" i="2" l="1"/>
  <c r="BF1000" i="2"/>
  <c r="BB1000" i="2" s="1"/>
  <c r="BD1000" i="2"/>
  <c r="BA1000" i="2"/>
  <c r="AZ1000" i="2"/>
  <c r="AY1000" i="2" l="1"/>
  <c r="AX1000" i="2"/>
  <c r="AT1001" i="2" s="1"/>
  <c r="BC1000" i="2"/>
  <c r="AV1001" i="2" l="1"/>
  <c r="AW1000" i="2"/>
  <c r="AS1001" i="2" s="1"/>
  <c r="AU1001" i="2" l="1"/>
  <c r="BG1001" i="2"/>
  <c r="BE1001" i="2" l="1"/>
  <c r="AZ1001" i="2" s="1"/>
  <c r="BF1001" i="2"/>
  <c r="BB1001" i="2" s="1"/>
  <c r="BD1001" i="2"/>
  <c r="BA1001" i="2" l="1"/>
  <c r="AY1001" i="2"/>
  <c r="AX1001" i="2"/>
  <c r="AT1002" i="2" s="1"/>
  <c r="BC1001" i="2"/>
  <c r="AW1001" i="2" s="1"/>
  <c r="AS1002" i="2" s="1"/>
  <c r="AV1002" i="2" l="1"/>
  <c r="BG1002" i="2"/>
  <c r="AU1002" i="2"/>
  <c r="BE1002" i="2" l="1"/>
  <c r="BF1002" i="2"/>
  <c r="BB1002" i="2" s="1"/>
  <c r="BD1002" i="2"/>
  <c r="AZ1002" i="2"/>
  <c r="BA1002" i="2"/>
  <c r="AX1002" i="2" l="1"/>
  <c r="AT1003" i="2" s="1"/>
  <c r="AY1002" i="2"/>
  <c r="BC1002" i="2"/>
  <c r="AW1002" i="2" l="1"/>
  <c r="AS1003" i="2" s="1"/>
  <c r="AU1003" i="2"/>
  <c r="AV1003" i="2"/>
  <c r="BG1003" i="2" l="1"/>
  <c r="BF1003" i="2"/>
  <c r="BE1003" i="2"/>
  <c r="BD1003" i="2"/>
  <c r="BB1003" i="2"/>
  <c r="AZ1003" i="2"/>
  <c r="BA1003" i="2"/>
  <c r="AX1003" i="2" l="1"/>
  <c r="AT1004" i="2" s="1"/>
  <c r="AV1004" i="2"/>
  <c r="AY1003" i="2"/>
  <c r="BC1003" i="2"/>
  <c r="AW1003" i="2" l="1"/>
  <c r="AS1004" i="2" s="1"/>
  <c r="AU1004" i="2" l="1"/>
  <c r="BG1004" i="2"/>
  <c r="BE1004" i="2" l="1"/>
  <c r="BF1004" i="2"/>
  <c r="BD1004" i="2"/>
  <c r="BB1004" i="2"/>
  <c r="AZ1004" i="2"/>
  <c r="BA1004" i="2" l="1"/>
  <c r="AX1004" i="2"/>
  <c r="AY1004" i="2"/>
  <c r="BC1004" i="2"/>
  <c r="AV1005" i="2" l="1"/>
  <c r="AT1005" i="2"/>
  <c r="AW1004" i="2"/>
  <c r="AS1005" i="2" s="1"/>
  <c r="BG1005" i="2" l="1"/>
  <c r="AU1005" i="2"/>
  <c r="BE1005" i="2" l="1"/>
  <c r="BF1005" i="2"/>
  <c r="BD1005" i="2"/>
  <c r="AZ1005" i="2"/>
  <c r="AY1005" i="2"/>
  <c r="BA1005" i="2" l="1"/>
  <c r="BB1005" i="2"/>
  <c r="AX1005" i="2" s="1"/>
  <c r="AT1006" i="2" s="1"/>
  <c r="BC1005" i="2"/>
  <c r="AW1005" i="2" l="1"/>
  <c r="AS1006" i="2" s="1"/>
  <c r="AV1006" i="2"/>
  <c r="AU1006" i="2"/>
  <c r="BG1006" i="2"/>
  <c r="BE1006" i="2" l="1"/>
  <c r="BF1006" i="2"/>
  <c r="BA1006" i="2" s="1"/>
  <c r="BD1006" i="2"/>
  <c r="AY1006" i="2"/>
  <c r="AZ1006" i="2"/>
  <c r="BB1006" i="2"/>
  <c r="AX1006" i="2" l="1"/>
  <c r="AT1007" i="2" s="1"/>
  <c r="BC1006" i="2"/>
  <c r="AW1006" i="2" s="1"/>
  <c r="AS1007" i="2" s="1"/>
  <c r="AU1007" i="2" l="1"/>
  <c r="AV1007" i="2"/>
  <c r="BG1007" i="2" l="1"/>
  <c r="BF1007" i="2"/>
  <c r="BE1007" i="2"/>
  <c r="BD1007" i="2"/>
  <c r="BB1007" i="2"/>
  <c r="AZ1007" i="2"/>
  <c r="AY1007" i="2"/>
  <c r="AX1007" i="2" l="1"/>
  <c r="BA1007" i="2"/>
  <c r="BC1007" i="2"/>
  <c r="AV1008" i="2" l="1"/>
  <c r="AT1008" i="2"/>
  <c r="AW1007" i="2"/>
  <c r="AS1008" i="2" s="1"/>
  <c r="BG1008" i="2" s="1"/>
  <c r="AU1008" i="2" l="1"/>
  <c r="BE1008" i="2"/>
  <c r="BF1008" i="2"/>
  <c r="BD1008" i="2"/>
  <c r="AZ1008" i="2"/>
  <c r="AY1008" i="2"/>
  <c r="BA1008" i="2" l="1"/>
  <c r="BB1008" i="2"/>
  <c r="AX1008" i="2" s="1"/>
  <c r="AT1009" i="2" s="1"/>
  <c r="BC1008" i="2"/>
  <c r="AW1008" i="2" l="1"/>
  <c r="AV1009" i="2"/>
  <c r="AU1009" i="2" l="1"/>
  <c r="AS1009" i="2"/>
  <c r="BG1009" i="2"/>
  <c r="BF1009" i="2"/>
  <c r="BE1009" i="2"/>
  <c r="AZ1009" i="2" s="1"/>
  <c r="BD1009" i="2"/>
  <c r="BA1009" i="2"/>
  <c r="AY1009" i="2"/>
  <c r="BC1009" i="2" l="1"/>
  <c r="AW1009" i="2" s="1"/>
  <c r="AS1010" i="2" s="1"/>
  <c r="BB1009" i="2"/>
  <c r="AX1009" i="2" s="1"/>
  <c r="AT1010" i="2" s="1"/>
  <c r="AV1010" i="2" l="1"/>
  <c r="BG1010" i="2"/>
  <c r="AU1010" i="2"/>
  <c r="BE1010" i="2" l="1"/>
  <c r="BF1010" i="2"/>
  <c r="AZ1010" i="2"/>
  <c r="BD1010" i="2"/>
  <c r="BB1010" i="2"/>
  <c r="AY1010" i="2"/>
  <c r="AX1010" i="2" l="1"/>
  <c r="AT1011" i="2" s="1"/>
  <c r="BA1010" i="2"/>
  <c r="BC1010" i="2"/>
  <c r="AW1010" i="2" l="1"/>
  <c r="AS1011" i="2" s="1"/>
  <c r="AU1011" i="2"/>
  <c r="AV1011" i="2"/>
  <c r="BG1011" i="2" l="1"/>
  <c r="BF1011" i="2"/>
  <c r="BE1011" i="2"/>
  <c r="BD1011" i="2"/>
  <c r="BB1011" i="2"/>
  <c r="AZ1011" i="2"/>
  <c r="BA1011" i="2"/>
  <c r="AY1011" i="2"/>
  <c r="AX1011" i="2" l="1"/>
  <c r="AT1012" i="2" s="1"/>
  <c r="AV1012" i="2"/>
  <c r="BC1011" i="2"/>
  <c r="AW1011" i="2" s="1"/>
  <c r="AS1012" i="2" s="1"/>
  <c r="BG1012" i="2" l="1"/>
  <c r="AU1012" i="2"/>
  <c r="BE1012" i="2" l="1"/>
  <c r="BF1012" i="2"/>
  <c r="BB1012" i="2" s="1"/>
  <c r="AZ1012" i="2"/>
  <c r="BA1012" i="2"/>
  <c r="BD1012" i="2"/>
  <c r="AY1012" i="2" l="1"/>
  <c r="AX1012" i="2"/>
  <c r="AT1013" i="2" s="1"/>
  <c r="BC1012" i="2"/>
  <c r="AW1012" i="2" s="1"/>
  <c r="AS1013" i="2" s="1"/>
  <c r="AU1013" i="2" l="1"/>
  <c r="AV1013" i="2"/>
  <c r="BG1013" i="2" l="1"/>
  <c r="BD1013" i="2" s="1"/>
  <c r="BF1013" i="2"/>
  <c r="BE1013" i="2"/>
  <c r="AZ1013" i="2" s="1"/>
  <c r="BB1013" i="2"/>
  <c r="BA1013" i="2" l="1"/>
  <c r="BC1013" i="2"/>
  <c r="AX1013" i="2"/>
  <c r="AT1014" i="2" s="1"/>
  <c r="AY1013" i="2"/>
  <c r="AW1013" i="2" l="1"/>
  <c r="AS1014" i="2" s="1"/>
  <c r="AV1014" i="2"/>
  <c r="AU1014" i="2" l="1"/>
  <c r="BG1014" i="2"/>
  <c r="BE1014" i="2" l="1"/>
  <c r="BF1014" i="2"/>
  <c r="BD1014" i="2"/>
  <c r="AY1014" i="2" l="1"/>
  <c r="AZ1014" i="2"/>
  <c r="BA1014" i="2"/>
  <c r="BB1014" i="2"/>
  <c r="BC1014" i="2"/>
  <c r="AX1014" i="2" l="1"/>
  <c r="AT1015" i="2" s="1"/>
  <c r="AW1014" i="2"/>
  <c r="AS1015" i="2" s="1"/>
  <c r="P4" i="3" l="1"/>
  <c r="AU1015" i="2"/>
  <c r="Q4" i="3"/>
  <c r="AV1015" i="2"/>
  <c r="BG1015" i="2" l="1"/>
  <c r="BF1015" i="2"/>
  <c r="BA1015" i="2" s="1"/>
  <c r="BE1015" i="2"/>
  <c r="BD1015" i="2"/>
  <c r="AY1015" i="2"/>
  <c r="BB1015" i="2" l="1"/>
  <c r="BC1015" i="2"/>
  <c r="AW1015" i="2" s="1"/>
  <c r="AZ1015" i="2"/>
  <c r="AX1015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<sst xmlns="http://schemas.openxmlformats.org/spreadsheetml/2006/main" count="162" uniqueCount="76">
  <si>
    <t>X</t>
  </si>
  <si>
    <t>Y</t>
  </si>
  <si>
    <t>Trois corps statiques</t>
  </si>
  <si>
    <t>Corps 1</t>
  </si>
  <si>
    <t>Corps 2</t>
  </si>
  <si>
    <t>Corps 3</t>
  </si>
  <si>
    <t>mètre</t>
  </si>
  <si>
    <r>
      <t>gramme / mètre</t>
    </r>
    <r>
      <rPr>
        <vertAlign val="superscript"/>
        <sz val="11"/>
        <color theme="1"/>
        <rFont val="Calibri"/>
        <family val="2"/>
        <scheme val="minor"/>
      </rPr>
      <t>3</t>
    </r>
  </si>
  <si>
    <t>gramme</t>
  </si>
  <si>
    <r>
      <t>mètre</t>
    </r>
    <r>
      <rPr>
        <vertAlign val="superscript"/>
        <sz val="11"/>
        <color theme="1"/>
        <rFont val="Calibri"/>
        <family val="2"/>
        <scheme val="minor"/>
      </rPr>
      <t>3</t>
    </r>
  </si>
  <si>
    <t>Incrément</t>
  </si>
  <si>
    <t xml:space="preserve">   Position</t>
  </si>
  <si>
    <t xml:space="preserve">   Rayon</t>
  </si>
  <si>
    <t xml:space="preserve">   Masse volumique moyenne</t>
  </si>
  <si>
    <t xml:space="preserve">   Volume</t>
  </si>
  <si>
    <t xml:space="preserve">   Masse totale</t>
  </si>
  <si>
    <t xml:space="preserve">   Constante d'Aarseth</t>
  </si>
  <si>
    <r>
      <t>q</t>
    </r>
    <r>
      <rPr>
        <vertAlign val="subscript"/>
        <sz val="11"/>
        <color theme="1"/>
        <rFont val="Calibri"/>
        <family val="2"/>
        <scheme val="minor"/>
      </rPr>
      <t>xy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</si>
  <si>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</si>
  <si>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p</t>
    </r>
    <r>
      <rPr>
        <vertAlign val="subscript"/>
        <sz val="11"/>
        <color theme="1"/>
        <rFont val="Calibri"/>
        <family val="2"/>
        <scheme val="minor"/>
      </rPr>
      <t>1</t>
    </r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</si>
  <si>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</si>
  <si>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</si>
  <si>
    <r>
      <rPr>
        <sz val="11"/>
        <color theme="1"/>
        <rFont val="Calibri"/>
        <family val="2"/>
        <scheme val="minor"/>
      </rPr>
      <t>λ</t>
    </r>
    <r>
      <rPr>
        <vertAlign val="subscript"/>
        <sz val="11"/>
        <color theme="1"/>
        <rFont val="Calibri"/>
        <family val="2"/>
        <scheme val="minor"/>
      </rPr>
      <t>1</t>
    </r>
  </si>
  <si>
    <t>Dimension</t>
  </si>
  <si>
    <t>Accélération initiale</t>
  </si>
  <si>
    <t>Vitesse initiale</t>
  </si>
  <si>
    <t>Position initiale</t>
  </si>
  <si>
    <t>Masse</t>
  </si>
  <si>
    <t>Corps en mouvement</t>
  </si>
  <si>
    <t>Ratio de la constante d'Aarseth</t>
  </si>
  <si>
    <t>Coefficient de friction</t>
  </si>
  <si>
    <t>Basse de temps</t>
  </si>
  <si>
    <t>Paramètres généraux</t>
  </si>
  <si>
    <t>seconde</t>
  </si>
  <si>
    <t>mètre / seconde</t>
  </si>
  <si>
    <t>-</t>
  </si>
  <si>
    <r>
      <t>mètre / seconde</t>
    </r>
    <r>
      <rPr>
        <vertAlign val="superscript"/>
        <sz val="11"/>
        <color theme="1"/>
        <rFont val="Calibri"/>
        <family val="2"/>
        <scheme val="minor"/>
      </rPr>
      <t>2</t>
    </r>
  </si>
  <si>
    <t>t</t>
  </si>
  <si>
    <t>f</t>
  </si>
  <si>
    <t>m</t>
  </si>
  <si>
    <t>p</t>
  </si>
  <si>
    <t>v</t>
  </si>
  <si>
    <t>s</t>
  </si>
  <si>
    <t>a</t>
  </si>
  <si>
    <t>Vaisseau</t>
  </si>
  <si>
    <t>Λ</t>
  </si>
  <si>
    <t>ay</t>
  </si>
  <si>
    <t>distance 1</t>
  </si>
  <si>
    <t>distance 2</t>
  </si>
  <si>
    <t>distance 3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</si>
  <si>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</si>
  <si>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y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</si>
  <si>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</si>
  <si>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y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</si>
  <si>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</si>
  <si>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</si>
  <si>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position initiale</t>
  </si>
  <si>
    <t>x</t>
  </si>
  <si>
    <t>y</t>
  </si>
  <si>
    <t>index</t>
  </si>
  <si>
    <t xml:space="preserve"> </t>
  </si>
  <si>
    <t>%</t>
  </si>
  <si>
    <t>position futur</t>
  </si>
  <si>
    <t>position courante</t>
  </si>
  <si>
    <t>position finale</t>
  </si>
  <si>
    <t>pox</t>
  </si>
  <si>
    <t>poxy</t>
  </si>
  <si>
    <t>Dimensions</t>
  </si>
  <si>
    <t>Vaisseau Trainée</t>
  </si>
  <si>
    <t>vx</t>
  </si>
  <si>
    <t>vy</t>
  </si>
  <si>
    <t>x'</t>
  </si>
  <si>
    <t>y'</t>
  </si>
  <si>
    <t>Postion Actualisé</t>
  </si>
  <si>
    <t>position vaisseau</t>
  </si>
  <si>
    <t>Angle vaisseau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</si>
</sst>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0000"/>
      <name val="Calibri"/>
    </font>
  </fonts>
  <fills count="1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theme="7" tint="-0.499984740745262"/>
      </left>
      <right style="thin">
        <color theme="7" tint="-0.249977111117893"/>
      </right>
      <top/>
      <bottom/>
      <diagonal/>
    </border>
    <border>
      <left style="thin">
        <color theme="7" tint="-0.249977111117893"/>
      </left>
      <right style="thin">
        <color theme="7" tint="-0.249977111117893"/>
      </right>
      <top/>
      <bottom/>
      <diagonal/>
    </border>
    <border>
      <left style="thin">
        <color theme="7" tint="-0.249977111117893"/>
      </left>
      <right/>
      <top/>
      <bottom/>
      <diagonal/>
    </border>
    <border>
      <left/>
      <right style="thin">
        <color theme="7" tint="-0.249977111117893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/>
    <xf numFmtId="1" fontId="0" fillId="0" borderId="0" xfId="0" applyNumberFormat="1" applyAlignment="1"/>
    <xf numFmtId="0" fontId="1" fillId="4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164" fontId="1" fillId="0" borderId="0" xfId="0" applyNumberFormat="1" applyFont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horizontal="left"/>
    </xf>
    <xf numFmtId="0" fontId="4" fillId="7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1" fillId="10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3" fillId="12" borderId="0" xfId="0" applyFont="1" applyFill="1" applyAlignment="1">
      <alignment horizontal="center"/>
    </xf>
    <xf numFmtId="0" fontId="0" fillId="13" borderId="0" xfId="0" applyFill="1" applyAlignment="1">
      <alignment horizontal="left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3" fillId="13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1" borderId="0" xfId="0" applyFill="1"/>
    <xf numFmtId="0" fontId="1" fillId="11" borderId="0" xfId="0" applyFont="1" applyFill="1" applyAlignment="1">
      <alignment horizontal="center"/>
    </xf>
    <xf numFmtId="0" fontId="0" fillId="12" borderId="0" xfId="0" applyFill="1"/>
    <xf numFmtId="0" fontId="1" fillId="12" borderId="0" xfId="0" applyFont="1" applyFill="1" applyAlignment="1">
      <alignment horizontal="center"/>
    </xf>
    <xf numFmtId="0" fontId="0" fillId="13" borderId="0" xfId="0" applyFill="1"/>
    <xf numFmtId="0" fontId="1" fillId="13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6" borderId="0" xfId="0" applyFill="1"/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0" fontId="1" fillId="4" borderId="0" xfId="0" applyFont="1" applyFill="1" applyAlignment="1">
      <alignment horizontal="center" vertical="top"/>
    </xf>
  </cellXfs>
  <cellStyles count="1">
    <cellStyle name="Normal" xfId="0" builtinId="0"/>
  </cellStyles>
  <dxfs count="15"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'Cond. Initiales et trajectoire'!$Z$12:$Z$27</c:f>
              <c:numCache>
                <c:formatCode>General</c:formatCode>
                <c:ptCount val="16"/>
                <c:pt idx="0">
                  <c:v>25000</c:v>
                </c:pt>
                <c:pt idx="1">
                  <c:v>24567.727288213006</c:v>
                </c:pt>
                <c:pt idx="2">
                  <c:v>23345.653031794292</c:v>
                </c:pt>
                <c:pt idx="3">
                  <c:v>21545.084971874738</c:v>
                </c:pt>
                <c:pt idx="4">
                  <c:v>19477.357683661732</c:v>
                </c:pt>
                <c:pt idx="5">
                  <c:v>17500</c:v>
                </c:pt>
                <c:pt idx="6">
                  <c:v>15954.915028125262</c:v>
                </c:pt>
                <c:pt idx="7">
                  <c:v>15109.261996330972</c:v>
                </c:pt>
                <c:pt idx="8">
                  <c:v>15109.261996330972</c:v>
                </c:pt>
                <c:pt idx="9">
                  <c:v>15954.915028125264</c:v>
                </c:pt>
                <c:pt idx="10">
                  <c:v>17500</c:v>
                </c:pt>
                <c:pt idx="11">
                  <c:v>19477.357683661732</c:v>
                </c:pt>
                <c:pt idx="12">
                  <c:v>21545.084971874738</c:v>
                </c:pt>
                <c:pt idx="13">
                  <c:v>23345.653031794289</c:v>
                </c:pt>
                <c:pt idx="14">
                  <c:v>24567.727288213002</c:v>
                </c:pt>
                <c:pt idx="15">
                  <c:v>25000</c:v>
                </c:pt>
              </c:numCache>
            </c:numRef>
          </c:xVal>
          <c:yVal>
            <c:numRef>
              <c:f>'Cond. Initiales et trajectoire'!$AA$12:$AA$27</c:f>
              <c:numCache>
                <c:formatCode>General</c:formatCode>
                <c:ptCount val="16"/>
                <c:pt idx="0">
                  <c:v>7500</c:v>
                </c:pt>
                <c:pt idx="1">
                  <c:v>9533.6832153790001</c:v>
                </c:pt>
                <c:pt idx="2">
                  <c:v>11215.724127386971</c:v>
                </c:pt>
                <c:pt idx="3">
                  <c:v>12255.282581475767</c:v>
                </c:pt>
                <c:pt idx="4">
                  <c:v>12472.609476841368</c:v>
                </c:pt>
                <c:pt idx="5">
                  <c:v>11830.127018922194</c:v>
                </c:pt>
                <c:pt idx="6">
                  <c:v>10438.926261462366</c:v>
                </c:pt>
                <c:pt idx="7">
                  <c:v>8539.5584540887976</c:v>
                </c:pt>
                <c:pt idx="8">
                  <c:v>6460.4415459112024</c:v>
                </c:pt>
                <c:pt idx="9">
                  <c:v>4561.0737385376333</c:v>
                </c:pt>
                <c:pt idx="10">
                  <c:v>3169.8729810778059</c:v>
                </c:pt>
                <c:pt idx="11">
                  <c:v>2527.3905231586332</c:v>
                </c:pt>
                <c:pt idx="12">
                  <c:v>2744.717418524232</c:v>
                </c:pt>
                <c:pt idx="13">
                  <c:v>3784.2758726130273</c:v>
                </c:pt>
                <c:pt idx="14">
                  <c:v>5466.3167846209953</c:v>
                </c:pt>
                <c:pt idx="15">
                  <c:v>7499.9999999999945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FD-4BE5-978F-2BA906F4AF34}"/>
            </c:ext>
          </c:extLst>
        </c:ser>
        <c:ser>
          <c:idx val="1"/>
          <c:order val="1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'Cond. Initiales et trajectoire'!$AG$12:$AG$27</c:f>
              <c:numCache>
                <c:formatCode>General</c:formatCode>
                <c:ptCount val="16"/>
                <c:pt idx="0">
                  <c:v>-16500</c:v>
                </c:pt>
                <c:pt idx="1">
                  <c:v>-16802.590898250895</c:v>
                </c:pt>
                <c:pt idx="2">
                  <c:v>-17658.042877743996</c:v>
                </c:pt>
                <c:pt idx="3">
                  <c:v>-18918.440519687683</c:v>
                </c:pt>
                <c:pt idx="4">
                  <c:v>-20365.849621436788</c:v>
                </c:pt>
                <c:pt idx="5">
                  <c:v>-21750</c:v>
                </c:pt>
                <c:pt idx="6">
                  <c:v>-22831.559480312317</c:v>
                </c:pt>
                <c:pt idx="7">
                  <c:v>-23423.516602568321</c:v>
                </c:pt>
                <c:pt idx="8">
                  <c:v>-23423.516602568321</c:v>
                </c:pt>
                <c:pt idx="9">
                  <c:v>-22831.559480312317</c:v>
                </c:pt>
                <c:pt idx="10">
                  <c:v>-21750</c:v>
                </c:pt>
                <c:pt idx="11">
                  <c:v>-20365.849621436788</c:v>
                </c:pt>
                <c:pt idx="12">
                  <c:v>-18918.440519687683</c:v>
                </c:pt>
                <c:pt idx="13">
                  <c:v>-17658.042877743999</c:v>
                </c:pt>
                <c:pt idx="14">
                  <c:v>-16802.590898250899</c:v>
                </c:pt>
                <c:pt idx="15">
                  <c:v>-16500</c:v>
                </c:pt>
              </c:numCache>
            </c:numRef>
          </c:xVal>
          <c:yVal>
            <c:numRef>
              <c:f>'Cond. Initiales et trajectoire'!$AH$12:$AH$27</c:f>
              <c:numCache>
                <c:formatCode>General</c:formatCode>
                <c:ptCount val="16"/>
                <c:pt idx="0">
                  <c:v>10000</c:v>
                </c:pt>
                <c:pt idx="1">
                  <c:v>11423.5782507653</c:v>
                </c:pt>
                <c:pt idx="2">
                  <c:v>12601.00688917088</c:v>
                </c:pt>
                <c:pt idx="3">
                  <c:v>13328.697807033037</c:v>
                </c:pt>
                <c:pt idx="4">
                  <c:v>13480.826633788956</c:v>
                </c:pt>
                <c:pt idx="5">
                  <c:v>13031.088913245536</c:v>
                </c:pt>
                <c:pt idx="6">
                  <c:v>12057.248383023656</c:v>
                </c:pt>
                <c:pt idx="7">
                  <c:v>10727.690917862157</c:v>
                </c:pt>
                <c:pt idx="8">
                  <c:v>9272.309082137841</c:v>
                </c:pt>
                <c:pt idx="9">
                  <c:v>7942.751616976343</c:v>
                </c:pt>
                <c:pt idx="10">
                  <c:v>6968.9110867544641</c:v>
                </c:pt>
                <c:pt idx="11">
                  <c:v>6519.1733662110437</c:v>
                </c:pt>
                <c:pt idx="12">
                  <c:v>6671.3021929669621</c:v>
                </c:pt>
                <c:pt idx="13">
                  <c:v>7398.9931108291185</c:v>
                </c:pt>
                <c:pt idx="14">
                  <c:v>8576.4217492346961</c:v>
                </c:pt>
                <c:pt idx="15">
                  <c:v>9999.9999999999964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FD-4BE5-978F-2BA906F4AF34}"/>
            </c:ext>
          </c:extLst>
        </c:ser>
        <c:ser>
          <c:idx val="2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'Cond. Initiales et trajectoire'!$AN$12:$AN$27</c:f>
              <c:numCache>
                <c:formatCode>General</c:formatCode>
                <c:ptCount val="16"/>
                <c:pt idx="0">
                  <c:v>0</c:v>
                </c:pt>
                <c:pt idx="1">
                  <c:v>-432.27271178699539</c:v>
                </c:pt>
                <c:pt idx="2">
                  <c:v>-1654.3469682057089</c:v>
                </c:pt>
                <c:pt idx="3">
                  <c:v>-3454.9150281252628</c:v>
                </c:pt>
                <c:pt idx="4">
                  <c:v>-5522.6423163382669</c:v>
                </c:pt>
                <c:pt idx="5">
                  <c:v>-7499.9999999999991</c:v>
                </c:pt>
                <c:pt idx="6">
                  <c:v>-9045.0849718747377</c:v>
                </c:pt>
                <c:pt idx="7">
                  <c:v>-9890.7380036690283</c:v>
                </c:pt>
                <c:pt idx="8">
                  <c:v>-9890.7380036690283</c:v>
                </c:pt>
                <c:pt idx="9">
                  <c:v>-9045.0849718747359</c:v>
                </c:pt>
                <c:pt idx="10">
                  <c:v>-7499.9999999999982</c:v>
                </c:pt>
                <c:pt idx="11">
                  <c:v>-5522.6423163382669</c:v>
                </c:pt>
                <c:pt idx="12">
                  <c:v>-3454.9150281252641</c:v>
                </c:pt>
                <c:pt idx="13">
                  <c:v>-1654.3469682057112</c:v>
                </c:pt>
                <c:pt idx="14">
                  <c:v>-432.27271178699721</c:v>
                </c:pt>
                <c:pt idx="15">
                  <c:v>0</c:v>
                </c:pt>
              </c:numCache>
            </c:numRef>
          </c:xVal>
          <c:yVal>
            <c:numRef>
              <c:f>'Cond. Initiales et trajectoire'!$AO$12:$AO$27</c:f>
              <c:numCache>
                <c:formatCode>General</c:formatCode>
                <c:ptCount val="16"/>
                <c:pt idx="0">
                  <c:v>-15000</c:v>
                </c:pt>
                <c:pt idx="1">
                  <c:v>-12966.316784621</c:v>
                </c:pt>
                <c:pt idx="2">
                  <c:v>-11284.275872613029</c:v>
                </c:pt>
                <c:pt idx="3">
                  <c:v>-10244.717418524233</c:v>
                </c:pt>
                <c:pt idx="4">
                  <c:v>-10027.390523158632</c:v>
                </c:pt>
                <c:pt idx="5">
                  <c:v>-10669.872981077806</c:v>
                </c:pt>
                <c:pt idx="6">
                  <c:v>-12061.073738537634</c:v>
                </c:pt>
                <c:pt idx="7">
                  <c:v>-13960.441545911202</c:v>
                </c:pt>
                <c:pt idx="8">
                  <c:v>-16039.558454088798</c:v>
                </c:pt>
                <c:pt idx="9">
                  <c:v>-17938.926261462366</c:v>
                </c:pt>
                <c:pt idx="10">
                  <c:v>-19330.127018922194</c:v>
                </c:pt>
                <c:pt idx="11">
                  <c:v>-19972.609476841368</c:v>
                </c:pt>
                <c:pt idx="12">
                  <c:v>-19755.282581475767</c:v>
                </c:pt>
                <c:pt idx="13">
                  <c:v>-18715.724127386973</c:v>
                </c:pt>
                <c:pt idx="14">
                  <c:v>-17033.683215379006</c:v>
                </c:pt>
                <c:pt idx="15">
                  <c:v>-15000.000000000005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FD-4BE5-978F-2BA906F4AF34}"/>
            </c:ext>
          </c:extLst>
        </c:ser>
        <c:ser>
          <c:idx val="3"/>
          <c:order val="3"/>
          <c:spPr>
            <a:ln w="31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'Cond. Initiales et trajectoire'!$AS$15:$AS$1015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14.896066662928291</c:v>
                </c:pt>
                <c:pt idx="2">
                  <c:v>58.763346006098629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285.58924200038098</c:v>
                </c:pt>
                <c:pt idx="10">
                  <c:v>-25.477447829587774</c:v>
                </c:pt>
                <c:pt idx="11">
                  <c:v>-580.59478059598291</c:v>
                </c:pt>
                <c:pt idx="12">
                  <c:v>-1446.1464434888001</c:v>
                </c:pt>
                <c:pt idx="13">
                  <c:v>-2648.2099956923216</c:v>
                </c:pt>
                <c:pt idx="14">
                  <c:v>-4125.8644659824404</c:v>
                </c:pt>
                <c:pt idx="15">
                  <c:v>-5735.1009192843458</c:v>
                </c:pt>
                <c:pt idx="16">
                  <c:v>-7317.9869908901264</c:v>
                </c:pt>
                <c:pt idx="17">
                  <c:v>-8758.1165401914805</c:v>
                </c:pt>
                <c:pt idx="18">
                  <c:v>-9982.2828998172117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-11250.644764132239</c:v>
                </c:pt>
                <c:pt idx="24">
                  <c:v>-10192.927132982937</c:v>
                </c:pt>
                <c:pt idx="25">
                  <c:v>-8610.6561923647478</c:v>
                </c:pt>
                <c:pt idx="26">
                  <c:v>-6573.0130698724988</c:v>
                </c:pt>
                <c:pt idx="27">
                  <c:v>-4245.5807942716601</c:v>
                </c:pt>
                <c:pt idx="28">
                  <c:v>-1814.6060313898508</c:v>
                </c:pt>
                <c:pt idx="29">
                  <c:v>597.78138509713324</c:v>
                </c:pt>
                <c:pt idx="30">
                  <c:v>2948.2328775484048</c:v>
                </c:pt>
                <c:pt idx="31">
                  <c:v>5245.4913349528633</c:v>
                </c:pt>
                <c:pt idx="32">
                  <c:v>7525.9718963109972</c:v>
                </c:pt>
                <c:pt idx="33">
                  <c:v>9840.1718597083473</c:v>
                </c:pt>
                <c:pt idx="34">
                  <c:v>12244.943311125398</c:v>
                </c:pt>
                <c:pt idx="35">
                  <c:v>14794.875574956412</c:v>
                </c:pt>
                <c:pt idx="36">
                  <c:v>17522.598329195571</c:v>
                </c:pt>
                <c:pt idx="37">
                  <c:v>20391.64218548896</c:v>
                </c:pt>
                <c:pt idx="38">
                  <c:v>23230.194083354581</c:v>
                </c:pt>
                <c:pt idx="39">
                  <c:v>25761.361344867069</c:v>
                </c:pt>
                <c:pt idx="40">
                  <c:v>27780.405187877059</c:v>
                </c:pt>
                <c:pt idx="41">
                  <c:v>29248.402756937085</c:v>
                </c:pt>
                <c:pt idx="42">
                  <c:v>30215.812704338721</c:v>
                </c:pt>
                <c:pt idx="43">
                  <c:v>30745.101259605581</c:v>
                </c:pt>
                <c:pt idx="44">
                  <c:v>30886.790392534051</c:v>
                </c:pt>
                <c:pt idx="45">
                  <c:v>30677.461320887338</c:v>
                </c:pt>
                <c:pt idx="46">
                  <c:v>30142.303506834916</c:v>
                </c:pt>
                <c:pt idx="47">
                  <c:v>29297.777533785233</c:v>
                </c:pt>
                <c:pt idx="48">
                  <c:v>28153.785104550792</c:v>
                </c:pt>
                <c:pt idx="49">
                  <c:v>26715.716662999937</c:v>
                </c:pt>
                <c:pt idx="50">
                  <c:v>24987.318013590655</c:v>
                </c:pt>
                <c:pt idx="51">
                  <c:v>22976.472539850281</c:v>
                </c:pt>
                <c:pt idx="52">
                  <c:v>20708.650299308469</c:v>
                </c:pt>
                <c:pt idx="53">
                  <c:v>18256.048790721667</c:v>
                </c:pt>
                <c:pt idx="54">
                  <c:v>15777.152184099619</c:v>
                </c:pt>
                <c:pt idx="55">
                  <c:v>13493.52043441993</c:v>
                </c:pt>
                <c:pt idx="56">
                  <c:v>11547.047691312604</c:v>
                </c:pt>
                <c:pt idx="57">
                  <c:v>9910.9609676595483</c:v>
                </c:pt>
                <c:pt idx="58">
                  <c:v>8462.8099801477947</c:v>
                </c:pt>
                <c:pt idx="59">
                  <c:v>7068.308453283772</c:v>
                </c:pt>
                <c:pt idx="60">
                  <c:v>5601.6989169081153</c:v>
                </c:pt>
                <c:pt idx="61">
                  <c:v>3940.3522252461948</c:v>
                </c:pt>
                <c:pt idx="62">
                  <c:v>1962.7825789155611</c:v>
                </c:pt>
                <c:pt idx="63">
                  <c:v>-425.67914039390132</c:v>
                </c:pt>
                <c:pt idx="64">
                  <c:v>-3217.9260129038344</c:v>
                </c:pt>
                <c:pt idx="65">
                  <c:v>-6247.2286321004185</c:v>
                </c:pt>
                <c:pt idx="66">
                  <c:v>-9274.1001941296181</c:v>
                </c:pt>
                <c:pt idx="67">
                  <c:v>-12128.453483572101</c:v>
                </c:pt>
                <c:pt idx="68">
                  <c:v>-14737.842895389356</c:v>
                </c:pt>
                <c:pt idx="69">
                  <c:v>-17083.830135097705</c:v>
                </c:pt>
                <c:pt idx="70">
                  <c:v>-19168.468262468348</c:v>
                </c:pt>
                <c:pt idx="71">
                  <c:v>-20999.620327114109</c:v>
                </c:pt>
                <c:pt idx="72">
                  <c:v>-22585.524596538929</c:v>
                </c:pt>
                <c:pt idx="73">
                  <c:v>-23932.944997394712</c:v>
                </c:pt>
                <c:pt idx="74">
                  <c:v>-25046.625394282652</c:v>
                </c:pt>
                <c:pt idx="75">
                  <c:v>-25929.195097656309</c:v>
                </c:pt>
                <c:pt idx="76">
                  <c:v>-26581.209700666495</c:v>
                </c:pt>
                <c:pt idx="77">
                  <c:v>-27001.212118284246</c:v>
                </c:pt>
                <c:pt idx="78">
                  <c:v>-27185.776855785327</c:v>
                </c:pt>
                <c:pt idx="79">
                  <c:v>-27129.535015348974</c:v>
                </c:pt>
                <c:pt idx="80">
                  <c:v>-26825.199751947388</c:v>
                </c:pt>
                <c:pt idx="81">
                  <c:v>-26263.637906131331</c:v>
                </c:pt>
                <c:pt idx="82">
                  <c:v>-25434.077422907882</c:v>
                </c:pt>
                <c:pt idx="83">
                  <c:v>-24324.6215888236</c:v>
                </c:pt>
                <c:pt idx="84">
                  <c:v>-22923.391257415809</c:v>
                </c:pt>
                <c:pt idx="85">
                  <c:v>-21220.874935732994</c:v>
                </c:pt>
                <c:pt idx="86">
                  <c:v>-19214.425290644915</c:v>
                </c:pt>
                <c:pt idx="87">
                  <c:v>-16915.943114738689</c:v>
                </c:pt>
                <c:pt idx="88">
                  <c:v>-14361.983954494757</c:v>
                </c:pt>
                <c:pt idx="89">
                  <c:v>-11618.596008084529</c:v>
                </c:pt>
                <c:pt idx="90">
                  <c:v>-8766.2728338613633</c:v>
                </c:pt>
                <c:pt idx="91">
                  <c:v>-5866.909999224933</c:v>
                </c:pt>
                <c:pt idx="92">
                  <c:v>-2942.049974330891</c:v>
                </c:pt>
                <c:pt idx="93">
                  <c:v>23.217842275747426</c:v>
                </c:pt>
                <c:pt idx="94">
                  <c:v>3067.3982624697833</c:v>
                </c:pt>
                <c:pt idx="95">
                  <c:v>6244.5152794718088</c:v>
                </c:pt>
                <c:pt idx="96">
                  <c:v>9619.9472014955736</c:v>
                </c:pt>
                <c:pt idx="97">
                  <c:v>13261.688861181439</c:v>
                </c:pt>
                <c:pt idx="98">
                  <c:v>17207.795860301951</c:v>
                </c:pt>
                <c:pt idx="99">
                  <c:v>21382.897160050456</c:v>
                </c:pt>
                <c:pt idx="100">
                  <c:v>25527.780776295695</c:v>
                </c:pt>
                <c:pt idx="101">
                  <c:v>29332.539046254231</c:v>
                </c:pt>
                <c:pt idx="102">
                  <c:v>32647.26330122388</c:v>
                </c:pt>
                <c:pt idx="103">
                  <c:v>35481.327162436726</c:v>
                </c:pt>
                <c:pt idx="104">
                  <c:v>37895.804187629365</c:v>
                </c:pt>
                <c:pt idx="105">
                  <c:v>39951.161291287637</c:v>
                </c:pt>
                <c:pt idx="106">
                  <c:v>41696.165858058412</c:v>
                </c:pt>
                <c:pt idx="107">
                  <c:v>43168.476126794936</c:v>
                </c:pt>
                <c:pt idx="108">
                  <c:v>44397.134301028243</c:v>
                </c:pt>
                <c:pt idx="109">
                  <c:v>45404.779111356685</c:v>
                </c:pt>
                <c:pt idx="110">
                  <c:v>46209.290956353245</c:v>
                </c:pt>
                <c:pt idx="111">
                  <c:v>46824.965117994332</c:v>
                </c:pt>
                <c:pt idx="112">
                  <c:v>47263.345217037007</c:v>
                </c:pt>
                <c:pt idx="113">
                  <c:v>47533.820692211717</c:v>
                </c:pt>
                <c:pt idx="114">
                  <c:v>47644.060809449336</c:v>
                </c:pt>
                <c:pt idx="115">
                  <c:v>47600.334290622195</c:v>
                </c:pt>
                <c:pt idx="116">
                  <c:v>47407.747696504404</c:v>
                </c:pt>
                <c:pt idx="117">
                  <c:v>47070.425113675927</c:v>
                </c:pt>
                <c:pt idx="118">
                  <c:v>46591.64469171378</c:v>
                </c:pt>
                <c:pt idx="119">
                  <c:v>45973.942911832724</c:v>
                </c:pt>
                <c:pt idx="120">
                  <c:v>45219.194329255428</c:v>
                </c:pt>
                <c:pt idx="121">
                  <c:v>44328.672399004601</c:v>
                </c:pt>
                <c:pt idx="122">
                  <c:v>43303.095535654</c:v>
                </c:pt>
                <c:pt idx="123">
                  <c:v>42142.661555691004</c:v>
                </c:pt>
                <c:pt idx="124">
                  <c:v>40847.072959608813</c:v>
                </c:pt>
                <c:pt idx="125">
                  <c:v>39415.555016025603</c:v>
                </c:pt>
                <c:pt idx="126">
                  <c:v>37846.868195774805</c:v>
                </c:pt>
                <c:pt idx="127">
                  <c:v>36139.316000433231</c:v>
                </c:pt>
                <c:pt idx="128">
                  <c:v>34290.748323708882</c:v>
                </c:pt>
                <c:pt idx="129">
                  <c:v>32298.558541159626</c:v>
                </c:pt>
                <c:pt idx="130">
                  <c:v>30159.668235802779</c:v>
                </c:pt>
                <c:pt idx="131">
                  <c:v>27870.484161494438</c:v>
                </c:pt>
                <c:pt idx="132">
                  <c:v>25426.792396758985</c:v>
                </c:pt>
                <c:pt idx="133">
                  <c:v>22823.514518604374</c:v>
                </c:pt>
                <c:pt idx="134">
                  <c:v>20054.172441457813</c:v>
                </c:pt>
                <c:pt idx="135">
                  <c:v>17109.76790552081</c:v>
                </c:pt>
                <c:pt idx="136">
                  <c:v>13976.569983364752</c:v>
                </c:pt>
                <c:pt idx="137">
                  <c:v>10632.139535991104</c:v>
                </c:pt>
                <c:pt idx="138">
                  <c:v>7039.5393114377366</c:v>
                </c:pt>
                <c:pt idx="139">
                  <c:v>3144.2746556372249</c:v>
                </c:pt>
                <c:pt idx="140">
                  <c:v>-1103.2054927434924</c:v>
                </c:pt>
                <c:pt idx="141">
                  <c:v>-5651.6796163065455</c:v>
                </c:pt>
                <c:pt idx="142">
                  <c:v>-10261.000359274172</c:v>
                </c:pt>
                <c:pt idx="143">
                  <c:v>-14656.030853972028</c:v>
                </c:pt>
                <c:pt idx="144">
                  <c:v>-18722.601056920939</c:v>
                </c:pt>
                <c:pt idx="145">
                  <c:v>-22464.523100091319</c:v>
                </c:pt>
                <c:pt idx="146">
                  <c:v>-25906.865482923102</c:v>
                </c:pt>
                <c:pt idx="147">
                  <c:v>-29069.387473122591</c:v>
                </c:pt>
                <c:pt idx="148">
                  <c:v>-31969.259979034628</c:v>
                </c:pt>
                <c:pt idx="149">
                  <c:v>-34624.614037958352</c:v>
                </c:pt>
                <c:pt idx="150">
                  <c:v>-37054.470478277348</c:v>
                </c:pt>
                <c:pt idx="151">
                  <c:v>-39277.398102829691</c:v>
                </c:pt>
                <c:pt idx="152">
                  <c:v>-41310.485900575477</c:v>
                </c:pt>
                <c:pt idx="153">
                  <c:v>-43168.898096943034</c:v>
                </c:pt>
                <c:pt idx="154">
                  <c:v>-44865.826030513956</c:v>
                </c:pt>
                <c:pt idx="155">
                  <c:v>-46412.634897716998</c:v>
                </c:pt>
                <c:pt idx="156">
                  <c:v>-47819.080258970316</c:v>
                </c:pt>
                <c:pt idx="157">
                  <c:v>-49093.53171171416</c:v>
                </c:pt>
                <c:pt idx="158">
                  <c:v>-50243.177200357975</c:v>
                </c:pt>
                <c:pt idx="159">
                  <c:v>-51274.199432570538</c:v>
                </c:pt>
                <c:pt idx="160">
                  <c:v>-52191.9239697374</c:v>
                </c:pt>
                <c:pt idx="161">
                  <c:v>-53000.941746303353</c:v>
                </c:pt>
                <c:pt idx="162">
                  <c:v>-53705.209683984423</c:v>
                </c:pt>
                <c:pt idx="163">
                  <c:v>-54308.133001649461</c:v>
                </c:pt>
                <c:pt idx="164">
                  <c:v>-54812.632391269683</c:v>
                </c:pt>
                <c:pt idx="165">
                  <c:v>-55221.198708541153</c:v>
                </c:pt>
                <c:pt idx="166">
                  <c:v>-55535.937327036103</c:v>
                </c:pt>
                <c:pt idx="167">
                  <c:v>-55758.603866519843</c:v>
                </c:pt>
                <c:pt idx="168">
                  <c:v>-55890.632636227463</c:v>
                </c:pt>
                <c:pt idx="169">
                  <c:v>-55933.158825954015</c:v>
                </c:pt>
                <c:pt idx="170">
                  <c:v>-55887.035220721271</c:v>
                </c:pt>
                <c:pt idx="171">
                  <c:v>-55752.843996611722</c:v>
                </c:pt>
                <c:pt idx="172">
                  <c:v>-55530.903964617617</c:v>
                </c:pt>
                <c:pt idx="173">
                  <c:v>-55221.273455186318</c:v>
                </c:pt>
                <c:pt idx="174">
                  <c:v>-54823.748867976617</c:v>
                </c:pt>
                <c:pt idx="175">
                  <c:v>-54337.858738186689</c:v>
                </c:pt>
                <c:pt idx="176">
                  <c:v>-53762.852980296339</c:v>
                </c:pt>
                <c:pt idx="177">
                  <c:v>-53097.686747075139</c:v>
                </c:pt>
                <c:pt idx="178">
                  <c:v>-52340.998066482658</c:v>
                </c:pt>
                <c:pt idx="179">
                  <c:v>-51491.078064387511</c:v>
                </c:pt>
                <c:pt idx="180">
                  <c:v>-50545.832107813636</c:v>
                </c:pt>
                <c:pt idx="181">
                  <c:v>-49502.72955407526</c:v>
                </c:pt>
                <c:pt idx="182">
                  <c:v>-48358.738878741591</c:v>
                </c:pt>
                <c:pt idx="183">
                  <c:v>-47110.24364626575</c:v>
                </c:pt>
                <c:pt idx="184">
                  <c:v>-45752.932873098747</c:v>
                </c:pt>
                <c:pt idx="185">
                  <c:v>-44281.65648695179</c:v>
                </c:pt>
                <c:pt idx="186">
                  <c:v>-42690.232294229354</c:v>
                </c:pt>
                <c:pt idx="187">
                  <c:v>-40971.184344461675</c:v>
                </c:pt>
                <c:pt idx="188">
                  <c:v>-39115.382717543114</c:v>
                </c:pt>
                <c:pt idx="189">
                  <c:v>-37111.540408012886</c:v>
                </c:pt>
                <c:pt idx="190">
                  <c:v>-34945.504856967898</c:v>
                </c:pt>
                <c:pt idx="191">
                  <c:v>-32599.27144160352</c:v>
                </c:pt>
                <c:pt idx="192">
                  <c:v>-30049.70707199927</c:v>
                </c:pt>
                <c:pt idx="193">
                  <c:v>-27267.40159048116</c:v>
                </c:pt>
                <c:pt idx="194">
                  <c:v>-24218.212106040282</c:v>
                </c:pt>
                <c:pt idx="195">
                  <c:v>-20879.229067163091</c:v>
                </c:pt>
                <c:pt idx="196">
                  <c:v>-17302.00945555844</c:v>
                </c:pt>
                <c:pt idx="197">
                  <c:v>-13680.662973432358</c:v>
                </c:pt>
                <c:pt idx="198">
                  <c:v>-10198.136658300458</c:v>
                </c:pt>
                <c:pt idx="199">
                  <c:v>-6853.4800214573852</c:v>
                </c:pt>
                <c:pt idx="200">
                  <c:v>-3554.3195911204734</c:v>
                </c:pt>
                <c:pt idx="201">
                  <c:v>-230.11510165413836</c:v>
                </c:pt>
                <c:pt idx="202">
                  <c:v>3144.6834798978575</c:v>
                </c:pt>
                <c:pt idx="203">
                  <c:v>6547.3655718184282</c:v>
                </c:pt>
                <c:pt idx="204">
                  <c:v>9914.6877992786522</c:v>
                </c:pt>
                <c:pt idx="205">
                  <c:v>13170.429555346069</c:v>
                </c:pt>
                <c:pt idx="206">
                  <c:v>16258.192591736466</c:v>
                </c:pt>
                <c:pt idx="207">
                  <c:v>19154.204773718982</c:v>
                </c:pt>
                <c:pt idx="208">
                  <c:v>21859.32239555354</c:v>
                </c:pt>
                <c:pt idx="209">
                  <c:v>24386.329671337076</c:v>
                </c:pt>
                <c:pt idx="210">
                  <c:v>26751.573464908317</c:v>
                </c:pt>
                <c:pt idx="211">
                  <c:v>28971.099094631682</c:v>
                </c:pt>
                <c:pt idx="212">
                  <c:v>31059.281313901662</c:v>
                </c:pt>
                <c:pt idx="213">
                  <c:v>33028.544222235498</c:v>
                </c:pt>
                <c:pt idx="214">
                  <c:v>34889.487105349719</c:v>
                </c:pt>
                <c:pt idx="215">
                  <c:v>36651.129040375177</c:v>
                </c:pt>
                <c:pt idx="216">
                  <c:v>38321.162308770552</c:v>
                </c:pt>
                <c:pt idx="217">
                  <c:v>39906.17776024335</c:v>
                </c:pt>
                <c:pt idx="218">
                  <c:v>41411.853820696895</c:v>
                </c:pt>
                <c:pt idx="219">
                  <c:v>42843.111138429413</c:v>
                </c:pt>
                <c:pt idx="220">
                  <c:v>44204.237916506412</c:v>
                </c:pt>
                <c:pt idx="221">
                  <c:v>45498.991290985374</c:v>
                </c:pt>
                <c:pt idx="222">
                  <c:v>46730.679500692626</c:v>
                </c:pt>
                <c:pt idx="223">
                  <c:v>47902.228765192209</c:v>
                </c:pt>
                <c:pt idx="224">
                  <c:v>49016.238002475511</c:v>
                </c:pt>
                <c:pt idx="225">
                  <c:v>50075.02385448412</c:v>
                </c:pt>
                <c:pt idx="226">
                  <c:v>51080.657955090806</c:v>
                </c:pt>
                <c:pt idx="227">
                  <c:v>52034.997956105515</c:v>
                </c:pt>
                <c:pt idx="228">
                  <c:v>52939.713501215781</c:v>
                </c:pt>
                <c:pt idx="229">
                  <c:v>53796.308085667493</c:v>
                </c:pt>
                <c:pt idx="230">
                  <c:v>54606.137544305981</c:v>
                </c:pt>
                <c:pt idx="231">
                  <c:v>55370.425759101192</c:v>
                </c:pt>
                <c:pt idx="232">
                  <c:v>56090.278059230746</c:v>
                </c:pt>
                <c:pt idx="233">
                  <c:v>56766.692694361984</c:v>
                </c:pt>
                <c:pt idx="234">
                  <c:v>57400.570689010048</c:v>
                </c:pt>
                <c:pt idx="235">
                  <c:v>57992.724328240103</c:v>
                </c:pt>
                <c:pt idx="236">
                  <c:v>58543.884479100831</c:v>
                </c:pt>
                <c:pt idx="237">
                  <c:v>59054.70691541284</c:v>
                </c:pt>
                <c:pt idx="238">
                  <c:v>59525.777783893507</c:v>
                </c:pt>
                <c:pt idx="239">
                  <c:v>59957.618325546173</c:v>
                </c:pt>
                <c:pt idx="240">
                  <c:v>60350.688946591952</c:v>
                </c:pt>
                <c:pt idx="241">
                  <c:v>60705.39271705789</c:v>
                </c:pt>
                <c:pt idx="242">
                  <c:v>61022.078361736203</c:v>
                </c:pt>
                <c:pt idx="243">
                  <c:v>61301.042797031165</c:v>
                </c:pt>
                <c:pt idx="244">
                  <c:v>61542.533257764124</c:v>
                </c:pt>
                <c:pt idx="245">
                  <c:v>61746.749049954691</c:v>
                </c:pt>
                <c:pt idx="246">
                  <c:v>61913.842958647852</c:v>
                </c:pt>
                <c:pt idx="247">
                  <c:v>62043.922333776049</c:v>
                </c:pt>
                <c:pt idx="248">
                  <c:v>62137.04987163531</c:v>
                </c:pt>
                <c:pt idx="249">
                  <c:v>62193.244104649762</c:v>
                </c:pt>
                <c:pt idx="250">
                  <c:v>62212.479607555259</c:v>
                </c:pt>
                <c:pt idx="251">
                  <c:v>62194.686923822599</c:v>
                </c:pt>
                <c:pt idx="252">
                  <c:v>62139.752211946754</c:v>
                </c:pt>
                <c:pt idx="253">
                  <c:v>62047.516607037418</c:v>
                </c:pt>
                <c:pt idx="254">
                  <c:v>61917.775288847231</c:v>
                </c:pt>
                <c:pt idx="255">
                  <c:v>61750.276242850407</c:v>
                </c:pt>
                <c:pt idx="256">
                  <c:v>61544.718696112621</c:v>
                </c:pt>
                <c:pt idx="257">
                  <c:v>61300.751204333152</c:v>
                </c:pt>
                <c:pt idx="258">
                  <c:v>61017.969360434348</c:v>
                </c:pt>
                <c:pt idx="259">
                  <c:v>60695.9130882346</c:v>
                </c:pt>
                <c:pt idx="260">
                  <c:v>60334.063476846859</c:v>
                </c:pt>
                <c:pt idx="261">
                  <c:v>59931.839102225116</c:v>
                </c:pt>
                <c:pt idx="262">
                  <c:v>59488.591771404681</c:v>
                </c:pt>
                <c:pt idx="263">
                  <c:v>59003.601612037892</c:v>
                </c:pt>
                <c:pt idx="264">
                  <c:v>58476.071414301725</c:v>
                </c:pt>
                <c:pt idx="265">
                  <c:v>57905.120113501711</c:v>
                </c:pt>
                <c:pt idx="266">
                  <c:v>57289.775278900313</c:v>
                </c:pt>
                <c:pt idx="267">
                  <c:v>56628.964446417638</c:v>
                </c:pt>
                <c:pt idx="268">
                  <c:v>55921.505098558417</c:v>
                </c:pt>
                <c:pt idx="269">
                  <c:v>55166.093052506665</c:v>
                </c:pt>
                <c:pt idx="270">
                  <c:v>54361.288964603467</c:v>
                </c:pt>
                <c:pt idx="271">
                  <c:v>53505.502593556215</c:v>
                </c:pt>
                <c:pt idx="272">
                  <c:v>52596.974382074382</c:v>
                </c:pt>
                <c:pt idx="273">
                  <c:v>51633.753812504394</c:v>
                </c:pt>
                <c:pt idx="274">
                  <c:v>50613.673860468567</c:v>
                </c:pt>
                <c:pt idx="275">
                  <c:v>49534.320703982739</c:v>
                </c:pt>
                <c:pt idx="276">
                  <c:v>48392.997634824227</c:v>
                </c:pt>
                <c:pt idx="277">
                  <c:v>47186.681853331997</c:v>
                </c:pt>
                <c:pt idx="278">
                  <c:v>45911.972496179762</c:v>
                </c:pt>
                <c:pt idx="279">
                  <c:v>44565.027840497351</c:v>
                </c:pt>
                <c:pt idx="280">
                  <c:v>43141.489149154426</c:v>
                </c:pt>
                <c:pt idx="281">
                  <c:v>41636.388102511883</c:v>
                </c:pt>
                <c:pt idx="282">
                  <c:v>40044.034305431378</c:v>
                </c:pt>
                <c:pt idx="283">
                  <c:v>38357.879240230563</c:v>
                </c:pt>
                <c:pt idx="284">
                  <c:v>36570.35393170052</c:v>
                </c:pt>
                <c:pt idx="285">
                  <c:v>34672.681106927499</c:v>
                </c:pt>
                <c:pt idx="286">
                  <c:v>32654.67257492663</c:v>
                </c:pt>
                <c:pt idx="287">
                  <c:v>30504.54796629697</c:v>
                </c:pt>
                <c:pt idx="288">
                  <c:v>28208.873543964288</c:v>
                </c:pt>
                <c:pt idx="289">
                  <c:v>25752.871464081589</c:v>
                </c:pt>
                <c:pt idx="290">
                  <c:v>23121.711123841051</c:v>
                </c:pt>
                <c:pt idx="291">
                  <c:v>20304.209142956322</c:v>
                </c:pt>
                <c:pt idx="292">
                  <c:v>17301.882039110649</c:v>
                </c:pt>
                <c:pt idx="293">
                  <c:v>14147.232834395325</c:v>
                </c:pt>
                <c:pt idx="294">
                  <c:v>10926.641999814639</c:v>
                </c:pt>
                <c:pt idx="295">
                  <c:v>7773.0570673271986</c:v>
                </c:pt>
                <c:pt idx="296">
                  <c:v>4797.8578714942905</c:v>
                </c:pt>
                <c:pt idx="297">
                  <c:v>2029.419183060895</c:v>
                </c:pt>
                <c:pt idx="298">
                  <c:v>-570.29991049608952</c:v>
                </c:pt>
                <c:pt idx="299">
                  <c:v>-3057.1854842388898</c:v>
                </c:pt>
                <c:pt idx="300">
                  <c:v>-5477.2334645811034</c:v>
                </c:pt>
                <c:pt idx="301">
                  <c:v>-7857.9912098195391</c:v>
                </c:pt>
                <c:pt idx="302">
                  <c:v>-10209.456845346998</c:v>
                </c:pt>
                <c:pt idx="303">
                  <c:v>-12529.849266539244</c:v>
                </c:pt>
                <c:pt idx="304">
                  <c:v>-14812.319498198149</c:v>
                </c:pt>
                <c:pt idx="305">
                  <c:v>-17049.650880611098</c:v>
                </c:pt>
                <c:pt idx="306">
                  <c:v>-19236.356860330085</c:v>
                </c:pt>
                <c:pt idx="307">
                  <c:v>-21369.066407344078</c:v>
                </c:pt>
                <c:pt idx="308">
                  <c:v>-23446.182401850518</c:v>
                </c:pt>
                <c:pt idx="309">
                  <c:v>-25467.380314087735</c:v>
                </c:pt>
                <c:pt idx="310">
                  <c:v>-27433.169758373628</c:v>
                </c:pt>
                <c:pt idx="311">
                  <c:v>-29344.56986050048</c:v>
                </c:pt>
                <c:pt idx="312">
                  <c:v>-31202.886975443256</c:v>
                </c:pt>
                <c:pt idx="313">
                  <c:v>-33009.569006270161</c:v>
                </c:pt>
                <c:pt idx="314">
                  <c:v>-34766.112729544155</c:v>
                </c:pt>
                <c:pt idx="315">
                  <c:v>-36474.006402622072</c:v>
                </c:pt>
                <c:pt idx="316">
                  <c:v>-38134.695366700762</c:v>
                </c:pt>
                <c:pt idx="317">
                  <c:v>-39749.562445140822</c:v>
                </c:pt>
                <c:pt idx="318">
                  <c:v>-41319.917763628015</c:v>
                </c:pt>
                <c:pt idx="319">
                  <c:v>-42846.994502271693</c:v>
                </c:pt>
                <c:pt idx="320">
                  <c:v>-44331.948322646269</c:v>
                </c:pt>
                <c:pt idx="321">
                  <c:v>-45775.859013757101</c:v>
                </c:pt>
                <c:pt idx="322">
                  <c:v>-47179.733420140932</c:v>
                </c:pt>
                <c:pt idx="323">
                  <c:v>-48544.509052059497</c:v>
                </c:pt>
                <c:pt idx="324">
                  <c:v>-49871.057996475</c:v>
                </c:pt>
                <c:pt idx="325">
                  <c:v>-51160.190889772857</c:v>
                </c:pt>
                <c:pt idx="326">
                  <c:v>-52412.660805788582</c:v>
                </c:pt>
                <c:pt idx="327">
                  <c:v>-53629.166972875741</c:v>
                </c:pt>
                <c:pt idx="328">
                  <c:v>-54810.358272710553</c:v>
                </c:pt>
                <c:pt idx="329">
                  <c:v>-55956.836498550401</c:v>
                </c:pt>
                <c:pt idx="330">
                  <c:v>-57069.15936651246</c:v>
                </c:pt>
                <c:pt idx="331">
                  <c:v>-58147.843283247552</c:v>
                </c:pt>
                <c:pt idx="332">
                  <c:v>-59193.365879222125</c:v>
                </c:pt>
                <c:pt idx="333">
                  <c:v>-60206.168320057914</c:v>
                </c:pt>
                <c:pt idx="334">
                  <c:v>-61186.657409926382</c:v>
                </c:pt>
                <c:pt idx="335">
                  <c:v>-62135.207501459008</c:v>
                </c:pt>
                <c:pt idx="336">
                  <c:v>-63052.16222641871</c:v>
                </c:pt>
                <c:pt idx="337">
                  <c:v>-63937.836060749825</c:v>
                </c:pt>
                <c:pt idx="338">
                  <c:v>-64792.515736760623</c:v>
                </c:pt>
                <c:pt idx="339">
                  <c:v>-65616.461514209092</c:v>
                </c:pt>
                <c:pt idx="340">
                  <c:v>-66409.908321034411</c:v>
                </c:pt>
                <c:pt idx="341">
                  <c:v>-67173.06677344926</c:v>
                </c:pt>
                <c:pt idx="342">
                  <c:v>-67906.124084110823</c:v>
                </c:pt>
                <c:pt idx="343">
                  <c:v>-68609.244866136476</c:v>
                </c:pt>
                <c:pt idx="344">
                  <c:v>-69282.571839831377</c:v>
                </c:pt>
                <c:pt idx="345">
                  <c:v>-69926.226448151938</c:v>
                </c:pt>
                <c:pt idx="346">
                  <c:v>-70540.309386139605</c:v>
                </c:pt>
                <c:pt idx="347">
                  <c:v>-71124.901048820611</c:v>
                </c:pt>
                <c:pt idx="348">
                  <c:v>-71680.061901374313</c:v>
                </c:pt>
                <c:pt idx="349">
                  <c:v>-72205.832774718947</c:v>
                </c:pt>
                <c:pt idx="350">
                  <c:v>-72702.23508904448</c:v>
                </c:pt>
                <c:pt idx="351">
                  <c:v>-73169.271007229574</c:v>
                </c:pt>
                <c:pt idx="352">
                  <c:v>-73606.923519508025</c:v>
                </c:pt>
                <c:pt idx="353">
                  <c:v>-74015.156460192215</c:v>
                </c:pt>
                <c:pt idx="354">
                  <c:v>-74393.914456710234</c:v>
                </c:pt>
                <c:pt idx="355">
                  <c:v>-74743.12281066287</c:v>
                </c:pt>
                <c:pt idx="356">
                  <c:v>-75062.687310048088</c:v>
                </c:pt>
                <c:pt idx="357">
                  <c:v>-75352.493971228279</c:v>
                </c:pt>
                <c:pt idx="358">
                  <c:v>-75612.408708618605</c:v>
                </c:pt>
                <c:pt idx="359">
                  <c:v>-75842.276929447413</c:v>
                </c:pt>
                <c:pt idx="360">
                  <c:v>-76041.923050269223</c:v>
                </c:pt>
                <c:pt idx="361">
                  <c:v>-76211.14993118876</c:v>
                </c:pt>
                <c:pt idx="362">
                  <c:v>-76349.738222967644</c:v>
                </c:pt>
                <c:pt idx="363">
                  <c:v>-76457.44562131977</c:v>
                </c:pt>
                <c:pt idx="364">
                  <c:v>-76534.006021741865</c:v>
                </c:pt>
                <c:pt idx="365">
                  <c:v>-76579.128567153544</c:v>
                </c:pt>
                <c:pt idx="366">
                  <c:v>-76592.496579414757</c:v>
                </c:pt>
                <c:pt idx="367">
                  <c:v>-76573.76636442267</c:v>
                </c:pt>
                <c:pt idx="368">
                  <c:v>-76522.565878935609</c:v>
                </c:pt>
                <c:pt idx="369">
                  <c:v>-76438.493245492427</c:v>
                </c:pt>
                <c:pt idx="370">
                  <c:v>-76321.115099749819</c:v>
                </c:pt>
                <c:pt idx="371">
                  <c:v>-76169.964752197004</c:v>
                </c:pt>
                <c:pt idx="372">
                  <c:v>-75984.540143465754</c:v>
                </c:pt>
                <c:pt idx="373">
                  <c:v>-75764.301569259726</c:v>
                </c:pt>
                <c:pt idx="374">
                  <c:v>-75508.669147191336</c:v>
                </c:pt>
                <c:pt idx="375">
                  <c:v>-75217.019993426395</c:v>
                </c:pt>
                <c:pt idx="376">
                  <c:v>-74888.685071863219</c:v>
                </c:pt>
                <c:pt idx="377">
                  <c:v>-74522.945672447546</c:v>
                </c:pt>
                <c:pt idx="378">
                  <c:v>-74119.029467943896</c:v>
                </c:pt>
                <c:pt idx="379">
                  <c:v>-73676.106089793524</c:v>
                </c:pt>
                <c:pt idx="380">
                  <c:v>-73193.282153274442</c:v>
                </c:pt>
                <c:pt idx="381">
                  <c:v>-72669.595649642579</c:v>
                </c:pt>
                <c:pt idx="382">
                  <c:v>-72104.009607780565</c:v>
                </c:pt>
                <c:pt idx="383">
                  <c:v>-71495.404909483143</c:v>
                </c:pt>
                <c:pt idx="384">
                  <c:v>-70842.572120073004</c:v>
                </c:pt>
                <c:pt idx="385">
                  <c:v>-70144.2021685574</c:v>
                </c:pt>
                <c:pt idx="386">
                  <c:v>-69398.875677717006</c:v>
                </c:pt>
                <c:pt idx="387">
                  <c:v>-68605.050702715947</c:v>
                </c:pt>
                <c:pt idx="388">
                  <c:v>-67761.048584922624</c:v>
                </c:pt>
                <c:pt idx="389">
                  <c:v>-66865.037562924495</c:v>
                </c:pt>
                <c:pt idx="390">
                  <c:v>-65915.013701730117</c:v>
                </c:pt>
                <c:pt idx="391">
                  <c:v>-64908.778599434831</c:v>
                </c:pt>
                <c:pt idx="392">
                  <c:v>-63843.913202548545</c:v>
                </c:pt>
                <c:pt idx="393">
                  <c:v>-62717.746899692305</c:v>
                </c:pt>
                <c:pt idx="394">
                  <c:v>-61527.320859860571</c:v>
                </c:pt>
                <c:pt idx="395">
                  <c:v>-60269.344325888487</c:v>
                </c:pt>
                <c:pt idx="396">
                  <c:v>-58940.142255500214</c:v>
                </c:pt>
                <c:pt idx="397">
                  <c:v>-57535.592312370187</c:v>
                </c:pt>
                <c:pt idx="398">
                  <c:v>-56051.048746293221</c:v>
                </c:pt>
                <c:pt idx="399">
                  <c:v>-54481.250182836331</c:v>
                </c:pt>
                <c:pt idx="400">
                  <c:v>-52820.207833081877</c:v>
                </c:pt>
                <c:pt idx="401">
                  <c:v>-51061.070299238585</c:v>
                </c:pt>
                <c:pt idx="402">
                  <c:v>-49195.961371432153</c:v>
                </c:pt>
                <c:pt idx="403">
                  <c:v>-47215.788796299043</c:v>
                </c:pt>
                <c:pt idx="404">
                  <c:v>-45110.026594091054</c:v>
                </c:pt>
                <c:pt idx="405">
                  <c:v>-42866.484233239928</c:v>
                </c:pt>
                <c:pt idx="406">
                  <c:v>-40471.098139538772</c:v>
                </c:pt>
                <c:pt idx="407">
                  <c:v>-37907.821403330774</c:v>
                </c:pt>
                <c:pt idx="408">
                  <c:v>-35158.746670212473</c:v>
                </c:pt>
                <c:pt idx="409">
                  <c:v>-32204.638554732825</c:v>
                </c:pt>
                <c:pt idx="410">
                  <c:v>-29025.924301632891</c:v>
                </c:pt>
                <c:pt idx="411">
                  <c:v>-25603.551531465659</c:v>
                </c:pt>
                <c:pt idx="412">
                  <c:v>-21917.732294363919</c:v>
                </c:pt>
                <c:pt idx="413">
                  <c:v>-17941.579979278245</c:v>
                </c:pt>
                <c:pt idx="414">
                  <c:v>-13629.665781523227</c:v>
                </c:pt>
                <c:pt idx="415">
                  <c:v>-8915.9371342917239</c:v>
                </c:pt>
                <c:pt idx="416">
                  <c:v>-3787.6818649558836</c:v>
                </c:pt>
                <c:pt idx="417">
                  <c:v>1494.3199314917406</c:v>
                </c:pt>
                <c:pt idx="418">
                  <c:v>6517.3386450574753</c:v>
                </c:pt>
                <c:pt idx="419">
                  <c:v>11137.282827691133</c:v>
                </c:pt>
                <c:pt idx="420">
                  <c:v>15437.343842450662</c:v>
                </c:pt>
                <c:pt idx="421">
                  <c:v>19498.771696273303</c:v>
                </c:pt>
                <c:pt idx="422">
                  <c:v>23368.089857921586</c:v>
                </c:pt>
                <c:pt idx="423">
                  <c:v>27070.929473632299</c:v>
                </c:pt>
                <c:pt idx="424">
                  <c:v>30622.938837451969</c:v>
                </c:pt>
                <c:pt idx="425">
                  <c:v>34035.34156271012</c:v>
                </c:pt>
                <c:pt idx="426">
                  <c:v>37317.395086761499</c:v>
                </c:pt>
                <c:pt idx="427">
                  <c:v>40477.368539995368</c:v>
                </c:pt>
                <c:pt idx="428">
                  <c:v>43522.887570403342</c:v>
                </c:pt>
                <c:pt idx="429">
                  <c:v>46461.037663513729</c:v>
                </c:pt>
                <c:pt idx="430">
                  <c:v>49298.390514623119</c:v>
                </c:pt>
                <c:pt idx="431">
                  <c:v>52041.015515074789</c:v>
                </c:pt>
                <c:pt idx="432">
                  <c:v>54694.495761806516</c:v>
                </c:pt>
                <c:pt idx="433">
                  <c:v>57263.951897410101</c:v>
                </c:pt>
                <c:pt idx="434">
                  <c:v>59754.071968032964</c:v>
                </c:pt>
                <c:pt idx="435">
                  <c:v>62169.144537163556</c:v>
                </c:pt>
                <c:pt idx="436">
                  <c:v>64513.092707248266</c:v>
                </c:pt>
                <c:pt idx="437">
                  <c:v>66789.507403630094</c:v>
                </c:pt>
                <c:pt idx="438">
                  <c:v>69001.678904932458</c:v>
                </c:pt>
                <c:pt idx="439">
                  <c:v>71152.626074414511</c:v>
                </c:pt>
                <c:pt idx="440">
                  <c:v>73245.123066819142</c:v>
                </c:pt>
                <c:pt idx="441">
                  <c:v>75281.723488678283</c:v>
                </c:pt>
                <c:pt idx="442">
                  <c:v>77264.782110995002</c:v>
                </c:pt>
                <c:pt idx="443">
                  <c:v>79196.474298897403</c:v>
                </c:pt>
                <c:pt idx="444">
                  <c:v>81078.813352983212</c:v>
                </c:pt>
                <c:pt idx="445">
                  <c:v>82913.665965216118</c:v>
                </c:pt>
                <c:pt idx="446">
                  <c:v>84702.765987406921</c:v>
                </c:pt>
                <c:pt idx="447">
                  <c:v>86447.726698346145</c:v>
                </c:pt>
                <c:pt idx="448">
                  <c:v>88150.051740226831</c:v>
                </c:pt>
                <c:pt idx="449">
                  <c:v>89811.144878363193</c:v>
                </c:pt>
                <c:pt idx="450">
                  <c:v>91432.31872170516</c:v>
                </c:pt>
                <c:pt idx="451">
                  <c:v>93014.802526013809</c:v>
                </c:pt>
                <c:pt idx="452">
                  <c:v>94559.749187173162</c:v>
                </c:pt>
                <c:pt idx="453">
                  <c:v>96068.241519117219</c:v>
                </c:pt>
                <c:pt idx="454">
                  <c:v>97541.297899260666</c:v>
                </c:pt>
                <c:pt idx="455">
                  <c:v>98979.877354076176</c:v>
                </c:pt>
                <c:pt idx="456">
                  <c:v>100384.88414845669</c:v>
                </c:pt>
                <c:pt idx="457">
                  <c:v>101757.17193462205</c:v>
                </c:pt>
                <c:pt idx="458">
                  <c:v>103097.54750945047</c:v>
                </c:pt>
                <c:pt idx="459">
                  <c:v>104406.77422312213</c:v>
                </c:pt>
                <c:pt idx="460">
                  <c:v>105685.57507674331</c:v>
                </c:pt>
                <c:pt idx="461">
                  <c:v>106934.6355420765</c:v>
                </c:pt>
                <c:pt idx="462">
                  <c:v>108154.60613254771</c:v>
                </c:pt>
                <c:pt idx="463">
                  <c:v>109346.10475125577</c:v>
                </c:pt>
                <c:pt idx="464">
                  <c:v>110509.71883870653</c:v>
                </c:pt>
                <c:pt idx="465">
                  <c:v>111646.00734037205</c:v>
                </c:pt>
                <c:pt idx="466">
                  <c:v>112755.50251188653</c:v>
                </c:pt>
                <c:pt idx="467">
                  <c:v>113838.71157768583</c:v>
                </c:pt>
                <c:pt idx="468">
                  <c:v>114896.11825714337</c:v>
                </c:pt>
                <c:pt idx="469">
                  <c:v>115928.18417071506</c:v>
                </c:pt>
                <c:pt idx="470">
                  <c:v>116935.35013725265</c:v>
                </c:pt>
                <c:pt idx="471">
                  <c:v>117918.03737245518</c:v>
                </c:pt>
                <c:pt idx="472">
                  <c:v>118876.64859737789</c:v>
                </c:pt>
                <c:pt idx="473">
                  <c:v>119811.56906499245</c:v>
                </c:pt>
                <c:pt idx="474">
                  <c:v>120723.16751197274</c:v>
                </c:pt>
                <c:pt idx="475">
                  <c:v>121611.79704215565</c:v>
                </c:pt>
                <c:pt idx="476">
                  <c:v>122477.79594748274</c:v>
                </c:pt>
                <c:pt idx="477">
                  <c:v>123321.48847165721</c:v>
                </c:pt>
                <c:pt idx="478">
                  <c:v>124143.18552124253</c:v>
                </c:pt>
                <c:pt idx="479">
                  <c:v>124943.18532847552</c:v>
                </c:pt>
                <c:pt idx="480">
                  <c:v>125721.77406966282</c:v>
                </c:pt>
                <c:pt idx="481">
                  <c:v>126479.22644266822</c:v>
                </c:pt>
                <c:pt idx="482">
                  <c:v>127215.80620667488</c:v>
                </c:pt>
                <c:pt idx="483">
                  <c:v>127931.76668711663</c:v>
                </c:pt>
                <c:pt idx="484">
                  <c:v>128627.35124841225</c:v>
                </c:pt>
                <c:pt idx="485">
                  <c:v>129302.79373690294</c:v>
                </c:pt>
                <c:pt idx="486">
                  <c:v>129958.31889618243</c:v>
                </c:pt>
                <c:pt idx="487">
                  <c:v>130594.14275681951</c:v>
                </c:pt>
                <c:pt idx="488">
                  <c:v>131210.47300230144</c:v>
                </c:pt>
                <c:pt idx="489">
                  <c:v>131807.50931287228</c:v>
                </c:pt>
                <c:pt idx="490">
                  <c:v>132385.4436887991</c:v>
                </c:pt>
                <c:pt idx="491">
                  <c:v>132944.46075447378</c:v>
                </c:pt>
                <c:pt idx="492">
                  <c:v>133484.73804464098</c:v>
                </c:pt>
                <c:pt idx="493">
                  <c:v>134006.4462739403</c:v>
                </c:pt>
                <c:pt idx="494">
                  <c:v>134509.74959085375</c:v>
                </c:pt>
                <c:pt idx="495">
                  <c:v>134994.80581706442</c:v>
                </c:pt>
                <c:pt idx="496">
                  <c:v>135461.7666731526</c:v>
                </c:pt>
                <c:pt idx="497">
                  <c:v>135910.77799148334</c:v>
                </c:pt>
                <c:pt idx="498">
                  <c:v>136341.97991707473</c:v>
                </c:pt>
                <c:pt idx="499">
                  <c:v>136755.5070971743</c:v>
                </c:pt>
                <c:pt idx="500">
                  <c:v>137151.4888602173</c:v>
                </c:pt>
                <c:pt idx="501">
                  <c:v>137530.0493847891</c:v>
                </c:pt>
                <c:pt idx="502">
                  <c:v>137891.30785916783</c:v>
                </c:pt>
                <c:pt idx="503">
                  <c:v>138235.37863198065</c:v>
                </c:pt>
                <c:pt idx="504">
                  <c:v>138562.37135446785</c:v>
                </c:pt>
                <c:pt idx="505">
                  <c:v>138872.39111481258</c:v>
                </c:pt>
                <c:pt idx="506">
                  <c:v>139165.53856496111</c:v>
                </c:pt>
                <c:pt idx="507">
                  <c:v>139441.91004032677</c:v>
                </c:pt>
                <c:pt idx="508">
                  <c:v>139701.59767274352</c:v>
                </c:pt>
                <c:pt idx="509">
                  <c:v>139944.68949700744</c:v>
                </c:pt>
                <c:pt idx="510">
                  <c:v>140171.26955132096</c:v>
                </c:pt>
                <c:pt idx="511">
                  <c:v>140381.41797193131</c:v>
                </c:pt>
                <c:pt idx="512">
                  <c:v>140575.21108223373</c:v>
                </c:pt>
                <c:pt idx="513">
                  <c:v>140752.72147659087</c:v>
                </c:pt>
                <c:pt idx="514">
                  <c:v>140914.01809910033</c:v>
                </c:pt>
                <c:pt idx="515">
                  <c:v>141059.16631752651</c:v>
                </c:pt>
                <c:pt idx="516">
                  <c:v>141188.22799259602</c:v>
                </c:pt>
                <c:pt idx="517">
                  <c:v>141301.26154284112</c:v>
                </c:pt>
                <c:pt idx="518">
                  <c:v>141398.32200516225</c:v>
                </c:pt>
                <c:pt idx="519">
                  <c:v>141479.46109126604</c:v>
                </c:pt>
                <c:pt idx="520">
                  <c:v>141544.72724012457</c:v>
                </c:pt>
                <c:pt idx="521">
                  <c:v>141594.1656665882</c:v>
                </c:pt>
                <c:pt idx="522">
                  <c:v>141627.81840627422</c:v>
                </c:pt>
                <c:pt idx="523">
                  <c:v>141645.72435684252</c:v>
                </c:pt>
                <c:pt idx="524">
                  <c:v>141647.91931575953</c:v>
                </c:pt>
                <c:pt idx="525">
                  <c:v>141634.43601464227</c:v>
                </c:pt>
                <c:pt idx="526">
                  <c:v>141605.30415026445</c:v>
                </c:pt>
                <c:pt idx="527">
                  <c:v>141560.55041229876</c:v>
                </c:pt>
                <c:pt idx="528">
                  <c:v>141500.19850786036</c:v>
                </c:pt>
                <c:pt idx="529">
                  <c:v>141424.26918290812</c:v>
                </c:pt>
                <c:pt idx="530">
                  <c:v>141332.78024055294</c:v>
                </c:pt>
                <c:pt idx="531">
                  <c:v>141225.74655631412</c:v>
                </c:pt>
                <c:pt idx="532">
                  <c:v>141103.18009035737</c:v>
                </c:pt>
                <c:pt idx="533">
                  <c:v>140965.08989674051</c:v>
                </c:pt>
                <c:pt idx="534">
                  <c:v>140811.48212968573</c:v>
                </c:pt>
                <c:pt idx="535">
                  <c:v>140642.36004688981</c:v>
                </c:pt>
                <c:pt idx="536">
                  <c:v>140457.72400987652</c:v>
                </c:pt>
                <c:pt idx="537">
                  <c:v>140257.57148138824</c:v>
                </c:pt>
                <c:pt idx="538">
                  <c:v>140041.89701980661</c:v>
                </c:pt>
                <c:pt idx="539">
                  <c:v>139810.69227058467</c:v>
                </c:pt>
                <c:pt idx="540">
                  <c:v>139563.94595466534</c:v>
                </c:pt>
                <c:pt idx="541">
                  <c:v>139301.64385385395</c:v>
                </c:pt>
                <c:pt idx="542">
                  <c:v>139023.7687931048</c:v>
                </c:pt>
                <c:pt idx="543">
                  <c:v>138730.30061967327</c:v>
                </c:pt>
                <c:pt idx="544">
                  <c:v>138421.21617907798</c:v>
                </c:pt>
                <c:pt idx="545">
                  <c:v>138096.48928780807</c:v>
                </c:pt>
                <c:pt idx="546">
                  <c:v>137756.09070270255</c:v>
                </c:pt>
                <c:pt idx="547">
                  <c:v>137399.98808691971</c:v>
                </c:pt>
                <c:pt idx="548">
                  <c:v>137028.1459724048</c:v>
                </c:pt>
                <c:pt idx="549">
                  <c:v>136640.5257187548</c:v>
                </c:pt>
                <c:pt idx="550">
                  <c:v>136237.08546836811</c:v>
                </c:pt>
                <c:pt idx="551">
                  <c:v>135817.78009775671</c:v>
                </c:pt>
                <c:pt idx="552">
                  <c:v>135382.56116488666</c:v>
                </c:pt>
                <c:pt idx="553">
                  <c:v>134931.37685240016</c:v>
                </c:pt>
                <c:pt idx="554">
                  <c:v>134464.17190656022</c:v>
                </c:pt>
                <c:pt idx="555">
                  <c:v>133980.88757174456</c:v>
                </c:pt>
                <c:pt idx="556">
                  <c:v>133481.46152030095</c:v>
                </c:pt>
                <c:pt idx="557">
                  <c:v>132965.82777756095</c:v>
                </c:pt>
                <c:pt idx="558">
                  <c:v>132433.91664179132</c:v>
                </c:pt>
                <c:pt idx="559">
                  <c:v>131885.65459884546</c:v>
                </c:pt>
                <c:pt idx="560">
                  <c:v>131320.96423125721</c:v>
                </c:pt>
                <c:pt idx="561">
                  <c:v>130739.76412149919</c:v>
                </c:pt>
                <c:pt idx="562">
                  <c:v>130141.96874910491</c:v>
                </c:pt>
                <c:pt idx="563">
                  <c:v>129527.48838133078</c:v>
                </c:pt>
                <c:pt idx="564">
                  <c:v>128896.22895700714</c:v>
                </c:pt>
                <c:pt idx="565">
                  <c:v>128248.09196320016</c:v>
                </c:pt>
                <c:pt idx="566">
                  <c:v>127582.97430427566</c:v>
                </c:pt>
                <c:pt idx="567">
                  <c:v>126900.76816292311</c:v>
                </c:pt>
                <c:pt idx="568">
                  <c:v>126201.36085266217</c:v>
                </c:pt>
                <c:pt idx="569">
                  <c:v>125484.63466131561</c:v>
                </c:pt>
                <c:pt idx="570">
                  <c:v>124750.46668488948</c:v>
                </c:pt>
                <c:pt idx="571">
                  <c:v>123998.7286512563</c:v>
                </c:pt>
                <c:pt idx="572">
                  <c:v>123229.28673298575</c:v>
                </c:pt>
                <c:pt idx="573">
                  <c:v>122442.00134861338</c:v>
                </c:pt>
                <c:pt idx="574">
                  <c:v>121636.72695157734</c:v>
                </c:pt>
                <c:pt idx="575">
                  <c:v>120813.31180598776</c:v>
                </c:pt>
                <c:pt idx="576">
                  <c:v>119971.59774832129</c:v>
                </c:pt>
                <c:pt idx="577">
                  <c:v>119111.41993405482</c:v>
                </c:pt>
                <c:pt idx="578">
                  <c:v>118232.60656816533</c:v>
                </c:pt>
                <c:pt idx="579">
                  <c:v>117334.97861832795</c:v>
                </c:pt>
                <c:pt idx="580">
                  <c:v>116418.3495095395</c:v>
                </c:pt>
                <c:pt idx="581">
                  <c:v>115482.52479877905</c:v>
                </c:pt>
                <c:pt idx="582">
                  <c:v>114527.30182819001</c:v>
                </c:pt>
                <c:pt idx="583">
                  <c:v>113552.4693551276</c:v>
                </c:pt>
                <c:pt idx="584">
                  <c:v>112557.80715725971</c:v>
                </c:pt>
                <c:pt idx="585">
                  <c:v>111543.08561073763</c:v>
                </c:pt>
                <c:pt idx="586">
                  <c:v>110508.06523926208</c:v>
                </c:pt>
                <c:pt idx="587">
                  <c:v>109452.49623165888</c:v>
                </c:pt>
                <c:pt idx="588">
                  <c:v>108376.11792534337</c:v>
                </c:pt>
                <c:pt idx="589">
                  <c:v>107278.65825279251</c:v>
                </c:pt>
                <c:pt idx="590">
                  <c:v>106159.8331478527</c:v>
                </c:pt>
                <c:pt idx="591">
                  <c:v>105019.34590838868</c:v>
                </c:pt>
                <c:pt idx="592">
                  <c:v>103856.88651141842</c:v>
                </c:pt>
                <c:pt idx="593">
                  <c:v>102672.1308764775</c:v>
                </c:pt>
                <c:pt idx="594">
                  <c:v>101464.74007250823</c:v>
                </c:pt>
                <c:pt idx="595">
                  <c:v>100234.35946306803</c:v>
                </c:pt>
                <c:pt idx="596">
                  <c:v>98980.617784092727</c:v>
                </c:pt>
                <c:pt idx="597">
                  <c:v>97703.126147825576</c:v>
                </c:pt>
                <c:pt idx="598">
                  <c:v>96401.47696582503</c:v>
                </c:pt>
                <c:pt idx="599">
                  <c:v>95075.242783184687</c:v>
                </c:pt>
                <c:pt idx="600">
                  <c:v>93723.975015229589</c:v>
                </c:pt>
                <c:pt idx="601">
                  <c:v>92347.20257698308</c:v>
                </c:pt>
                <c:pt idx="602">
                  <c:v>90944.430394621144</c:v>
                </c:pt>
                <c:pt idx="603">
                  <c:v>89515.137786934778</c:v>
                </c:pt>
                <c:pt idx="604">
                  <c:v>88058.776703500698</c:v>
                </c:pt>
                <c:pt idx="605">
                  <c:v>86574.769804809112</c:v>
                </c:pt>
                <c:pt idx="606">
                  <c:v>85062.508368016148</c:v>
                </c:pt>
                <c:pt idx="607">
                  <c:v>83521.350000282735</c:v>
                </c:pt>
                <c:pt idx="608">
                  <c:v>81950.616139851656</c:v>
                </c:pt>
                <c:pt idx="609">
                  <c:v>80349.589323136533</c:v>
                </c:pt>
                <c:pt idx="610">
                  <c:v>78717.510194216171</c:v>
                </c:pt>
                <c:pt idx="611">
                  <c:v>77053.5742313542</c:v>
                </c:pt>
                <c:pt idx="612">
                  <c:v>75356.928163670193</c:v>
                </c:pt>
                <c:pt idx="613">
                  <c:v>73626.666050147061</c:v>
                </c:pt>
                <c:pt idx="614">
                  <c:v>71861.824993189191</c:v>
                </c:pt>
                <c:pt idx="615">
                  <c:v>70061.380460590837</c:v>
                </c:pt>
                <c:pt idx="616">
                  <c:v>68224.241194014045</c:v>
                </c:pt>
                <c:pt idx="617">
                  <c:v>66349.243690404677</c:v>
                </c:pt>
                <c:pt idx="618">
                  <c:v>64435.146257470275</c:v>
                </c:pt>
                <c:pt idx="619">
                  <c:v>62480.622668883036</c:v>
                </c:pt>
                <c:pt idx="620">
                  <c:v>60484.255484591318</c:v>
                </c:pt>
                <c:pt idx="621">
                  <c:v>58444.529164748419</c:v>
                </c:pt>
                <c:pt idx="622">
                  <c:v>56359.823205053755</c:v>
                </c:pt>
                <c:pt idx="623">
                  <c:v>54228.405676664777</c:v>
                </c:pt>
                <c:pt idx="624">
                  <c:v>52048.427796600568</c:v>
                </c:pt>
                <c:pt idx="625">
                  <c:v>49817.920534356439</c:v>
                </c:pt>
                <c:pt idx="626">
                  <c:v>47534.794856529457</c:v>
                </c:pt>
                <c:pt idx="627">
                  <c:v>45196.848150996193</c:v>
                </c:pt>
                <c:pt idx="628">
                  <c:v>42801.780861406878</c:v>
                </c:pt>
                <c:pt idx="629">
                  <c:v>40347.229734799963</c:v>
                </c:pt>
                <c:pt idx="630">
                  <c:v>37830.827878209326</c:v>
                </c:pt>
                <c:pt idx="631">
                  <c:v>35250.307892168028</c:v>
                </c:pt>
                <c:pt idx="632">
                  <c:v>32603.6740248692</c:v>
                </c:pt>
                <c:pt idx="633">
                  <c:v>29889.484472757147</c:v>
                </c:pt>
                <c:pt idx="634">
                  <c:v>27107.30790780763</c:v>
                </c:pt>
                <c:pt idx="635">
                  <c:v>24258.450189826439</c:v>
                </c:pt>
                <c:pt idx="636">
                  <c:v>21347.082638093871</c:v>
                </c:pt>
                <c:pt idx="637">
                  <c:v>18381.91447650929</c:v>
                </c:pt>
                <c:pt idx="638">
                  <c:v>15378.452196960059</c:v>
                </c:pt>
                <c:pt idx="639">
                  <c:v>12361.476233060757</c:v>
                </c:pt>
                <c:pt idx="640">
                  <c:v>9366.3579969142156</c:v>
                </c:pt>
                <c:pt idx="641">
                  <c:v>6436.3789255364236</c:v>
                </c:pt>
                <c:pt idx="642">
                  <c:v>3613.083204724709</c:v>
                </c:pt>
                <c:pt idx="643">
                  <c:v>921.01376691025973</c:v>
                </c:pt>
                <c:pt idx="644">
                  <c:v>-1644.3033885744649</c:v>
                </c:pt>
                <c:pt idx="645">
                  <c:v>-4113.9242889894258</c:v>
                </c:pt>
                <c:pt idx="646">
                  <c:v>-6523.575104633599</c:v>
                </c:pt>
                <c:pt idx="647">
                  <c:v>-8876.6994239004707</c:v>
                </c:pt>
                <c:pt idx="648">
                  <c:v>-11104.739445591822</c:v>
                </c:pt>
                <c:pt idx="649">
                  <c:v>-13046.741029468649</c:v>
                </c:pt>
                <c:pt idx="650">
                  <c:v>-14524.941645932535</c:v>
                </c:pt>
                <c:pt idx="651">
                  <c:v>-15500.489633374042</c:v>
                </c:pt>
                <c:pt idx="652">
                  <c:v>-16080.667806346968</c:v>
                </c:pt>
                <c:pt idx="653">
                  <c:v>-16392.1117094535</c:v>
                </c:pt>
                <c:pt idx="654">
                  <c:v>-16522.871799259585</c:v>
                </c:pt>
                <c:pt idx="655">
                  <c:v>-16527.664660962797</c:v>
                </c:pt>
                <c:pt idx="656">
                  <c:v>-16440.834258182804</c:v>
                </c:pt>
                <c:pt idx="657">
                  <c:v>-16284.826073709344</c:v>
                </c:pt>
                <c:pt idx="658">
                  <c:v>-16074.960805505531</c:v>
                </c:pt>
                <c:pt idx="659">
                  <c:v>-15822.11420872376</c:v>
                </c:pt>
                <c:pt idx="660">
                  <c:v>-15534.270959027859</c:v>
                </c:pt>
                <c:pt idx="661">
                  <c:v>-15217.462499287389</c:v>
                </c:pt>
                <c:pt idx="662">
                  <c:v>-14876.355801502537</c:v>
                </c:pt>
                <c:pt idx="663">
                  <c:v>-14514.636547359172</c:v>
                </c:pt>
                <c:pt idx="664">
                  <c:v>-14135.266675025976</c:v>
                </c:pt>
                <c:pt idx="665">
                  <c:v>-13740.662493055617</c:v>
                </c:pt>
                <c:pt idx="666">
                  <c:v>-13332.821005646412</c:v>
                </c:pt>
                <c:pt idx="667">
                  <c:v>-12913.411529335039</c:v>
                </c:pt>
                <c:pt idx="668">
                  <c:v>-12483.843466747818</c:v>
                </c:pt>
                <c:pt idx="669">
                  <c:v>-12045.317334937215</c:v>
                </c:pt>
                <c:pt idx="670">
                  <c:v>-11598.86379677701</c:v>
                </c:pt>
                <c:pt idx="671">
                  <c:v>-11145.373941914673</c:v>
                </c:pt>
                <c:pt idx="672">
                  <c:v>-10685.623080977588</c:v>
                </c:pt>
                <c:pt idx="673">
                  <c:v>-10220.289659936245</c:v>
                </c:pt>
                <c:pt idx="674">
                  <c:v>-9749.9704540545026</c:v>
                </c:pt>
                <c:pt idx="675">
                  <c:v>-9275.1928905595651</c:v>
                </c:pt>
                <c:pt idx="676">
                  <c:v>-8796.4251304708941</c:v>
                </c:pt>
                <c:pt idx="677">
                  <c:v>-8314.0843835763662</c:v>
                </c:pt>
                <c:pt idx="678">
                  <c:v>-7828.5438170683101</c:v>
                </c:pt>
                <c:pt idx="679">
                  <c:v>-7340.1383349917023</c:v>
                </c:pt>
                <c:pt idx="680">
                  <c:v>-6849.1694436926091</c:v>
                </c:pt>
                <c:pt idx="681">
                  <c:v>-6355.9093718873692</c:v>
                </c:pt>
                <c:pt idx="682">
                  <c:v>-5860.6045786176282</c:v>
                </c:pt>
                <c:pt idx="683">
                  <c:v>-5363.4787552569787</c:v>
                </c:pt>
                <c:pt idx="684">
                  <c:v>-4864.7354067783881</c:v>
                </c:pt>
                <c:pt idx="685">
                  <c:v>-4364.5600811499144</c:v>
                </c:pt>
                <c:pt idx="686">
                  <c:v>-3863.1223028835038</c:v>
                </c:pt>
                <c:pt idx="687">
                  <c:v>-3360.5772565944562</c:v>
                </c:pt>
                <c:pt idx="688">
                  <c:v>-2857.0672583244382</c:v>
                </c:pt>
                <c:pt idx="689">
                  <c:v>-2352.7230458782069</c:v>
                </c:pt>
                <c:pt idx="690">
                  <c:v>-1847.6649141747496</c:v>
                </c:pt>
                <c:pt idx="691">
                  <c:v>-1342.0037173512189</c:v>
                </c:pt>
                <c:pt idx="692">
                  <c:v>-835.84175587815457</c:v>
                </c:pt>
                <c:pt idx="693">
                  <c:v>-329.27356408864676</c:v>
                </c:pt>
                <c:pt idx="694">
                  <c:v>177.6133888312111</c:v>
                </c:pt>
                <c:pt idx="695">
                  <c:v>684.73807329484259</c:v>
                </c:pt>
                <c:pt idx="696">
                  <c:v>1192.0253397392701</c:v>
                </c:pt>
                <c:pt idx="697">
                  <c:v>1699.4054169070248</c:v>
                </c:pt>
                <c:pt idx="698">
                  <c:v>2206.8134610115508</c:v>
                </c:pt>
                <c:pt idx="699">
                  <c:v>2714.1891497716779</c:v>
                </c:pt>
                <c:pt idx="700">
                  <c:v>3221.4763161124256</c:v>
                </c:pt>
                <c:pt idx="701">
                  <c:v>3728.6226170181671</c:v>
                </c:pt>
                <c:pt idx="702">
                  <c:v>4235.579233610636</c:v>
                </c:pt>
                <c:pt idx="703">
                  <c:v>4742.3005990251795</c:v>
                </c:pt>
                <c:pt idx="704">
                  <c:v>5248.7441510879153</c:v>
                </c:pt>
                <c:pt idx="705">
                  <c:v>5754.8701071652986</c:v>
                </c:pt>
                <c:pt idx="706">
                  <c:v>6260.6412588755438</c:v>
                </c:pt>
                <c:pt idx="707">
                  <c:v>6766.0227846260914</c:v>
                </c:pt>
                <c:pt idx="708">
                  <c:v>7270.9820781793997</c:v>
                </c:pt>
                <c:pt idx="709">
                  <c:v>7775.4885916561425</c:v>
                </c:pt>
                <c:pt idx="710">
                  <c:v>8279.5136915650382</c:v>
                </c:pt>
                <c:pt idx="711">
                  <c:v>8783.0305266057203</c:v>
                </c:pt>
                <c:pt idx="712">
                  <c:v>9286.0139061286445</c:v>
                </c:pt>
                <c:pt idx="713">
                  <c:v>9788.4401882566181</c:v>
                </c:pt>
                <c:pt idx="714">
                  <c:v>10290.287176778531</c:v>
                </c:pt>
                <c:pt idx="715">
                  <c:v>10791.534026019146</c:v>
                </c:pt>
                <c:pt idx="716">
                  <c:v>11292.16115297119</c:v>
                </c:pt>
                <c:pt idx="717">
                  <c:v>11792.1501560487</c:v>
                </c:pt>
                <c:pt idx="718">
                  <c:v>12291.483739885052</c:v>
                </c:pt>
                <c:pt idx="719">
                  <c:v>12790.145645656277</c:v>
                </c:pt>
                <c:pt idx="720">
                  <c:v>13288.120586461055</c:v>
                </c:pt>
                <c:pt idx="721">
                  <c:v>13785.394187334032</c:v>
                </c:pt>
                <c:pt idx="722">
                  <c:v>14281.952929509445</c:v>
                </c:pt>
                <c:pt idx="723">
                  <c:v>14777.784098588045</c:v>
                </c:pt>
                <c:pt idx="724">
                  <c:v>15272.875736292523</c:v>
                </c:pt>
                <c:pt idx="725">
                  <c:v>15767.21659552555</c:v>
                </c:pt>
                <c:pt idx="726">
                  <c:v>16260.796098470411</c:v>
                </c:pt>
                <c:pt idx="727">
                  <c:v>16753.604297497463</c:v>
                </c:pt>
                <c:pt idx="728">
                  <c:v>17245.631838660604</c:v>
                </c:pt>
                <c:pt idx="729">
                  <c:v>17736.86992758682</c:v>
                </c:pt>
                <c:pt idx="730">
                  <c:v>18227.310297578824</c:v>
                </c:pt>
                <c:pt idx="731">
                  <c:v>18716.94517976619</c:v>
                </c:pt>
                <c:pt idx="732">
                  <c:v>19205.76727515434</c:v>
                </c:pt>
                <c:pt idx="733">
                  <c:v>19693.769728433199</c:v>
                </c:pt>
                <c:pt idx="734">
                  <c:v>20180.946103418839</c:v>
                </c:pt>
                <c:pt idx="735">
                  <c:v>20667.290360011742</c:v>
                </c:pt>
                <c:pt idx="736">
                  <c:v>21152.796832564691</c:v>
                </c:pt>
                <c:pt idx="737">
                  <c:v>21637.46020956189</c:v>
                </c:pt>
                <c:pt idx="738">
                  <c:v>22121.275514518678</c:v>
                </c:pt>
                <c:pt idx="739">
                  <c:v>22604.238088018279</c:v>
                </c:pt>
                <c:pt idx="740">
                  <c:v>23086.343570808549</c:v>
                </c:pt>
                <c:pt idx="741">
                  <c:v>23567.587887887526</c:v>
                </c:pt>
                <c:pt idx="742">
                  <c:v>24047.967233512089</c:v>
                </c:pt>
                <c:pt idx="743">
                  <c:v>24527.478057068845</c:v>
                </c:pt>
                <c:pt idx="744">
                  <c:v>25006.117049751054</c:v>
                </c:pt>
                <c:pt idx="745">
                  <c:v>25483.881131989365</c:v>
                </c:pt>
                <c:pt idx="746">
                  <c:v>25960.767441588156</c:v>
                </c:pt>
                <c:pt idx="747">
                  <c:v>26436.773322522538</c:v>
                </c:pt>
                <c:pt idx="748">
                  <c:v>26911.896314354533</c:v>
                </c:pt>
                <c:pt idx="749">
                  <c:v>27386.134142229679</c:v>
                </c:pt>
                <c:pt idx="750">
                  <c:v>27859.484707418196</c:v>
                </c:pt>
                <c:pt idx="751">
                  <c:v>28331.946078367266</c:v>
                </c:pt>
                <c:pt idx="752">
                  <c:v>28803.516482233321</c:v>
                </c:pt>
                <c:pt idx="753">
                  <c:v>29274.194296865368</c:v>
                </c:pt>
                <c:pt idx="754">
                  <c:v>29743.978043212337</c:v>
                </c:pt>
                <c:pt idx="755">
                  <c:v>30212.866378129274</c:v>
                </c:pt>
                <c:pt idx="756">
                  <c:v>30680.858087558885</c:v>
                </c:pt>
                <c:pt idx="757">
                  <c:v>31147.95208006644</c:v>
                </c:pt>
                <c:pt idx="758">
                  <c:v>31614.147380707618</c:v>
                </c:pt>
                <c:pt idx="759">
                  <c:v>32079.443125210033</c:v>
                </c:pt>
                <c:pt idx="760">
                  <c:v>32543.838554450595</c:v>
                </c:pt>
                <c:pt idx="761">
                  <c:v>33007.333009211863</c:v>
                </c:pt>
                <c:pt idx="762">
                  <c:v>33469.925925201722</c:v>
                </c:pt>
                <c:pt idx="763">
                  <c:v>33931.61682832169</c:v>
                </c:pt>
                <c:pt idx="764">
                  <c:v>34392.405330169982</c:v>
                </c:pt>
                <c:pt idx="765">
                  <c:v>34852.291123766438</c:v>
                </c:pt>
                <c:pt idx="766">
                  <c:v>35311.273979487218</c:v>
                </c:pt>
                <c:pt idx="767">
                  <c:v>35769.353741197818</c:v>
                </c:pt>
                <c:pt idx="768">
                  <c:v>36226.530322573664</c:v>
                </c:pt>
                <c:pt idx="769">
                  <c:v>36682.803703598343</c:v>
                </c:pt>
                <c:pt idx="770">
                  <c:v>37138.173927229895</c:v>
                </c:pt>
                <c:pt idx="771">
                  <c:v>37592.641096226384</c:v>
                </c:pt>
                <c:pt idx="772">
                  <c:v>38046.20537012229</c:v>
                </c:pt>
                <c:pt idx="773">
                  <c:v>38498.866962347871</c:v>
                </c:pt>
                <c:pt idx="774">
                  <c:v>38950.62613748412</c:v>
                </c:pt>
                <c:pt idx="775">
                  <c:v>39401.48320864627</c:v>
                </c:pt>
                <c:pt idx="776">
                  <c:v>39851.438534989313</c:v>
                </c:pt>
                <c:pt idx="777">
                  <c:v>40300.492519329237</c:v>
                </c:pt>
                <c:pt idx="778">
                  <c:v>40748.645605874241</c:v>
                </c:pt>
                <c:pt idx="779">
                  <c:v>41195.898278060296</c:v>
                </c:pt>
                <c:pt idx="780">
                  <c:v>41642.25105648586</c:v>
                </c:pt>
                <c:pt idx="781">
                  <c:v>42087.704496940853</c:v>
                </c:pt>
                <c:pt idx="782">
                  <c:v>42532.25918852516</c:v>
                </c:pt>
                <c:pt idx="783">
                  <c:v>42975.915751852357</c:v>
                </c:pt>
                <c:pt idx="784">
                  <c:v>43418.674837334373</c:v>
                </c:pt>
                <c:pt idx="785">
                  <c:v>43860.537123543269</c:v>
                </c:pt>
                <c:pt idx="786">
                  <c:v>44301.50331564634</c:v>
                </c:pt>
                <c:pt idx="787">
                  <c:v>44741.574143910999</c:v>
                </c:pt>
                <c:pt idx="788">
                  <c:v>45180.750362276172</c:v>
                </c:pt>
                <c:pt idx="789">
                  <c:v>45619.032746986981</c:v>
                </c:pt>
                <c:pt idx="790">
                  <c:v>46056.422095289738</c:v>
                </c:pt>
                <c:pt idx="791">
                  <c:v>46492.919224184392</c:v>
                </c:pt>
                <c:pt idx="792">
                  <c:v>46928.524969231788</c:v>
                </c:pt>
                <c:pt idx="793">
                  <c:v>47363.240183413109</c:v>
                </c:pt>
                <c:pt idx="794">
                  <c:v>47797.065736039127</c:v>
                </c:pt>
                <c:pt idx="795">
                  <c:v>48230.002511706967</c:v>
                </c:pt>
                <c:pt idx="796">
                  <c:v>48662.05140930217</c:v>
                </c:pt>
                <c:pt idx="797">
                  <c:v>49093.213341043993</c:v>
                </c:pt>
                <c:pt idx="798">
                  <c:v>49523.48923157197</c:v>
                </c:pt>
                <c:pt idx="799">
                  <c:v>49952.880017071926</c:v>
                </c:pt>
                <c:pt idx="800">
                  <c:v>50381.386644439546</c:v>
                </c:pt>
                <c:pt idx="801">
                  <c:v>50809.010070479926</c:v>
                </c:pt>
                <c:pt idx="802">
                  <c:v>51235.751261141399</c:v>
                </c:pt>
                <c:pt idx="803">
                  <c:v>51661.61119078222</c:v>
                </c:pt>
                <c:pt idx="804">
                  <c:v>52086.590841468547</c:v>
                </c:pt>
                <c:pt idx="805">
                  <c:v>52510.691202302369</c:v>
                </c:pt>
                <c:pt idx="806">
                  <c:v>52933.913268778109</c:v>
                </c:pt>
                <c:pt idx="807">
                  <c:v>53356.258042166584</c:v>
                </c:pt>
                <c:pt idx="808">
                  <c:v>53777.726528925174</c:v>
                </c:pt>
                <c:pt idx="809">
                  <c:v>54198.319740132996</c:v>
                </c:pt>
                <c:pt idx="810">
                  <c:v>54618.038690950125</c:v>
                </c:pt>
                <c:pt idx="811">
                  <c:v>55036.884400099625</c:v>
                </c:pt>
                <c:pt idx="812">
                  <c:v>55454.857889371655</c:v>
                </c:pt>
                <c:pt idx="813">
                  <c:v>55871.960183148476</c:v>
                </c:pt>
                <c:pt idx="814">
                  <c:v>56288.192307949619</c:v>
                </c:pt>
                <c:pt idx="815">
                  <c:v>56703.555291996287</c:v>
                </c:pt>
                <c:pt idx="816">
                  <c:v>57118.0501647942</c:v>
                </c:pt>
                <c:pt idx="817">
                  <c:v>57531.677956734093</c:v>
                </c:pt>
                <c:pt idx="818">
                  <c:v>57944.439698709117</c:v>
                </c:pt>
                <c:pt idx="819">
                  <c:v>58356.336421748449</c:v>
                </c:pt>
                <c:pt idx="820">
                  <c:v>58767.369156666435</c:v>
                </c:pt>
                <c:pt idx="821">
                  <c:v>59177.538933726617</c:v>
                </c:pt>
                <c:pt idx="822">
                  <c:v>59586.846782319968</c:v>
                </c:pt>
                <c:pt idx="823">
                  <c:v>59995.293730656856</c:v>
                </c:pt>
                <c:pt idx="824">
                  <c:v>60402.880805472058</c:v>
                </c:pt>
                <c:pt idx="825">
                  <c:v>60809.609031742351</c:v>
                </c:pt>
                <c:pt idx="826">
                  <c:v>61215.479432416163</c:v>
                </c:pt>
                <c:pt idx="827">
                  <c:v>61620.493028154764</c:v>
                </c:pt>
                <c:pt idx="828">
                  <c:v>62024.650837084482</c:v>
                </c:pt>
                <c:pt idx="829">
                  <c:v>62427.953874559622</c:v>
                </c:pt>
                <c:pt idx="830">
                  <c:v>62830.403152935527</c:v>
                </c:pt>
                <c:pt idx="831">
                  <c:v>63231.999681351415</c:v>
                </c:pt>
                <c:pt idx="832">
                  <c:v>63632.744465522621</c:v>
                </c:pt>
                <c:pt idx="833">
                  <c:v>64032.638507541786</c:v>
                </c:pt>
                <c:pt idx="834">
                  <c:v>64431.682805688746</c:v>
                </c:pt>
                <c:pt idx="835">
                  <c:v>64829.878354248656</c:v>
                </c:pt>
                <c:pt idx="836">
                  <c:v>65227.226143338106</c:v>
                </c:pt>
                <c:pt idx="837">
                  <c:v>65623.727158738839</c:v>
                </c:pt>
                <c:pt idx="838">
                  <c:v>66019.382381738775</c:v>
                </c:pt>
                <c:pt idx="839">
                  <c:v>66414.192788980159</c:v>
                </c:pt>
                <c:pt idx="840">
                  <c:v>66808.159352314397</c:v>
                </c:pt>
                <c:pt idx="841">
                  <c:v>67201.283038663329</c:v>
                </c:pt>
                <c:pt idx="842">
                  <c:v>67593.564809886797</c:v>
                </c:pt>
                <c:pt idx="843">
                  <c:v>67985.005622656201</c:v>
                </c:pt>
                <c:pt idx="844">
                  <c:v>68375.606428333747</c:v>
                </c:pt>
                <c:pt idx="845">
                  <c:v>68765.368172857154</c:v>
                </c:pt>
                <c:pt idx="846">
                  <c:v>69154.291796629812</c:v>
                </c:pt>
                <c:pt idx="847">
                  <c:v>69542.378234415839</c:v>
                </c:pt>
                <c:pt idx="848">
                  <c:v>69929.628415240135</c:v>
                </c:pt>
                <c:pt idx="849">
                  <c:v>70316.043262293082</c:v>
                </c:pt>
                <c:pt idx="850">
                  <c:v>70701.62369283977</c:v>
                </c:pt>
                <c:pt idx="851">
                  <c:v>71086.370618133442</c:v>
                </c:pt>
                <c:pt idx="852">
                  <c:v>71470.284943333245</c:v>
                </c:pt>
                <c:pt idx="853">
                  <c:v>71853.36756742587</c:v>
                </c:pt>
                <c:pt idx="854">
                  <c:v>72235.619383151003</c:v>
                </c:pt>
                <c:pt idx="855">
                  <c:v>72617.041276930482</c:v>
                </c:pt>
                <c:pt idx="856">
                  <c:v>72997.63412880103</c:v>
                </c:pt>
                <c:pt idx="857">
                  <c:v>73377.398812350322</c:v>
                </c:pt>
                <c:pt idx="858">
                  <c:v>73756.33619465628</c:v>
                </c:pt>
                <c:pt idx="859">
                  <c:v>74134.447136229559</c:v>
                </c:pt>
                <c:pt idx="860">
                  <c:v>74511.732490959024</c:v>
                </c:pt>
                <c:pt idx="861">
                  <c:v>74888.193106060047</c:v>
                </c:pt>
                <c:pt idx="862">
                  <c:v>75263.829822025626</c:v>
                </c:pt>
                <c:pt idx="863">
                  <c:v>75638.643472580196</c:v>
                </c:pt>
                <c:pt idx="864">
                  <c:v>76012.634884635889</c:v>
                </c:pt>
                <c:pt idx="865">
                  <c:v>76385.804878251336</c:v>
                </c:pt>
                <c:pt idx="866">
                  <c:v>76758.154266592726</c:v>
                </c:pt>
                <c:pt idx="867">
                  <c:v>77129.683855897267</c:v>
                </c:pt>
                <c:pt idx="868">
                  <c:v>77500.394445438607</c:v>
                </c:pt>
                <c:pt idx="869">
                  <c:v>77870.286827494521</c:v>
                </c:pt>
                <c:pt idx="870">
                  <c:v>78239.36178731652</c:v>
                </c:pt>
                <c:pt idx="871">
                  <c:v>78607.620103101319</c:v>
                </c:pt>
                <c:pt idx="872">
                  <c:v>78975.062545964203</c:v>
                </c:pt>
                <c:pt idx="873">
                  <c:v>79341.689879914178</c:v>
                </c:pt>
                <c:pt idx="874">
                  <c:v>79707.502861830682</c:v>
                </c:pt>
                <c:pt idx="875">
                  <c:v>80072.502241442096</c:v>
                </c:pt>
                <c:pt idx="876">
                  <c:v>80436.688761305631</c:v>
                </c:pt>
                <c:pt idx="877">
                  <c:v>80800.063156788834</c:v>
                </c:pt>
                <c:pt idx="878">
                  <c:v>81162.626156052429</c:v>
                </c:pt>
                <c:pt idx="879">
                  <c:v>81524.378480034575</c:v>
                </c:pt>
                <c:pt idx="880">
                  <c:v>81885.320842436384</c:v>
                </c:pt>
                <c:pt idx="881">
                  <c:v>82245.453949708797</c:v>
                </c:pt>
                <c:pt idx="882">
                  <c:v>82604.778501040491</c:v>
                </c:pt>
                <c:pt idx="883">
                  <c:v>82963.295188347096</c:v>
                </c:pt>
                <c:pt idx="884">
                  <c:v>83321.004696261356</c:v>
                </c:pt>
                <c:pt idx="885">
                  <c:v>83677.907702124532</c:v>
                </c:pt>
                <c:pt idx="886">
                  <c:v>84034.004875978586</c:v>
                </c:pt>
                <c:pt idx="887">
                  <c:v>84389.296880559545</c:v>
                </c:pt>
                <c:pt idx="888">
                  <c:v>84743.784371291593</c:v>
                </c:pt>
                <c:pt idx="889">
                  <c:v>85097.467996282139</c:v>
                </c:pt>
                <c:pt idx="890">
                  <c:v>85450.348396317757</c:v>
                </c:pt>
                <c:pt idx="891">
                  <c:v>85802.426204860822</c:v>
                </c:pt>
                <c:pt idx="892">
                  <c:v>86153.702048046936</c:v>
                </c:pt>
                <c:pt idx="893">
                  <c:v>86504.176544683171</c:v>
                </c:pt>
                <c:pt idx="894">
                  <c:v>86853.850306246881</c:v>
                </c:pt>
                <c:pt idx="895">
                  <c:v>87202.723936885246</c:v>
                </c:pt>
                <c:pt idx="896">
                  <c:v>87550.798033415427</c:v>
                </c:pt>
                <c:pt idx="897">
                  <c:v>87898.073185325295</c:v>
                </c:pt>
                <c:pt idx="898">
                  <c:v>88244.549974774767</c:v>
                </c:pt>
                <c:pt idx="899">
                  <c:v>88590.228976597646</c:v>
                </c:pt>
                <c:pt idx="900">
                  <c:v>88935.110758303999</c:v>
                </c:pt>
                <c:pt idx="901">
                  <c:v>89279.195880082974</c:v>
                </c:pt>
                <c:pt idx="902">
                  <c:v>89622.484894806184</c:v>
                </c:pt>
                <c:pt idx="903">
                  <c:v>89964.978348031349</c:v>
                </c:pt>
                <c:pt idx="904">
                  <c:v>90306.676778006527</c:v>
                </c:pt>
                <c:pt idx="905">
                  <c:v>90647.580715674616</c:v>
                </c:pt>
                <c:pt idx="906">
                  <c:v>90987.690684678295</c:v>
                </c:pt>
                <c:pt idx="907">
                  <c:v>91327.00720136521</c:v>
                </c:pt>
                <c:pt idx="908">
                  <c:v>91665.530774793646</c:v>
                </c:pt>
                <c:pt idx="909">
                  <c:v>92003.261906738306</c:v>
                </c:pt>
                <c:pt idx="910">
                  <c:v>92340.201091696552</c:v>
                </c:pt>
                <c:pt idx="911">
                  <c:v>92676.348816894766</c:v>
                </c:pt>
                <c:pt idx="912">
                  <c:v>93011.705562295072</c:v>
                </c:pt>
                <c:pt idx="913">
                  <c:v>93346.271800602262</c:v>
                </c:pt>
                <c:pt idx="914">
                  <c:v>93680.047997270871</c:v>
                </c:pt>
                <c:pt idx="915">
                  <c:v>94013.034610512506</c:v>
                </c:pt>
                <c:pt idx="916">
                  <c:v>94345.232091303376</c:v>
                </c:pt>
                <c:pt idx="917">
                  <c:v>94676.640883391956</c:v>
                </c:pt>
                <c:pt idx="918">
                  <c:v>95007.261423306802</c:v>
                </c:pt>
                <c:pt idx="919">
                  <c:v>95337.094140364483</c:v>
                </c:pt>
                <c:pt idx="920">
                  <c:v>95666.13945667776</c:v>
                </c:pt>
                <c:pt idx="921">
                  <c:v>95994.397787163718</c:v>
                </c:pt>
                <c:pt idx="922">
                  <c:v>96321.869539552092</c:v>
                </c:pt>
                <c:pt idx="923">
                  <c:v>96648.555114393661</c:v>
                </c:pt>
                <c:pt idx="924">
                  <c:v>96974.454905068706</c:v>
                </c:pt>
                <c:pt idx="925">
                  <c:v>97299.569297795562</c:v>
                </c:pt>
                <c:pt idx="926">
                  <c:v>97623.898671639181</c:v>
                </c:pt>
                <c:pt idx="927">
                  <c:v>97947.443398519827</c:v>
                </c:pt>
                <c:pt idx="928">
                  <c:v>98270.20384322168</c:v>
                </c:pt>
                <c:pt idx="929">
                  <c:v>98592.180363401538</c:v>
                </c:pt>
                <c:pt idx="930">
                  <c:v>98913.373309597562</c:v>
                </c:pt>
                <c:pt idx="931">
                  <c:v>99233.78302523795</c:v>
                </c:pt>
                <c:pt idx="932">
                  <c:v>99553.409846649651</c:v>
                </c:pt>
                <c:pt idx="933">
                  <c:v>99872.254103067084</c:v>
                </c:pt>
                <c:pt idx="934">
                  <c:v>100190.3161166408</c:v>
                </c:pt>
                <c:pt idx="935">
                  <c:v>100507.5962024461</c:v>
                </c:pt>
                <c:pt idx="936">
                  <c:v>100824.09466849171</c:v>
                </c:pt>
                <c:pt idx="937">
                  <c:v>101139.81181572832</c:v>
                </c:pt>
                <c:pt idx="938">
                  <c:v>101454.74793805706</c:v>
                </c:pt>
                <c:pt idx="939">
                  <c:v>101768.90332233801</c:v>
                </c:pt>
                <c:pt idx="940">
                  <c:v>102082.27824839862</c:v>
                </c:pt>
                <c:pt idx="941">
                  <c:v>102394.87298904199</c:v>
                </c:pt>
                <c:pt idx="942">
                  <c:v>102706.68781005511</c:v>
                </c:pt>
                <c:pt idx="943">
                  <c:v>103017.72297021703</c:v>
                </c:pt>
                <c:pt idx="944">
                  <c:v>103327.97872130698</c:v>
                </c:pt>
                <c:pt idx="945">
                  <c:v>103637.45530811232</c:v>
                </c:pt>
                <c:pt idx="946">
                  <c:v>103946.15296843641</c:v>
                </c:pt>
                <c:pt idx="947">
                  <c:v>104254.0719331064</c:v>
                </c:pt>
                <c:pt idx="948">
                  <c:v>104561.21242598091</c:v>
                </c:pt>
                <c:pt idx="949">
                  <c:v>104867.57466395749</c:v>
                </c:pt>
                <c:pt idx="950">
                  <c:v>105173.15885698021</c:v>
                </c:pt>
                <c:pt idx="951">
                  <c:v>105477.96520804681</c:v>
                </c:pt>
                <c:pt idx="952">
                  <c:v>105781.99391321593</c:v>
                </c:pt>
                <c:pt idx="953">
                  <c:v>106085.24516161418</c:v>
                </c:pt>
                <c:pt idx="954">
                  <c:v>106387.71913544297</c:v>
                </c:pt>
                <c:pt idx="955">
                  <c:v>106689.41600998533</c:v>
                </c:pt>
                <c:pt idx="956">
                  <c:v>106990.33595361251</c:v>
                </c:pt>
                <c:pt idx="957">
                  <c:v>107290.47912779036</c:v>
                </c:pt>
                <c:pt idx="958">
                  <c:v>107589.84568708576</c:v>
                </c:pt>
                <c:pt idx="959">
                  <c:v>107888.43577917271</c:v>
                </c:pt>
                <c:pt idx="960">
                  <c:v>108186.24954483824</c:v>
                </c:pt>
                <c:pt idx="961">
                  <c:v>108483.28711798838</c:v>
                </c:pt>
                <c:pt idx="962">
                  <c:v>108779.54862565368</c:v>
                </c:pt>
                <c:pt idx="963">
                  <c:v>109075.03418799477</c:v>
                </c:pt>
                <c:pt idx="964">
                  <c:v>109369.74391830761</c:v>
                </c:pt>
                <c:pt idx="965">
                  <c:v>109663.67792302869</c:v>
                </c:pt>
                <c:pt idx="966">
                  <c:v>109956.83630173994</c:v>
                </c:pt>
                <c:pt idx="967">
                  <c:v>110249.21914717345</c:v>
                </c:pt>
                <c:pt idx="968">
                  <c:v>110540.82654521611</c:v>
                </c:pt>
                <c:pt idx="969">
                  <c:v>110831.65857491398</c:v>
                </c:pt>
                <c:pt idx="970">
                  <c:v>111121.71530847649</c:v>
                </c:pt>
                <c:pt idx="971">
                  <c:v>111410.99681128042</c:v>
                </c:pt>
                <c:pt idx="972">
                  <c:v>111699.50314187376</c:v>
                </c:pt>
                <c:pt idx="973">
                  <c:v>111987.23435197926</c:v>
                </c:pt>
                <c:pt idx="974">
                  <c:v>112274.19048649784</c:v>
                </c:pt>
                <c:pt idx="975">
                  <c:v>112560.37158351183</c:v>
                </c:pt>
                <c:pt idx="976">
                  <c:v>112845.77767428795</c:v>
                </c:pt>
                <c:pt idx="977">
                  <c:v>113130.40878328007</c:v>
                </c:pt>
                <c:pt idx="978">
                  <c:v>113414.26492813184</c:v>
                </c:pt>
                <c:pt idx="979">
                  <c:v>113697.34611967899</c:v>
                </c:pt>
                <c:pt idx="980">
                  <c:v>113979.65236195151</c:v>
                </c:pt>
                <c:pt idx="981">
                  <c:v>114261.1836521756</c:v>
                </c:pt>
                <c:pt idx="982">
                  <c:v>114541.93998077537</c:v>
                </c:pt>
                <c:pt idx="983">
                  <c:v>114821.92133137429</c:v>
                </c:pt>
                <c:pt idx="984">
                  <c:v>115101.12768079655</c:v>
                </c:pt>
                <c:pt idx="985">
                  <c:v>115379.558999068</c:v>
                </c:pt>
                <c:pt idx="986">
                  <c:v>115657.21524941706</c:v>
                </c:pt>
                <c:pt idx="987">
                  <c:v>115934.09638827524</c:v>
                </c:pt>
                <c:pt idx="988">
                  <c:v>116210.20236527755</c:v>
                </c:pt>
                <c:pt idx="989">
                  <c:v>116485.53312326262</c:v>
                </c:pt>
                <c:pt idx="990">
                  <c:v>116760.08859827256</c:v>
                </c:pt>
                <c:pt idx="991">
                  <c:v>117033.86871955266</c:v>
                </c:pt>
                <c:pt idx="992">
                  <c:v>117306.87340955081</c:v>
                </c:pt>
                <c:pt idx="993">
                  <c:v>117579.10258391668</c:v>
                </c:pt>
                <c:pt idx="994">
                  <c:v>117850.55615150064</c:v>
                </c:pt>
                <c:pt idx="995">
                  <c:v>118121.23401435251</c:v>
                </c:pt>
                <c:pt idx="996">
                  <c:v>118391.13606771998</c:v>
                </c:pt>
                <c:pt idx="997">
                  <c:v>118660.26220004687</c:v>
                </c:pt>
                <c:pt idx="998">
                  <c:v>118928.61229297101</c:v>
                </c:pt>
                <c:pt idx="999">
                  <c:v>119196.1862213221</c:v>
                </c:pt>
                <c:pt idx="1000">
                  <c:v>119462.98385311905</c:v>
                </c:pt>
              </c:numCache>
            </c:numRef>
          </c:xVal>
          <c:yVal>
            <c:numRef>
              <c:f>'Cond. Initiales et trajectoire'!$AT$15:$AT$1015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-23026.559508993094</c:v>
                </c:pt>
                <c:pt idx="19">
                  <c:v>-22597.394794901578</c:v>
                </c:pt>
                <c:pt idx="20">
                  <c:v>-21700.098646820006</c:v>
                </c:pt>
                <c:pt idx="21">
                  <c:v>-20366.305536938544</c:v>
                </c:pt>
                <c:pt idx="22">
                  <c:v>-18629.320466774247</c:v>
                </c:pt>
                <c:pt idx="23">
                  <c:v>-16536.860131991813</c:v>
                </c:pt>
                <c:pt idx="24">
                  <c:v>-14173.332774985514</c:v>
                </c:pt>
                <c:pt idx="25">
                  <c:v>-11686.793527809137</c:v>
                </c:pt>
                <c:pt idx="26">
                  <c:v>-9285.7153541049174</c:v>
                </c:pt>
                <c:pt idx="27">
                  <c:v>-7163.1148305357256</c:v>
                </c:pt>
                <c:pt idx="28">
                  <c:v>-5405.2766438255703</c:v>
                </c:pt>
                <c:pt idx="29">
                  <c:v>-3988.171339909853</c:v>
                </c:pt>
                <c:pt idx="30">
                  <c:v>-2836.4229574484893</c:v>
                </c:pt>
                <c:pt idx="31">
                  <c:v>-1865.7641451009483</c:v>
                </c:pt>
                <c:pt idx="32">
                  <c:v>-995.84077041904118</c:v>
                </c:pt>
                <c:pt idx="33">
                  <c:v>-149.4599386299148</c:v>
                </c:pt>
                <c:pt idx="34">
                  <c:v>752.01156069469494</c:v>
                </c:pt>
                <c:pt idx="35">
                  <c:v>1793.2222480232338</c:v>
                </c:pt>
                <c:pt idx="36">
                  <c:v>3064.3548369665605</c:v>
                </c:pt>
                <c:pt idx="37">
                  <c:v>4640.3231022982955</c:v>
                </c:pt>
                <c:pt idx="38">
                  <c:v>6517.1108696313704</c:v>
                </c:pt>
                <c:pt idx="39">
                  <c:v>8555.3303777478977</c:v>
                </c:pt>
                <c:pt idx="40">
                  <c:v>10552.98943923074</c:v>
                </c:pt>
                <c:pt idx="41">
                  <c:v>12370.753548935401</c:v>
                </c:pt>
                <c:pt idx="42">
                  <c:v>13951.290731552532</c:v>
                </c:pt>
                <c:pt idx="43">
                  <c:v>15277.624296741045</c:v>
                </c:pt>
                <c:pt idx="44">
                  <c:v>16345.252759825273</c:v>
                </c:pt>
                <c:pt idx="45">
                  <c:v>17150.887667056923</c:v>
                </c:pt>
                <c:pt idx="46">
                  <c:v>17688.144891965723</c:v>
                </c:pt>
                <c:pt idx="47">
                  <c:v>17945.461661525387</c:v>
                </c:pt>
                <c:pt idx="48">
                  <c:v>17904.443116994138</c:v>
                </c:pt>
                <c:pt idx="49">
                  <c:v>17537.921990304258</c:v>
                </c:pt>
                <c:pt idx="50">
                  <c:v>16807.512750085345</c:v>
                </c:pt>
                <c:pt idx="51">
                  <c:v>15661.293878573833</c:v>
                </c:pt>
                <c:pt idx="52">
                  <c:v>14035.274457262469</c:v>
                </c:pt>
                <c:pt idx="53">
                  <c:v>11871.726623805842</c:v>
                </c:pt>
                <c:pt idx="54">
                  <c:v>9180.1518731433698</c:v>
                </c:pt>
                <c:pt idx="55">
                  <c:v>6115.9544614118795</c:v>
                </c:pt>
                <c:pt idx="56">
                  <c:v>2928.9194495982138</c:v>
                </c:pt>
                <c:pt idx="57">
                  <c:v>-203.40622836481202</c:v>
                </c:pt>
                <c:pt idx="58">
                  <c:v>-3233.8735887973417</c:v>
                </c:pt>
                <c:pt idx="59">
                  <c:v>-6187.5767136037921</c:v>
                </c:pt>
                <c:pt idx="60">
                  <c:v>-9109.8575666725101</c:v>
                </c:pt>
                <c:pt idx="61">
                  <c:v>-12037.950819069514</c:v>
                </c:pt>
                <c:pt idx="62">
                  <c:v>-14973.647614880914</c:v>
                </c:pt>
                <c:pt idx="63">
                  <c:v>-17841.986679037029</c:v>
                </c:pt>
                <c:pt idx="64">
                  <c:v>-20461.303674818093</c:v>
                </c:pt>
                <c:pt idx="65">
                  <c:v>-22614.23788568702</c:v>
                </c:pt>
                <c:pt idx="66">
                  <c:v>-24193.519811073278</c:v>
                </c:pt>
                <c:pt idx="67">
                  <c:v>-25233.655823418027</c:v>
                </c:pt>
                <c:pt idx="68">
                  <c:v>-25825.203634257021</c:v>
                </c:pt>
                <c:pt idx="69">
                  <c:v>-26053.234388595036</c:v>
                </c:pt>
                <c:pt idx="70">
                  <c:v>-25983.187953881545</c:v>
                </c:pt>
                <c:pt idx="71">
                  <c:v>-25663.360789517967</c:v>
                </c:pt>
                <c:pt idx="72">
                  <c:v>-25129.631419452395</c:v>
                </c:pt>
                <c:pt idx="73">
                  <c:v>-24409.228859563747</c:v>
                </c:pt>
                <c:pt idx="74">
                  <c:v>-23523.352137807582</c:v>
                </c:pt>
                <c:pt idx="75">
                  <c:v>-22488.951393801555</c:v>
                </c:pt>
                <c:pt idx="76">
                  <c:v>-21319.958242699831</c:v>
                </c:pt>
                <c:pt idx="77">
                  <c:v>-20028.165312849131</c:v>
                </c:pt>
                <c:pt idx="78">
                  <c:v>-18623.885856717654</c:v>
                </c:pt>
                <c:pt idx="79">
                  <c:v>-17116.479184938678</c:v>
                </c:pt>
                <c:pt idx="80">
                  <c:v>-15514.798796081652</c:v>
                </c:pt>
                <c:pt idx="81">
                  <c:v>-13827.599542398066</c:v>
                </c:pt>
                <c:pt idx="82">
                  <c:v>-12063.920408815247</c:v>
                </c:pt>
                <c:pt idx="83">
                  <c:v>-10233.431953868087</c:v>
                </c:pt>
                <c:pt idx="84">
                  <c:v>-8346.6940818094845</c:v>
                </c:pt>
                <c:pt idx="85">
                  <c:v>-6415.2201001053281</c:v>
                </c:pt>
                <c:pt idx="86">
                  <c:v>-4451.2873606244475</c:v>
                </c:pt>
                <c:pt idx="87">
                  <c:v>-2467.9440497754185</c:v>
                </c:pt>
                <c:pt idx="88">
                  <c:v>-481.17231754238264</c:v>
                </c:pt>
                <c:pt idx="89">
                  <c:v>1483.2081229248708</c:v>
                </c:pt>
                <c:pt idx="90">
                  <c:v>3382.9924266665703</c:v>
                </c:pt>
                <c:pt idx="91">
                  <c:v>5167.6443952452146</c:v>
                </c:pt>
                <c:pt idx="92">
                  <c:v>6798.0595336047081</c:v>
                </c:pt>
                <c:pt idx="93">
                  <c:v>8255.8633784176709</c:v>
                </c:pt>
                <c:pt idx="94">
                  <c:v>9536.3502339161787</c:v>
                </c:pt>
                <c:pt idx="95">
                  <c:v>10635.835458909563</c:v>
                </c:pt>
                <c:pt idx="96">
                  <c:v>11538.955607885982</c:v>
                </c:pt>
                <c:pt idx="97">
                  <c:v>12204.286018096464</c:v>
                </c:pt>
                <c:pt idx="98">
                  <c:v>12548.577570667294</c:v>
                </c:pt>
                <c:pt idx="99">
                  <c:v>12453.293705291198</c:v>
                </c:pt>
                <c:pt idx="100">
                  <c:v>11847.765648575878</c:v>
                </c:pt>
                <c:pt idx="101">
                  <c:v>10803.937300069301</c:v>
                </c:pt>
                <c:pt idx="102">
                  <c:v>9482.5547395785252</c:v>
                </c:pt>
                <c:pt idx="103">
                  <c:v>8017.0772215877387</c:v>
                </c:pt>
                <c:pt idx="104">
                  <c:v>6485.8648801433101</c:v>
                </c:pt>
                <c:pt idx="105">
                  <c:v>4931.6882811089426</c:v>
                </c:pt>
                <c:pt idx="106">
                  <c:v>3378.650147590422</c:v>
                </c:pt>
                <c:pt idx="107">
                  <c:v>1841.1911824076158</c:v>
                </c:pt>
                <c:pt idx="108">
                  <c:v>328.56661446196341</c:v>
                </c:pt>
                <c:pt idx="109">
                  <c:v>-1152.8722885647396</c:v>
                </c:pt>
                <c:pt idx="110">
                  <c:v>-2598.4582754786497</c:v>
                </c:pt>
                <c:pt idx="111">
                  <c:v>-4004.5211441132096</c:v>
                </c:pt>
                <c:pt idx="112">
                  <c:v>-5367.9806791404308</c:v>
                </c:pt>
                <c:pt idx="113">
                  <c:v>-6686.0929623106213</c:v>
                </c:pt>
                <c:pt idx="114">
                  <c:v>-7956.283794780421</c:v>
                </c:pt>
                <c:pt idx="115">
                  <c:v>-9176.0329303316448</c:v>
                </c:pt>
                <c:pt idx="116">
                  <c:v>-10342.788340020426</c:v>
                </c:pt>
                <c:pt idx="117">
                  <c:v>-11453.898076526895</c:v>
                </c:pt>
                <c:pt idx="118">
                  <c:v>-12506.551940212557</c:v>
                </c:pt>
                <c:pt idx="119">
                  <c:v>-13497.72778478197</c:v>
                </c:pt>
                <c:pt idx="120">
                  <c:v>-14424.138824168131</c:v>
                </c:pt>
                <c:pt idx="121">
                  <c:v>-15282.179190790777</c:v>
                </c:pt>
                <c:pt idx="122">
                  <c:v>-16067.865520870513</c:v>
                </c:pt>
                <c:pt idx="123">
                  <c:v>-16776.772677571353</c:v>
                </c:pt>
                <c:pt idx="124">
                  <c:v>-17403.962001278243</c:v>
                </c:pt>
                <c:pt idx="125">
                  <c:v>-17943.900838060654</c:v>
                </c:pt>
                <c:pt idx="126">
                  <c:v>-18390.372733380282</c:v>
                </c:pt>
                <c:pt idx="127">
                  <c:v>-18736.378892232136</c:v>
                </c:pt>
                <c:pt idx="128">
                  <c:v>-18974.03381200464</c:v>
                </c:pt>
                <c:pt idx="129">
                  <c:v>-19094.462269071511</c:v>
                </c:pt>
                <c:pt idx="130">
                  <c:v>-19087.712582788925</c:v>
                </c:pt>
                <c:pt idx="131">
                  <c:v>-18942.71480466198</c:v>
                </c:pt>
                <c:pt idx="132">
                  <c:v>-18647.336294857061</c:v>
                </c:pt>
                <c:pt idx="133">
                  <c:v>-18188.627561812675</c:v>
                </c:pt>
                <c:pt idx="134">
                  <c:v>-17553.41840205215</c:v>
                </c:pt>
                <c:pt idx="135">
                  <c:v>-16729.535329881888</c:v>
                </c:pt>
                <c:pt idx="136">
                  <c:v>-15708.103610525954</c:v>
                </c:pt>
                <c:pt idx="137">
                  <c:v>-14487.785823812324</c:v>
                </c:pt>
                <c:pt idx="138">
                  <c:v>-13082.765452977039</c:v>
                </c:pt>
                <c:pt idx="139">
                  <c:v>-11538.586873204291</c:v>
                </c:pt>
                <c:pt idx="140">
                  <c:v>-9961.283327292449</c:v>
                </c:pt>
                <c:pt idx="141">
                  <c:v>-8535.9358821287751</c:v>
                </c:pt>
                <c:pt idx="142">
                  <c:v>-7431.3231169227056</c:v>
                </c:pt>
                <c:pt idx="143">
                  <c:v>-6648.5105592291611</c:v>
                </c:pt>
                <c:pt idx="144">
                  <c:v>-6055.2013786958205</c:v>
                </c:pt>
                <c:pt idx="145">
                  <c:v>-5522.6868888775643</c:v>
                </c:pt>
                <c:pt idx="146">
                  <c:v>-4973.5648439949819</c:v>
                </c:pt>
                <c:pt idx="147">
                  <c:v>-4374.8380365862622</c:v>
                </c:pt>
                <c:pt idx="148">
                  <c:v>-3721.1325508028604</c:v>
                </c:pt>
                <c:pt idx="149">
                  <c:v>-3019.8520523209941</c:v>
                </c:pt>
                <c:pt idx="150">
                  <c:v>-2282.0340450306439</c:v>
                </c:pt>
                <c:pt idx="151">
                  <c:v>-1518.2399421426485</c:v>
                </c:pt>
                <c:pt idx="152">
                  <c:v>-737.2784200573418</c:v>
                </c:pt>
                <c:pt idx="153">
                  <c:v>53.881036693985934</c:v>
                </c:pt>
                <c:pt idx="154">
                  <c:v>849.81942886858485</c:v>
                </c:pt>
                <c:pt idx="155">
                  <c:v>1646.3248328123259</c:v>
                </c:pt>
                <c:pt idx="156">
                  <c:v>2440.0952127699902</c:v>
                </c:pt>
                <c:pt idx="157">
                  <c:v>3228.5061810669217</c:v>
                </c:pt>
                <c:pt idx="158">
                  <c:v>4009.4365409548659</c:v>
                </c:pt>
                <c:pt idx="159">
                  <c:v>4781.1389877713882</c:v>
                </c:pt>
                <c:pt idx="160">
                  <c:v>5542.1443421250578</c:v>
                </c:pt>
                <c:pt idx="161">
                  <c:v>6291.1901634836213</c:v>
                </c:pt>
                <c:pt idx="162">
                  <c:v>7027.1669593530814</c:v>
                </c:pt>
                <c:pt idx="163">
                  <c:v>7749.0770794105592</c:v>
                </c:pt>
                <c:pt idx="164">
                  <c:v>8456.0027655624326</c:v>
                </c:pt>
                <c:pt idx="165">
                  <c:v>9147.080815849793</c:v>
                </c:pt>
                <c:pt idx="166">
                  <c:v>9821.4820151712011</c:v>
                </c:pt>
                <c:pt idx="167">
                  <c:v>10478.393971941883</c:v>
                </c:pt>
                <c:pt idx="168">
                  <c:v>11117.006338087238</c:v>
                </c:pt>
                <c:pt idx="169">
                  <c:v>11736.497623103549</c:v>
                </c:pt>
                <c:pt idx="170">
                  <c:v>12336.022970718204</c:v>
                </c:pt>
                <c:pt idx="171">
                  <c:v>12914.702368603908</c:v>
                </c:pt>
                <c:pt idx="172">
                  <c:v>13471.608820276573</c:v>
                </c:pt>
                <c:pt idx="173">
                  <c:v>14005.756031139026</c:v>
                </c:pt>
                <c:pt idx="174">
                  <c:v>14516.085150860146</c:v>
                </c:pt>
                <c:pt idx="175">
                  <c:v>15001.450071412235</c:v>
                </c:pt>
                <c:pt idx="176">
                  <c:v>15460.600699768254</c:v>
                </c:pt>
                <c:pt idx="177">
                  <c:v>15892.163497453468</c:v>
                </c:pt>
                <c:pt idx="178">
                  <c:v>16294.618390471331</c:v>
                </c:pt>
                <c:pt idx="179">
                  <c:v>16666.270877834759</c:v>
                </c:pt>
                <c:pt idx="180">
                  <c:v>17005.217765712245</c:v>
                </c:pt>
                <c:pt idx="181">
                  <c:v>17309.30436415596</c:v>
                </c:pt>
                <c:pt idx="182">
                  <c:v>17576.07010227906</c:v>
                </c:pt>
                <c:pt idx="183">
                  <c:v>17802.678175680947</c:v>
                </c:pt>
                <c:pt idx="184">
                  <c:v>17985.822747036807</c:v>
                </c:pt>
                <c:pt idx="185">
                  <c:v>18121.603867873138</c:v>
                </c:pt>
                <c:pt idx="186">
                  <c:v>18205.354752578878</c:v>
                </c:pt>
                <c:pt idx="187">
                  <c:v>18231.396577590069</c:v>
                </c:pt>
                <c:pt idx="188">
                  <c:v>18192.67920955288</c:v>
                </c:pt>
                <c:pt idx="189">
                  <c:v>18080.235313880799</c:v>
                </c:pt>
                <c:pt idx="190">
                  <c:v>17882.315736065724</c:v>
                </c:pt>
                <c:pt idx="191">
                  <c:v>17582.955002466671</c:v>
                </c:pt>
                <c:pt idx="192">
                  <c:v>17159.473195457118</c:v>
                </c:pt>
                <c:pt idx="193">
                  <c:v>16577.951921846809</c:v>
                </c:pt>
                <c:pt idx="194">
                  <c:v>15785.15208958875</c:v>
                </c:pt>
                <c:pt idx="195">
                  <c:v>14697.666904231015</c:v>
                </c:pt>
                <c:pt idx="196">
                  <c:v>13213.427474677917</c:v>
                </c:pt>
                <c:pt idx="197">
                  <c:v>11311.634631923482</c:v>
                </c:pt>
                <c:pt idx="198">
                  <c:v>9109.2189747409793</c:v>
                </c:pt>
                <c:pt idx="199">
                  <c:v>6724.0356366726846</c:v>
                </c:pt>
                <c:pt idx="200">
                  <c:v>4183.1020181451804</c:v>
                </c:pt>
                <c:pt idx="201">
                  <c:v>1471.151926243695</c:v>
                </c:pt>
                <c:pt idx="202">
                  <c:v>-1422.0427005574711</c:v>
                </c:pt>
                <c:pt idx="203">
                  <c:v>-4469.0212837808685</c:v>
                </c:pt>
                <c:pt idx="204">
                  <c:v>-7586.8205361111886</c:v>
                </c:pt>
                <c:pt idx="205">
                  <c:v>-10658.290339725007</c:v>
                </c:pt>
                <c:pt idx="206">
                  <c:v>-13584.183685316359</c:v>
                </c:pt>
                <c:pt idx="207">
                  <c:v>-16314.499180833602</c:v>
                </c:pt>
                <c:pt idx="208">
                  <c:v>-18840.536556474926</c:v>
                </c:pt>
                <c:pt idx="209">
                  <c:v>-21174.252757991253</c:v>
                </c:pt>
                <c:pt idx="210">
                  <c:v>-23334.207160988411</c:v>
                </c:pt>
                <c:pt idx="211">
                  <c:v>-25339.209403194272</c:v>
                </c:pt>
                <c:pt idx="212">
                  <c:v>-27206.124966973861</c:v>
                </c:pt>
                <c:pt idx="213">
                  <c:v>-28949.412857400879</c:v>
                </c:pt>
                <c:pt idx="214">
                  <c:v>-30581.277706472949</c:v>
                </c:pt>
                <c:pt idx="215">
                  <c:v>-32111.991658350715</c:v>
                </c:pt>
                <c:pt idx="216">
                  <c:v>-33550.225221858775</c:v>
                </c:pt>
                <c:pt idx="217">
                  <c:v>-34903.336889087863</c:v>
                </c:pt>
                <c:pt idx="218">
                  <c:v>-36177.612068802504</c:v>
                </c:pt>
                <c:pt idx="219">
                  <c:v>-37378.455562955125</c:v>
                </c:pt>
                <c:pt idx="220">
                  <c:v>-38510.545341545512</c:v>
                </c:pt>
                <c:pt idx="221">
                  <c:v>-39577.955315371641</c:v>
                </c:pt>
                <c:pt idx="222">
                  <c:v>-40584.253674060325</c:v>
                </c:pt>
                <c:pt idx="223">
                  <c:v>-41532.58206603289</c:v>
                </c:pt>
                <c:pt idx="224">
                  <c:v>-42425.71975017411</c:v>
                </c:pt>
                <c:pt idx="225">
                  <c:v>-43266.135916255043</c:v>
                </c:pt>
                <c:pt idx="226">
                  <c:v>-44056.032641558413</c:v>
                </c:pt>
                <c:pt idx="227">
                  <c:v>-44797.380390443985</c:v>
                </c:pt>
                <c:pt idx="228">
                  <c:v>-45491.947535721025</c:v>
                </c:pt>
                <c:pt idx="229">
                  <c:v>-46141.325054623812</c:v>
                </c:pt>
                <c:pt idx="230">
                  <c:v>-46746.947303197172</c:v>
                </c:pt>
                <c:pt idx="231">
                  <c:v>-47310.10958201898</c:v>
                </c:pt>
                <c:pt idx="232">
                  <c:v>-47831.983059106911</c:v>
                </c:pt>
                <c:pt idx="233">
                  <c:v>-48313.627501871124</c:v>
                </c:pt>
                <c:pt idx="234">
                  <c:v>-48756.002181093238</c:v>
                </c:pt>
                <c:pt idx="235">
                  <c:v>-49159.97524016536</c:v>
                </c:pt>
                <c:pt idx="236">
                  <c:v>-49526.331767739306</c:v>
                </c:pt>
                <c:pt idx="237">
                  <c:v>-49855.780768150413</c:v>
                </c:pt>
                <c:pt idx="238">
                  <c:v>-50148.961188949237</c:v>
                </c:pt>
                <c:pt idx="239">
                  <c:v>-50406.447136662558</c:v>
                </c:pt>
                <c:pt idx="240">
                  <c:v>-50628.752389033674</c:v>
                </c:pt>
                <c:pt idx="241">
                  <c:v>-50816.334293322107</c:v>
                </c:pt>
                <c:pt idx="242">
                  <c:v>-50969.597124892432</c:v>
                </c:pt>
                <c:pt idx="243">
                  <c:v>-51088.894967602821</c:v>
                </c:pt>
                <c:pt idx="244">
                  <c:v>-51174.534166876016</c:v>
                </c:pt>
                <c:pt idx="245">
                  <c:v>-51226.775397369878</c:v>
                </c:pt>
                <c:pt idx="246">
                  <c:v>-51245.835379519609</c:v>
                </c:pt>
                <c:pt idx="247">
                  <c:v>-51231.888272622025</c:v>
                </c:pt>
                <c:pt idx="248">
                  <c:v>-51185.066766347612</c:v>
                </c:pt>
                <c:pt idx="249">
                  <c:v>-51105.462887409347</c:v>
                </c:pt>
                <c:pt idx="250">
                  <c:v>-50993.128533428557</c:v>
                </c:pt>
                <c:pt idx="251">
                  <c:v>-50848.075741676927</c:v>
                </c:pt>
                <c:pt idx="252">
                  <c:v>-50670.276696214918</c:v>
                </c:pt>
                <c:pt idx="253">
                  <c:v>-50459.663472872257</c:v>
                </c:pt>
                <c:pt idx="254">
                  <c:v>-50216.127517411456</c:v>
                </c:pt>
                <c:pt idx="255">
                  <c:v>-49939.518847964588</c:v>
                </c:pt>
                <c:pt idx="256">
                  <c:v>-49629.644968312714</c:v>
                </c:pt>
                <c:pt idx="257">
                  <c:v>-49286.269473651155</c:v>
                </c:pt>
                <c:pt idx="258">
                  <c:v>-48909.110324995956</c:v>
                </c:pt>
                <c:pt idx="259">
                  <c:v>-48497.837762155497</c:v>
                </c:pt>
                <c:pt idx="260">
                  <c:v>-48052.07181799689</c:v>
                </c:pt>
                <c:pt idx="261">
                  <c:v>-47571.37938831051</c:v>
                </c:pt>
                <c:pt idx="262">
                  <c:v>-47055.270801583967</c:v>
                </c:pt>
                <c:pt idx="263">
                  <c:v>-46503.195821018628</c:v>
                </c:pt>
                <c:pt idx="264">
                  <c:v>-45914.538996621239</c:v>
                </c:pt>
                <c:pt idx="265">
                  <c:v>-45288.614267492856</c:v>
                </c:pt>
                <c:pt idx="266">
                  <c:v>-44624.658692622943</c:v>
                </c:pt>
                <c:pt idx="267">
                  <c:v>-43921.825161410481</c:v>
                </c:pt>
                <c:pt idx="268">
                  <c:v>-43179.173901232229</c:v>
                </c:pt>
                <c:pt idx="269">
                  <c:v>-42395.662556606578</c:v>
                </c:pt>
                <c:pt idx="270">
                  <c:v>-41570.134560098224</c:v>
                </c:pt>
                <c:pt idx="271">
                  <c:v>-40701.305445328995</c:v>
                </c:pt>
                <c:pt idx="272">
                  <c:v>-39787.746662175778</c:v>
                </c:pt>
                <c:pt idx="273">
                  <c:v>-38827.866336354629</c:v>
                </c:pt>
                <c:pt idx="274">
                  <c:v>-37819.886260198073</c:v>
                </c:pt>
                <c:pt idx="275">
                  <c:v>-36761.814194526858</c:v>
                </c:pt>
                <c:pt idx="276">
                  <c:v>-35651.410283091289</c:v>
                </c:pt>
                <c:pt idx="277">
                  <c:v>-34486.146002203815</c:v>
                </c:pt>
                <c:pt idx="278">
                  <c:v>-33263.153546654881</c:v>
                </c:pt>
                <c:pt idx="279">
                  <c:v>-31979.162826365977</c:v>
                </c:pt>
                <c:pt idx="280">
                  <c:v>-30630.42222329789</c:v>
                </c:pt>
                <c:pt idx="281">
                  <c:v>-29212.597794706264</c:v>
                </c:pt>
                <c:pt idx="282">
                  <c:v>-27720.643495308264</c:v>
                </c:pt>
                <c:pt idx="283">
                  <c:v>-26148.631909660951</c:v>
                </c:pt>
                <c:pt idx="284">
                  <c:v>-24489.530471942169</c:v>
                </c:pt>
                <c:pt idx="285">
                  <c:v>-22734.901569204234</c:v>
                </c:pt>
                <c:pt idx="286">
                  <c:v>-20874.495585250195</c:v>
                </c:pt>
                <c:pt idx="287">
                  <c:v>-18895.693769346206</c:v>
                </c:pt>
                <c:pt idx="288">
                  <c:v>-16782.746095761519</c:v>
                </c:pt>
                <c:pt idx="289">
                  <c:v>-14515.754891105758</c:v>
                </c:pt>
                <c:pt idx="290">
                  <c:v>-12069.444930399313</c:v>
                </c:pt>
                <c:pt idx="291">
                  <c:v>-9412.1758119099268</c:v>
                </c:pt>
                <c:pt idx="292">
                  <c:v>-6507.158112617165</c:v>
                </c:pt>
                <c:pt idx="293">
                  <c:v>-3322.0735546180426</c:v>
                </c:pt>
                <c:pt idx="294">
                  <c:v>141.41580077236065</c:v>
                </c:pt>
                <c:pt idx="295">
                  <c:v>3804.8368553646842</c:v>
                </c:pt>
                <c:pt idx="296">
                  <c:v>7518.1603127448889</c:v>
                </c:pt>
                <c:pt idx="297">
                  <c:v>11137.270225542079</c:v>
                </c:pt>
                <c:pt idx="298">
                  <c:v>14580.933656672139</c:v>
                </c:pt>
                <c:pt idx="299">
                  <c:v>17818.848765078641</c:v>
                </c:pt>
                <c:pt idx="300">
                  <c:v>20841.631153810475</c:v>
                </c:pt>
                <c:pt idx="301">
                  <c:v>23645.983550317462</c:v>
                </c:pt>
                <c:pt idx="302">
                  <c:v>26232.733850110893</c:v>
                </c:pt>
                <c:pt idx="303">
                  <c:v>28608.463614545104</c:v>
                </c:pt>
                <c:pt idx="304">
                  <c:v>30785.454132652296</c:v>
                </c:pt>
                <c:pt idx="305">
                  <c:v>32779.618275676745</c:v>
                </c:pt>
                <c:pt idx="306">
                  <c:v>34608.049221778732</c:v>
                </c:pt>
                <c:pt idx="307">
                  <c:v>36287.267647854613</c:v>
                </c:pt>
                <c:pt idx="308">
                  <c:v>37832.320176593159</c:v>
                </c:pt>
                <c:pt idx="309">
                  <c:v>39256.477385394042</c:v>
                </c:pt>
                <c:pt idx="310">
                  <c:v>40571.257469771524</c:v>
                </c:pt>
                <c:pt idx="311">
                  <c:v>41786.592613984729</c:v>
                </c:pt>
                <c:pt idx="312">
                  <c:v>42911.038795995446</c:v>
                </c:pt>
                <c:pt idx="313">
                  <c:v>43951.982331892439</c:v>
                </c:pt>
                <c:pt idx="314">
                  <c:v>44915.824574842984</c:v>
                </c:pt>
                <c:pt idx="315">
                  <c:v>45808.13975154631</c:v>
                </c:pt>
                <c:pt idx="316">
                  <c:v>46633.806844641331</c:v>
                </c:pt>
                <c:pt idx="317">
                  <c:v>47397.118628216405</c:v>
                </c:pt>
                <c:pt idx="318">
                  <c:v>48101.871461252849</c:v>
                </c:pt>
                <c:pt idx="319">
                  <c:v>48751.439232260076</c:v>
                </c:pt>
                <c:pt idx="320">
                  <c:v>49348.834391375727</c:v>
                </c:pt>
                <c:pt idx="321">
                  <c:v>49896.75850888712</c:v>
                </c:pt>
                <c:pt idx="322">
                  <c:v>50397.644343726344</c:v>
                </c:pt>
                <c:pt idx="323">
                  <c:v>50853.691018050886</c:v>
                </c:pt>
                <c:pt idx="324">
                  <c:v>51266.893576335715</c:v>
                </c:pt>
                <c:pt idx="325">
                  <c:v>51639.067951939614</c:v>
                </c:pt>
                <c:pt idx="326">
                  <c:v>51971.872160739222</c:v>
                </c:pt>
                <c:pt idx="327">
                  <c:v>52266.824380263271</c:v>
                </c:pt>
                <c:pt idx="328">
                  <c:v>52525.31844519623</c:v>
                </c:pt>
                <c:pt idx="329">
                  <c:v>52748.637189050714</c:v>
                </c:pt>
                <c:pt idx="330">
                  <c:v>52937.963981540197</c:v>
                </c:pt>
                <c:pt idx="331">
                  <c:v>53094.392747226353</c:v>
                </c:pt>
                <c:pt idx="332">
                  <c:v>53218.936699859143</c:v>
                </c:pt>
                <c:pt idx="333">
                  <c:v>53312.535985737763</c:v>
                </c:pt>
                <c:pt idx="334">
                  <c:v>53376.064396270871</c:v>
                </c:pt>
                <c:pt idx="335">
                  <c:v>53410.335283049666</c:v>
                </c:pt>
                <c:pt idx="336">
                  <c:v>53416.106786877819</c:v>
                </c:pt>
                <c:pt idx="337">
                  <c:v>53394.086474317948</c:v>
                </c:pt>
                <c:pt idx="338">
                  <c:v>53344.935460624765</c:v>
                </c:pt>
                <c:pt idx="339">
                  <c:v>53269.272085816243</c:v>
                </c:pt>
                <c:pt idx="340">
                  <c:v>53167.675200593949</c:v>
                </c:pt>
                <c:pt idx="341">
                  <c:v>53040.687110470695</c:v>
                </c:pt>
                <c:pt idx="342">
                  <c:v>52888.816219486398</c:v>
                </c:pt>
                <c:pt idx="343">
                  <c:v>52712.539409042067</c:v>
                </c:pt>
                <c:pt idx="344">
                  <c:v>52512.304182456566</c:v>
                </c:pt>
                <c:pt idx="345">
                  <c:v>52288.530601689534</c:v>
                </c:pt>
                <c:pt idx="346">
                  <c:v>52041.613039145384</c:v>
                </c:pt>
                <c:pt idx="347">
                  <c:v>51771.921764471488</c:v>
                </c:pt>
                <c:pt idx="348">
                  <c:v>51479.804383700517</c:v>
                </c:pt>
                <c:pt idx="349">
                  <c:v>51165.587145892336</c:v>
                </c:pt>
                <c:pt idx="350">
                  <c:v>50829.576130544883</c:v>
                </c:pt>
                <c:pt idx="351">
                  <c:v>50472.058327418723</c:v>
                </c:pt>
                <c:pt idx="352">
                  <c:v>50093.302619015732</c:v>
                </c:pt>
                <c:pt idx="353">
                  <c:v>49693.560674735556</c:v>
                </c:pt>
                <c:pt idx="354">
                  <c:v>49273.067764676445</c:v>
                </c:pt>
                <c:pt idx="355">
                  <c:v>48832.04350012674</c:v>
                </c:pt>
                <c:pt idx="356">
                  <c:v>48370.692506989864</c:v>
                </c:pt>
                <c:pt idx="357">
                  <c:v>47889.205037684027</c:v>
                </c:pt>
                <c:pt idx="358">
                  <c:v>47387.75752644334</c:v>
                </c:pt>
                <c:pt idx="359">
                  <c:v>46866.513092409419</c:v>
                </c:pt>
                <c:pt idx="360">
                  <c:v>46325.621994432011</c:v>
                </c:pt>
                <c:pt idx="361">
                  <c:v>45765.222041086228</c:v>
                </c:pt>
                <c:pt idx="362">
                  <c:v>45185.438959056766</c:v>
                </c:pt>
                <c:pt idx="363">
                  <c:v>44586.386722730807</c:v>
                </c:pt>
                <c:pt idx="364">
                  <c:v>43968.167847578421</c:v>
                </c:pt>
                <c:pt idx="365">
                  <c:v>43330.87364967911</c:v>
                </c:pt>
                <c:pt idx="366">
                  <c:v>42674.584473575851</c:v>
                </c:pt>
                <c:pt idx="367">
                  <c:v>41999.36989050312</c:v>
                </c:pt>
                <c:pt idx="368">
                  <c:v>41305.288868945587</c:v>
                </c:pt>
                <c:pt idx="369">
                  <c:v>40592.389919442867</c:v>
                </c:pt>
                <c:pt idx="370">
                  <c:v>39860.711215569274</c:v>
                </c:pt>
                <c:pt idx="371">
                  <c:v>39110.280693093999</c:v>
                </c:pt>
                <c:pt idx="372">
                  <c:v>38341.116129478578</c:v>
                </c:pt>
                <c:pt idx="373">
                  <c:v>37553.225206111019</c:v>
                </c:pt>
                <c:pt idx="374">
                  <c:v>36746.605556030561</c:v>
                </c:pt>
                <c:pt idx="375">
                  <c:v>35921.244800392422</c:v>
                </c:pt>
                <c:pt idx="376">
                  <c:v>35077.12057759524</c:v>
                </c:pt>
                <c:pt idx="377">
                  <c:v>34214.200569895234</c:v>
                </c:pt>
                <c:pt idx="378">
                  <c:v>33332.442533526329</c:v>
                </c:pt>
                <c:pt idx="379">
                  <c:v>32431.794339922297</c:v>
                </c:pt>
                <c:pt idx="380">
                  <c:v>31512.194037712859</c:v>
                </c:pt>
                <c:pt idx="381">
                  <c:v>30573.569947898333</c:v>
                </c:pt>
                <c:pt idx="382">
                  <c:v>29615.840808208904</c:v>
                </c:pt>
                <c:pt idx="383">
                  <c:v>28638.915987414126</c:v>
                </c:pt>
                <c:pt idx="384">
                  <c:v>27642.695796659114</c:v>
                </c:pt>
                <c:pt idx="385">
                  <c:v>26627.071933307951</c:v>
                </c:pt>
                <c:pt idx="386">
                  <c:v>25591.928104020757</c:v>
                </c:pt>
                <c:pt idx="387">
                  <c:v>24537.140888923292</c:v>
                </c:pt>
                <c:pt idx="388">
                  <c:v>23462.580929212651</c:v>
                </c:pt>
                <c:pt idx="389">
                  <c:v>22368.114548454312</c:v>
                </c:pt>
                <c:pt idx="390">
                  <c:v>21253.605956123869</c:v>
                </c:pt>
                <c:pt idx="391">
                  <c:v>20118.920234885347</c:v>
                </c:pt>
                <c:pt idx="392">
                  <c:v>18963.927386843956</c:v>
                </c:pt>
                <c:pt idx="393">
                  <c:v>17788.507817571157</c:v>
                </c:pt>
                <c:pt idx="394">
                  <c:v>16592.559783328928</c:v>
                </c:pt>
                <c:pt idx="395">
                  <c:v>15376.009536247935</c:v>
                </c:pt>
                <c:pt idx="396">
                  <c:v>14138.825203458089</c:v>
                </c:pt>
                <c:pt idx="397">
                  <c:v>12881.035872912486</c:v>
                </c:pt>
                <c:pt idx="398">
                  <c:v>11602.757995757576</c:v>
                </c:pt>
                <c:pt idx="399">
                  <c:v>10304.232148172045</c:v>
                </c:pt>
                <c:pt idx="400">
                  <c:v>8985.8745620669961</c:v>
                </c:pt>
                <c:pt idx="401">
                  <c:v>7648.349821100629</c:v>
                </c:pt>
                <c:pt idx="402">
                  <c:v>6292.673950304119</c:v>
                </c:pt>
                <c:pt idx="403">
                  <c:v>4920.3609797913596</c:v>
                </c:pt>
                <c:pt idx="404">
                  <c:v>3533.6307590248616</c:v>
                </c:pt>
                <c:pt idx="405">
                  <c:v>2135.6999114402211</c:v>
                </c:pt>
                <c:pt idx="406">
                  <c:v>731.17627983995044</c:v>
                </c:pt>
                <c:pt idx="407">
                  <c:v>-673.44441477666658</c:v>
                </c:pt>
                <c:pt idx="408">
                  <c:v>-2069.257834080498</c:v>
                </c:pt>
                <c:pt idx="409">
                  <c:v>-3444.685400626181</c:v>
                </c:pt>
                <c:pt idx="410">
                  <c:v>-4786.1486952895648</c:v>
                </c:pt>
                <c:pt idx="411">
                  <c:v>-6080.8961638410638</c:v>
                </c:pt>
                <c:pt idx="412">
                  <c:v>-7323.2161584349387</c:v>
                </c:pt>
                <c:pt idx="413">
                  <c:v>-8523.838023280472</c:v>
                </c:pt>
                <c:pt idx="414">
                  <c:v>-9720.4160254396793</c:v>
                </c:pt>
                <c:pt idx="415">
                  <c:v>-10987.270227001303</c:v>
                </c:pt>
                <c:pt idx="416">
                  <c:v>-12429.707348769674</c:v>
                </c:pt>
                <c:pt idx="417">
                  <c:v>-14079.300794599905</c:v>
                </c:pt>
                <c:pt idx="418">
                  <c:v>-15787.958180477441</c:v>
                </c:pt>
                <c:pt idx="419">
                  <c:v>-17375.479725239973</c:v>
                </c:pt>
                <c:pt idx="420">
                  <c:v>-18770.469132585829</c:v>
                </c:pt>
                <c:pt idx="421">
                  <c:v>-19961.55082674693</c:v>
                </c:pt>
                <c:pt idx="422">
                  <c:v>-20957.534215987369</c:v>
                </c:pt>
                <c:pt idx="423">
                  <c:v>-21774.927278949213</c:v>
                </c:pt>
                <c:pt idx="424">
                  <c:v>-22432.918017625634</c:v>
                </c:pt>
                <c:pt idx="425">
                  <c:v>-22950.732675553096</c:v>
                </c:pt>
                <c:pt idx="426">
                  <c:v>-23346.250875076359</c:v>
                </c:pt>
                <c:pt idx="427">
                  <c:v>-23635.409126107614</c:v>
                </c:pt>
                <c:pt idx="428">
                  <c:v>-23832.068688080722</c:v>
                </c:pt>
                <c:pt idx="429">
                  <c:v>-23948.124430901422</c:v>
                </c:pt>
                <c:pt idx="430">
                  <c:v>-23993.71730389084</c:v>
                </c:pt>
                <c:pt idx="431">
                  <c:v>-23977.474719166628</c:v>
                </c:pt>
                <c:pt idx="432">
                  <c:v>-23906.741585472108</c:v>
                </c:pt>
                <c:pt idx="433">
                  <c:v>-23787.786381348378</c:v>
                </c:pt>
                <c:pt idx="434">
                  <c:v>-23625.977888703153</c:v>
                </c:pt>
                <c:pt idx="435">
                  <c:v>-23425.933527087233</c:v>
                </c:pt>
                <c:pt idx="436">
                  <c:v>-23191.64240639377</c:v>
                </c:pt>
                <c:pt idx="437">
                  <c:v>-22926.566823177174</c:v>
                </c:pt>
                <c:pt idx="438">
                  <c:v>-22633.725808266085</c:v>
                </c:pt>
                <c:pt idx="439">
                  <c:v>-22315.763924905619</c:v>
                </c:pt>
                <c:pt idx="440">
                  <c:v>-21975.008029428936</c:v>
                </c:pt>
                <c:pt idx="441">
                  <c:v>-21613.514236718951</c:v>
                </c:pt>
                <c:pt idx="442">
                  <c:v>-21233.106918383917</c:v>
                </c:pt>
                <c:pt idx="443">
                  <c:v>-20835.411212402971</c:v>
                </c:pt>
                <c:pt idx="444">
                  <c:v>-20421.880236161975</c:v>
                </c:pt>
                <c:pt idx="445">
                  <c:v>-19993.817962595298</c:v>
                </c:pt>
                <c:pt idx="446">
                  <c:v>-19552.398532709925</c:v>
                </c:pt>
                <c:pt idx="447">
                  <c:v>-19098.682628699884</c:v>
                </c:pt>
                <c:pt idx="448">
                  <c:v>-18633.631412855051</c:v>
                </c:pt>
                <c:pt idx="449">
                  <c:v>-18158.118442445</c:v>
                </c:pt>
                <c:pt idx="450">
                  <c:v>-17672.939894775049</c:v>
                </c:pt>
                <c:pt idx="451">
                  <c:v>-17178.823375716423</c:v>
                </c:pt>
                <c:pt idx="452">
                  <c:v>-16676.435536071662</c:v>
                </c:pt>
                <c:pt idx="453">
                  <c:v>-16166.388680677223</c:v>
                </c:pt>
                <c:pt idx="454">
                  <c:v>-15649.246523220963</c:v>
                </c:pt>
                <c:pt idx="455">
                  <c:v>-15125.529213830461</c:v>
                </c:pt>
                <c:pt idx="456">
                  <c:v>-14595.717745362652</c:v>
                </c:pt>
                <c:pt idx="457">
                  <c:v>-14060.257827043977</c:v>
                </c:pt>
                <c:pt idx="458">
                  <c:v>-13519.563299920917</c:v>
                </c:pt>
                <c:pt idx="459">
                  <c:v>-12974.01915688688</c:v>
                </c:pt>
                <c:pt idx="460">
                  <c:v>-12423.984220378759</c:v>
                </c:pt>
                <c:pt idx="461">
                  <c:v>-11869.793522806905</c:v>
                </c:pt>
                <c:pt idx="462">
                  <c:v>-11311.760428092954</c:v>
                </c:pt>
                <c:pt idx="463">
                  <c:v>-10750.178527098256</c:v>
                </c:pt>
                <c:pt idx="464">
                  <c:v>-10185.323335035344</c:v>
                </c:pt>
                <c:pt idx="465">
                  <c:v>-9617.4538150080116</c:v>
                </c:pt>
                <c:pt idx="466">
                  <c:v>-9046.8137484935887</c:v>
                </c:pt>
                <c:pt idx="467">
                  <c:v>-8473.6329707592813</c:v>
                </c:pt>
                <c:pt idx="468">
                  <c:v>-7898.1284868078019</c:v>
                </c:pt>
                <c:pt idx="469">
                  <c:v>-7320.5054814057821</c:v>
                </c:pt>
                <c:pt idx="470">
                  <c:v>-6740.958235004211</c:v>
                </c:pt>
                <c:pt idx="471">
                  <c:v>-6159.6709558658695</c:v>
                </c:pt>
                <c:pt idx="472">
                  <c:v>-5576.8185374312061</c:v>
                </c:pt>
                <c:pt idx="473">
                  <c:v>-4992.5672488487025</c:v>
                </c:pt>
                <c:pt idx="474">
                  <c:v>-4407.0753656413854</c:v>
                </c:pt>
                <c:pt idx="475">
                  <c:v>-3820.4937466551128</c:v>
                </c:pt>
                <c:pt idx="476">
                  <c:v>-3232.9663627176346</c:v>
                </c:pt>
                <c:pt idx="477">
                  <c:v>-2644.6307818142491</c:v>
                </c:pt>
                <c:pt idx="478">
                  <c:v>-2055.6186150427811</c:v>
                </c:pt>
                <c:pt idx="479">
                  <c:v>-1466.055927136259</c:v>
                </c:pt>
                <c:pt idx="480">
                  <c:v>-876.06361492647886</c:v>
                </c:pt>
                <c:pt idx="481">
                  <c:v>-285.75775675750674</c:v>
                </c:pt>
                <c:pt idx="482">
                  <c:v>304.75006446182562</c:v>
                </c:pt>
                <c:pt idx="483">
                  <c:v>895.35246215914049</c:v>
                </c:pt>
                <c:pt idx="484">
                  <c:v>1485.9459687947081</c:v>
                </c:pt>
                <c:pt idx="485">
                  <c:v>2076.4307784135281</c:v>
                </c:pt>
                <c:pt idx="486">
                  <c:v>2666.7105073086773</c:v>
                </c:pt>
                <c:pt idx="487">
                  <c:v>3256.6919712237482</c:v>
                </c:pt>
                <c:pt idx="488">
                  <c:v>3846.2849776753924</c:v>
                </c:pt>
                <c:pt idx="489">
                  <c:v>4435.4021321132777</c:v>
                </c:pt>
                <c:pt idx="490">
                  <c:v>5023.9586567562073</c:v>
                </c:pt>
                <c:pt idx="491">
                  <c:v>5611.8722210515452</c:v>
                </c:pt>
                <c:pt idx="492">
                  <c:v>6199.0627828019487</c:v>
                </c:pt>
                <c:pt idx="493">
                  <c:v>6785.4524390901197</c:v>
                </c:pt>
                <c:pt idx="494">
                  <c:v>7370.9652862099647</c:v>
                </c:pt>
                <c:pt idx="495">
                  <c:v>7955.5272878822916</c:v>
                </c:pt>
                <c:pt idx="496">
                  <c:v>8539.0661510958107</c:v>
                </c:pt>
                <c:pt idx="497">
                  <c:v>9121.5112089705563</c:v>
                </c:pt>
                <c:pt idx="498">
                  <c:v>9702.7933100916016</c:v>
                </c:pt>
                <c:pt idx="499">
                  <c:v>10282.844713806702</c:v>
                </c:pt>
                <c:pt idx="500">
                  <c:v>10861.598991022774</c:v>
                </c:pt>
                <c:pt idx="501">
                  <c:v>11438.990930073447</c:v>
                </c:pt>
                <c:pt idx="502">
                  <c:v>12014.956447263619</c:v>
                </c:pt>
                <c:pt idx="503">
                  <c:v>12589.432501727497</c:v>
                </c:pt>
                <c:pt idx="504">
                  <c:v>13162.357014264224</c:v>
                </c:pt>
                <c:pt idx="505">
                  <c:v>13733.668789840211</c:v>
                </c:pt>
                <c:pt idx="506">
                  <c:v>14303.307443470041</c:v>
                </c:pt>
                <c:pt idx="507">
                  <c:v>14871.213329208351</c:v>
                </c:pt>
                <c:pt idx="508">
                  <c:v>15437.327472003806</c:v>
                </c:pt>
                <c:pt idx="509">
                  <c:v>16001.591502183219</c:v>
                </c:pt>
                <c:pt idx="510">
                  <c:v>16563.947592349232</c:v>
                </c:pt>
                <c:pt idx="511">
                  <c:v>17124.338396488954</c:v>
                </c:pt>
                <c:pt idx="512">
                  <c:v>17682.706991103551</c:v>
                </c:pt>
                <c:pt idx="513">
                  <c:v>18238.996818180312</c:v>
                </c:pt>
                <c:pt idx="514">
                  <c:v>18793.151629839027</c:v>
                </c:pt>
                <c:pt idx="515">
                  <c:v>19345.115434493891</c:v>
                </c:pt>
                <c:pt idx="516">
                  <c:v>19894.832444380711</c:v>
                </c:pt>
                <c:pt idx="517">
                  <c:v>20442.247024306638</c:v>
                </c:pt>
                <c:pt idx="518">
                  <c:v>20987.303641486695</c:v>
                </c:pt>
                <c:pt idx="519">
                  <c:v>21529.946816337273</c:v>
                </c:pt>
                <c:pt idx="520">
                  <c:v>22070.12107410243</c:v>
                </c:pt>
                <c:pt idx="521">
                  <c:v>22607.770897193441</c:v>
                </c:pt>
                <c:pt idx="522">
                  <c:v>23142.840678126438</c:v>
                </c:pt>
                <c:pt idx="523">
                  <c:v>23675.274672946554</c:v>
                </c:pt>
                <c:pt idx="524">
                  <c:v>24205.016955030173</c:v>
                </c:pt>
                <c:pt idx="525">
                  <c:v>24732.011369159543</c:v>
                </c:pt>
                <c:pt idx="526">
                  <c:v>25256.201485766189</c:v>
                </c:pt>
                <c:pt idx="527">
                  <c:v>25777.530555241217</c:v>
                </c:pt>
                <c:pt idx="528">
                  <c:v>26295.941462211998</c:v>
                </c:pt>
                <c:pt idx="529">
                  <c:v>26811.376679685432</c:v>
                </c:pt>
                <c:pt idx="530">
                  <c:v>27323.778222958521</c:v>
                </c:pt>
                <c:pt idx="531">
                  <c:v>27833.087603196895</c:v>
                </c:pt>
                <c:pt idx="532">
                  <c:v>28339.245780581627</c:v>
                </c:pt>
                <c:pt idx="533">
                  <c:v>28842.193116923772</c:v>
                </c:pt>
                <c:pt idx="534">
                  <c:v>29341.869327644854</c:v>
                </c:pt>
                <c:pt idx="535">
                  <c:v>29838.213433019904</c:v>
                </c:pt>
                <c:pt idx="536">
                  <c:v>30331.163708577544</c:v>
                </c:pt>
                <c:pt idx="537">
                  <c:v>30820.657634549083</c:v>
                </c:pt>
                <c:pt idx="538">
                  <c:v>31306.631844255637</c:v>
                </c:pt>
                <c:pt idx="539">
                  <c:v>31789.022071318821</c:v>
                </c:pt>
                <c:pt idx="540">
                  <c:v>32267.76309557668</c:v>
                </c:pt>
                <c:pt idx="541">
                  <c:v>32742.788687582008</c:v>
                </c:pt>
                <c:pt idx="542">
                  <c:v>33214.031551555228</c:v>
                </c:pt>
                <c:pt idx="543">
                  <c:v>33681.423266658523</c:v>
                </c:pt>
                <c:pt idx="544">
                  <c:v>34144.894226451644</c:v>
                </c:pt>
                <c:pt idx="545">
                  <c:v>34604.373576383012</c:v>
                </c:pt>
                <c:pt idx="546">
                  <c:v>35059.789149162309</c:v>
                </c:pt>
                <c:pt idx="547">
                  <c:v>35511.067397852392</c:v>
                </c:pt>
                <c:pt idx="548">
                  <c:v>35958.13332650932</c:v>
                </c:pt>
                <c:pt idx="549">
                  <c:v>36400.910418189473</c:v>
                </c:pt>
                <c:pt idx="550">
                  <c:v>36839.320560131717</c:v>
                </c:pt>
                <c:pt idx="551">
                  <c:v>37273.283965910858</c:v>
                </c:pt>
                <c:pt idx="552">
                  <c:v>37702.719094345499</c:v>
                </c:pt>
                <c:pt idx="553">
                  <c:v>38127.54256492947</c:v>
                </c:pt>
                <c:pt idx="554">
                  <c:v>38547.66906954025</c:v>
                </c:pt>
                <c:pt idx="555">
                  <c:v>38963.011280161118</c:v>
                </c:pt>
                <c:pt idx="556">
                  <c:v>39373.479752335261</c:v>
                </c:pt>
                <c:pt idx="557">
                  <c:v>39778.982824049803</c:v>
                </c:pt>
                <c:pt idx="558">
                  <c:v>40179.426509725781</c:v>
                </c:pt>
                <c:pt idx="559">
                  <c:v>40574.714388965935</c:v>
                </c:pt>
                <c:pt idx="560">
                  <c:v>40964.747489685775</c:v>
                </c:pt>
                <c:pt idx="561">
                  <c:v>41349.424165224555</c:v>
                </c:pt>
                <c:pt idx="562">
                  <c:v>41728.639965001057</c:v>
                </c:pt>
                <c:pt idx="563">
                  <c:v>42102.287498244405</c:v>
                </c:pt>
                <c:pt idx="564">
                  <c:v>42470.256290292091</c:v>
                </c:pt>
                <c:pt idx="565">
                  <c:v>42832.432630905372</c:v>
                </c:pt>
                <c:pt idx="566">
                  <c:v>43188.699414006413</c:v>
                </c:pt>
                <c:pt idx="567">
                  <c:v>43538.935968190613</c:v>
                </c:pt>
                <c:pt idx="568">
                  <c:v>43883.017877312013</c:v>
                </c:pt>
                <c:pt idx="569">
                  <c:v>44220.816790377918</c:v>
                </c:pt>
                <c:pt idx="570">
                  <c:v>44552.20021992088</c:v>
                </c:pt>
                <c:pt idx="571">
                  <c:v>44877.031327941157</c:v>
                </c:pt>
                <c:pt idx="572">
                  <c:v>45195.168698429312</c:v>
                </c:pt>
                <c:pt idx="573">
                  <c:v>45506.466095386495</c:v>
                </c:pt>
                <c:pt idx="574">
                  <c:v>45810.772205157489</c:v>
                </c:pt>
                <c:pt idx="575">
                  <c:v>46107.930361777719</c:v>
                </c:pt>
                <c:pt idx="576">
                  <c:v>46397.778253908786</c:v>
                </c:pt>
                <c:pt idx="577">
                  <c:v>46680.147611795765</c:v>
                </c:pt>
                <c:pt idx="578">
                  <c:v>46954.86387252179</c:v>
                </c:pt>
                <c:pt idx="579">
                  <c:v>47221.745821659228</c:v>
                </c:pt>
                <c:pt idx="580">
                  <c:v>47480.605209219008</c:v>
                </c:pt>
                <c:pt idx="581">
                  <c:v>47731.246337578326</c:v>
                </c:pt>
                <c:pt idx="582">
                  <c:v>47973.465618817878</c:v>
                </c:pt>
                <c:pt idx="583">
                  <c:v>48207.051098619275</c:v>
                </c:pt>
                <c:pt idx="584">
                  <c:v>48431.78194355742</c:v>
                </c:pt>
                <c:pt idx="585">
                  <c:v>48647.427888265149</c:v>
                </c:pt>
                <c:pt idx="586">
                  <c:v>48853.748638543075</c:v>
                </c:pt>
                <c:pt idx="587">
                  <c:v>49050.493226028695</c:v>
                </c:pt>
                <c:pt idx="588">
                  <c:v>49237.399309517219</c:v>
                </c:pt>
                <c:pt idx="589">
                  <c:v>49414.192417432387</c:v>
                </c:pt>
                <c:pt idx="590">
                  <c:v>49580.585125267069</c:v>
                </c:pt>
                <c:pt idx="591">
                  <c:v>49736.276161037102</c:v>
                </c:pt>
                <c:pt idx="592">
                  <c:v>49880.949430901361</c:v>
                </c:pt>
                <c:pt idx="593">
                  <c:v>50014.272956077046</c:v>
                </c:pt>
                <c:pt idx="594">
                  <c:v>50135.897710999081</c:v>
                </c:pt>
                <c:pt idx="595">
                  <c:v>50245.456351308254</c:v>
                </c:pt>
                <c:pt idx="596">
                  <c:v>50342.561818672228</c:v>
                </c:pt>
                <c:pt idx="597">
                  <c:v>50426.805807606579</c:v>
                </c:pt>
                <c:pt idx="598">
                  <c:v>50497.757077322414</c:v>
                </c:pt>
                <c:pt idx="599">
                  <c:v>50554.959589124846</c:v>
                </c:pt>
                <c:pt idx="600">
                  <c:v>50597.930446952807</c:v>
                </c:pt>
                <c:pt idx="601">
                  <c:v>50626.157615199627</c:v>
                </c:pt>
                <c:pt idx="602">
                  <c:v>50639.097383880937</c:v>
                </c:pt>
                <c:pt idx="603">
                  <c:v>50636.171546393416</c:v>
                </c:pt>
                <c:pt idx="604">
                  <c:v>50616.764249375381</c:v>
                </c:pt>
                <c:pt idx="605">
                  <c:v>50580.218467342514</c:v>
                </c:pt>
                <c:pt idx="606">
                  <c:v>50525.832046583804</c:v>
                </c:pt>
                <c:pt idx="607">
                  <c:v>50452.853252958914</c:v>
                </c:pt>
                <c:pt idx="608">
                  <c:v>50360.47574635467</c:v>
                </c:pt>
                <c:pt idx="609">
                  <c:v>50247.832890151869</c:v>
                </c:pt>
                <c:pt idx="610">
                  <c:v>50113.991286510536</c:v>
                </c:pt>
                <c:pt idx="611">
                  <c:v>49957.943406822473</c:v>
                </c:pt>
                <c:pt idx="612">
                  <c:v>49778.599160305836</c:v>
                </c:pt>
                <c:pt idx="613">
                  <c:v>49574.776211145123</c:v>
                </c:pt>
                <c:pt idx="614">
                  <c:v>49345.188814153902</c:v>
                </c:pt>
                <c:pt idx="615">
                  <c:v>49088.434888508033</c:v>
                </c:pt>
                <c:pt idx="616">
                  <c:v>48802.980985861264</c:v>
                </c:pt>
                <c:pt idx="617">
                  <c:v>48487.144729446554</c:v>
                </c:pt>
                <c:pt idx="618">
                  <c:v>48139.074199769027</c:v>
                </c:pt>
                <c:pt idx="619">
                  <c:v>47756.72361386619</c:v>
                </c:pt>
                <c:pt idx="620">
                  <c:v>47337.824480480849</c:v>
                </c:pt>
                <c:pt idx="621">
                  <c:v>46879.851201829057</c:v>
                </c:pt>
                <c:pt idx="622">
                  <c:v>46379.979819450498</c:v>
                </c:pt>
                <c:pt idx="623">
                  <c:v>45835.038248002493</c:v>
                </c:pt>
                <c:pt idx="624">
                  <c:v>45241.445882553737</c:v>
                </c:pt>
                <c:pt idx="625">
                  <c:v>44595.139871756946</c:v>
                </c:pt>
                <c:pt idx="626">
                  <c:v>43891.484585757193</c:v>
                </c:pt>
                <c:pt idx="627">
                  <c:v>43125.159837098741</c:v>
                </c:pt>
                <c:pt idx="628">
                  <c:v>42290.022209414303</c:v>
                </c:pt>
                <c:pt idx="629">
                  <c:v>41378.932428187654</c:v>
                </c:pt>
                <c:pt idx="630">
                  <c:v>40383.540200131662</c:v>
                </c:pt>
                <c:pt idx="631">
                  <c:v>39294.016758909194</c:v>
                </c:pt>
                <c:pt idx="632">
                  <c:v>38098.725523347886</c:v>
                </c:pt>
                <c:pt idx="633">
                  <c:v>36783.825226821711</c:v>
                </c:pt>
                <c:pt idx="634">
                  <c:v>35332.812971365383</c:v>
                </c:pt>
                <c:pt idx="635">
                  <c:v>33726.048094203245</c:v>
                </c:pt>
                <c:pt idx="636">
                  <c:v>31940.373095831612</c:v>
                </c:pt>
                <c:pt idx="637">
                  <c:v>29949.100622559665</c:v>
                </c:pt>
                <c:pt idx="638">
                  <c:v>27722.901866903045</c:v>
                </c:pt>
                <c:pt idx="639">
                  <c:v>25232.468432165995</c:v>
                </c:pt>
                <c:pt idx="640">
                  <c:v>22453.868953913385</c:v>
                </c:pt>
                <c:pt idx="641">
                  <c:v>19376.338079835365</c:v>
                </c:pt>
                <c:pt idx="642">
                  <c:v>16009.034209887579</c:v>
                </c:pt>
                <c:pt idx="643">
                  <c:v>12380.473674178798</c:v>
                </c:pt>
                <c:pt idx="644">
                  <c:v>8527.82664061582</c:v>
                </c:pt>
                <c:pt idx="645">
                  <c:v>4482.0863647006099</c:v>
                </c:pt>
                <c:pt idx="646">
                  <c:v>256.14217688702115</c:v>
                </c:pt>
                <c:pt idx="647">
                  <c:v>-4166.1736345639483</c:v>
                </c:pt>
                <c:pt idx="648">
                  <c:v>-8829.3669560572289</c:v>
                </c:pt>
                <c:pt idx="649">
                  <c:v>-13738.956866353798</c:v>
                </c:pt>
                <c:pt idx="650">
                  <c:v>-18746.928213262676</c:v>
                </c:pt>
                <c:pt idx="651">
                  <c:v>-23614.264002216318</c:v>
                </c:pt>
                <c:pt idx="652">
                  <c:v>-28200.919702669864</c:v>
                </c:pt>
                <c:pt idx="653">
                  <c:v>-32493.263344048446</c:v>
                </c:pt>
                <c:pt idx="654">
                  <c:v>-36525.226880463815</c:v>
                </c:pt>
                <c:pt idx="655">
                  <c:v>-40335.943664582548</c:v>
                </c:pt>
                <c:pt idx="656">
                  <c:v>-43958.867773030928</c:v>
                </c:pt>
                <c:pt idx="657">
                  <c:v>-47420.764648686825</c:v>
                </c:pt>
                <c:pt idx="658">
                  <c:v>-50742.83992581749</c:v>
                </c:pt>
                <c:pt idx="659">
                  <c:v>-53942.023579390989</c:v>
                </c:pt>
                <c:pt idx="660">
                  <c:v>-57032.008881753536</c:v>
                </c:pt>
                <c:pt idx="661">
                  <c:v>-60024.027927092131</c:v>
                </c:pt>
                <c:pt idx="662">
                  <c:v>-62927.419490582688</c:v>
                </c:pt>
                <c:pt idx="663">
                  <c:v>-65750.04558099214</c:v>
                </c:pt>
                <c:pt idx="664">
                  <c:v>-68498.600039761353</c:v>
                </c:pt>
                <c:pt idx="665">
                  <c:v>-71178.840132764104</c:v>
                </c:pt>
                <c:pt idx="666">
                  <c:v>-73795.762751927236</c:v>
                </c:pt>
                <c:pt idx="667">
                  <c:v>-76353.740302591614</c:v>
                </c:pt>
                <c:pt idx="668">
                  <c:v>-78856.626863825746</c:v>
                </c:pt>
                <c:pt idx="669">
                  <c:v>-81307.842136874126</c:v>
                </c:pt>
                <c:pt idx="670">
                  <c:v>-83710.43858216815</c:v>
                </c:pt>
                <c:pt idx="671">
                  <c:v>-86067.155675293834</c:v>
                </c:pt>
                <c:pt idx="672">
                  <c:v>-88380.464178627532</c:v>
                </c:pt>
                <c:pt idx="673">
                  <c:v>-90652.602589623159</c:v>
                </c:pt>
                <c:pt idx="674">
                  <c:v>-92885.607396662657</c:v>
                </c:pt>
                <c:pt idx="675">
                  <c:v>-95081.338386906209</c:v>
                </c:pt>
                <c:pt idx="676">
                  <c:v>-97241.499965551324</c:v>
                </c:pt>
                <c:pt idx="677">
                  <c:v>-99367.659233387953</c:v>
                </c:pt>
                <c:pt idx="678">
                  <c:v>-101461.26140942132</c:v>
                </c:pt>
                <c:pt idx="679">
                  <c:v>-103523.64306350971</c:v>
                </c:pt>
                <c:pt idx="680">
                  <c:v>-105556.04353040819</c:v>
                </c:pt>
                <c:pt idx="681">
                  <c:v>-107559.61480412932</c:v>
                </c:pt>
                <c:pt idx="682">
                  <c:v>-109535.43015491142</c:v>
                </c:pt>
                <c:pt idx="683">
                  <c:v>-111484.49166650877</c:v>
                </c:pt>
                <c:pt idx="684">
                  <c:v>-113407.73685616198</c:v>
                </c:pt>
                <c:pt idx="685">
                  <c:v>-115306.04451136797</c:v>
                </c:pt>
                <c:pt idx="686">
                  <c:v>-117180.23985486545</c:v>
                </c:pt>
                <c:pt idx="687">
                  <c:v>-119031.09913088374</c:v>
                </c:pt>
                <c:pt idx="688">
                  <c:v>-120859.35369075398</c:v>
                </c:pt>
                <c:pt idx="689">
                  <c:v>-122665.69364374725</c:v>
                </c:pt>
                <c:pt idx="690">
                  <c:v>-124450.77112893789</c:v>
                </c:pt>
                <c:pt idx="691">
                  <c:v>-126215.20325556501</c:v>
                </c:pt>
                <c:pt idx="692">
                  <c:v>-127959.57475244727</c:v>
                </c:pt>
                <c:pt idx="693">
                  <c:v>-129684.44036123125</c:v>
                </c:pt>
                <c:pt idx="694">
                  <c:v>-131390.32700341096</c:v>
                </c:pt>
                <c:pt idx="695">
                  <c:v>-133077.7357469791</c:v>
                </c:pt>
                <c:pt idx="696">
                  <c:v>-134747.14359512425</c:v>
                </c:pt>
                <c:pt idx="697">
                  <c:v>-136399.00511646294</c:v>
                </c:pt>
                <c:pt idx="698">
                  <c:v>-138033.75393380568</c:v>
                </c:pt>
                <c:pt idx="699">
                  <c:v>-139651.80408632607</c:v>
                </c:pt>
                <c:pt idx="700">
                  <c:v>-141253.55127817753</c:v>
                </c:pt>
                <c:pt idx="701">
                  <c:v>-142839.37402503169</c:v>
                </c:pt>
                <c:pt idx="702">
                  <c:v>-144409.63470865661</c:v>
                </c:pt>
                <c:pt idx="703">
                  <c:v>-145964.68054848158</c:v>
                </c:pt>
                <c:pt idx="704">
                  <c:v>-147504.84449807616</c:v>
                </c:pt>
                <c:pt idx="705">
                  <c:v>-149030.44607358589</c:v>
                </c:pt>
                <c:pt idx="706">
                  <c:v>-150541.79212039404</c:v>
                </c:pt>
                <c:pt idx="707">
                  <c:v>-152039.17752360235</c:v>
                </c:pt>
                <c:pt idx="708">
                  <c:v>-153522.88586733126</c:v>
                </c:pt>
                <c:pt idx="709">
                  <c:v>-154993.190047318</c:v>
                </c:pt>
                <c:pt idx="710">
                  <c:v>-156450.3528408327</c:v>
                </c:pt>
                <c:pt idx="711">
                  <c:v>-157894.62743752662</c:v>
                </c:pt>
                <c:pt idx="712">
                  <c:v>-159326.25793446825</c:v>
                </c:pt>
                <c:pt idx="713">
                  <c:v>-160745.47979830441</c:v>
                </c:pt>
                <c:pt idx="714">
                  <c:v>-162152.52029720179</c:v>
                </c:pt>
                <c:pt idx="715">
                  <c:v>-163547.5989049722</c:v>
                </c:pt>
                <c:pt idx="716">
                  <c:v>-164930.9276795607</c:v>
                </c:pt>
                <c:pt idx="717">
                  <c:v>-166302.71161787587</c:v>
                </c:pt>
                <c:pt idx="718">
                  <c:v>-167663.14898876159</c:v>
                </c:pt>
                <c:pt idx="719">
                  <c:v>-169012.43164574946</c:v>
                </c:pt>
                <c:pt idx="720">
                  <c:v>-170350.7453210867</c:v>
                </c:pt>
                <c:pt idx="721">
                  <c:v>-171678.26990240425</c:v>
                </c:pt>
                <c:pt idx="722">
                  <c:v>-172995.17969327362</c:v>
                </c:pt>
                <c:pt idx="723">
                  <c:v>-174301.64365879461</c:v>
                </c:pt>
                <c:pt idx="724">
                  <c:v>-175597.82565726223</c:v>
                </c:pt>
                <c:pt idx="725">
                  <c:v>-176883.88465887366</c:v>
                </c:pt>
                <c:pt idx="726">
                  <c:v>-178159.97495235878</c:v>
                </c:pt>
                <c:pt idx="727">
                  <c:v>-179426.2463403469</c:v>
                </c:pt>
                <c:pt idx="728">
                  <c:v>-180682.84432421834</c:v>
                </c:pt>
                <c:pt idx="729">
                  <c:v>-181929.91027913021</c:v>
                </c:pt>
                <c:pt idx="730">
                  <c:v>-183167.58161985379</c:v>
                </c:pt>
                <c:pt idx="731">
                  <c:v>-184395.99195801091</c:v>
                </c:pt>
                <c:pt idx="732">
                  <c:v>-185615.27125125405</c:v>
                </c:pt>
                <c:pt idx="733">
                  <c:v>-186825.54594489295</c:v>
                </c:pt>
                <c:pt idx="734">
                  <c:v>-188026.93910643476</c:v>
                </c:pt>
                <c:pt idx="735">
                  <c:v>-189219.57055346976</c:v>
                </c:pt>
                <c:pt idx="736">
                  <c:v>-190403.55697530456</c:v>
                </c:pt>
                <c:pt idx="737">
                  <c:v>-191579.01204871561</c:v>
                </c:pt>
                <c:pt idx="738">
                  <c:v>-192746.04654816989</c:v>
                </c:pt>
                <c:pt idx="739">
                  <c:v>-193904.76845083555</c:v>
                </c:pt>
                <c:pt idx="740">
                  <c:v>-195055.28303668278</c:v>
                </c:pt>
                <c:pt idx="741">
                  <c:v>-196197.69298395587</c:v>
                </c:pt>
                <c:pt idx="742">
                  <c:v>-197332.0984602767</c:v>
                </c:pt>
                <c:pt idx="743">
                  <c:v>-198458.59720962466</c:v>
                </c:pt>
                <c:pt idx="744">
                  <c:v>-199577.28463542025</c:v>
                </c:pt>
                <c:pt idx="745">
                  <c:v>-200688.25387992596</c:v>
                </c:pt>
                <c:pt idx="746">
                  <c:v>-201791.59590016332</c:v>
                </c:pt>
                <c:pt idx="747">
                  <c:v>-202887.39954053311</c:v>
                </c:pt>
                <c:pt idx="748">
                  <c:v>-203975.75160231357</c:v>
                </c:pt>
                <c:pt idx="749">
                  <c:v>-205056.7369102005</c:v>
                </c:pt>
                <c:pt idx="750">
                  <c:v>-206130.43837604314</c:v>
                </c:pt>
                <c:pt idx="751">
                  <c:v>-207196.9370599199</c:v>
                </c:pt>
                <c:pt idx="752">
                  <c:v>-208256.31222869031</c:v>
                </c:pt>
                <c:pt idx="753">
                  <c:v>-209308.64141214962</c:v>
                </c:pt>
                <c:pt idx="754">
                  <c:v>-210354.000456907</c:v>
                </c:pt>
                <c:pt idx="755">
                  <c:v>-211392.4635780995</c:v>
                </c:pt>
                <c:pt idx="756">
                  <c:v>-212424.10340904805</c:v>
                </c:pt>
                <c:pt idx="757">
                  <c:v>-213448.991048956</c:v>
                </c:pt>
                <c:pt idx="758">
                  <c:v>-214467.19610874401</c:v>
                </c:pt>
                <c:pt idx="759">
                  <c:v>-215478.78675511075</c:v>
                </c:pt>
                <c:pt idx="760">
                  <c:v>-216483.82975290314</c:v>
                </c:pt>
                <c:pt idx="761">
                  <c:v>-217482.39050587532</c:v>
                </c:pt>
                <c:pt idx="762">
                  <c:v>-218474.53309591167</c:v>
                </c:pt>
                <c:pt idx="763">
                  <c:v>-219460.32032078417</c:v>
                </c:pt>
                <c:pt idx="764">
                  <c:v>-220439.81373051152</c:v>
                </c:pt>
                <c:pt idx="765">
                  <c:v>-221413.0736623829</c:v>
                </c:pt>
                <c:pt idx="766">
                  <c:v>-222380.15927470679</c:v>
                </c:pt>
                <c:pt idx="767">
                  <c:v>-223341.1285793414</c:v>
                </c:pt>
                <c:pt idx="768">
                  <c:v>-224296.0384730603</c:v>
                </c:pt>
                <c:pt idx="769">
                  <c:v>-225244.94476780479</c:v>
                </c:pt>
                <c:pt idx="770">
                  <c:v>-226187.90221987091</c:v>
                </c:pt>
                <c:pt idx="771">
                  <c:v>-227124.96455807716</c:v>
                </c:pt>
                <c:pt idx="772">
                  <c:v>-228056.18451095637</c:v>
                </c:pt>
                <c:pt idx="773">
                  <c:v>-228981.61383301331</c:v>
                </c:pt>
                <c:pt idx="774">
                  <c:v>-229901.30333008699</c:v>
                </c:pt>
                <c:pt idx="775">
                  <c:v>-230815.30288385539</c:v>
                </c:pt>
                <c:pt idx="776">
                  <c:v>-231723.66147551782</c:v>
                </c:pt>
                <c:pt idx="777">
                  <c:v>-232626.42720868866</c:v>
                </c:pt>
                <c:pt idx="778">
                  <c:v>-233523.64733153491</c:v>
                </c:pt>
                <c:pt idx="779">
                  <c:v>-234415.36825818781</c:v>
                </c:pt>
                <c:pt idx="780">
                  <c:v>-235301.63558945779</c:v>
                </c:pt>
                <c:pt idx="781">
                  <c:v>-236182.49413288053</c:v>
                </c:pt>
                <c:pt idx="782">
                  <c:v>-237057.98792212061</c:v>
                </c:pt>
                <c:pt idx="783">
                  <c:v>-237928.16023575768</c:v>
                </c:pt>
                <c:pt idx="784">
                  <c:v>-238793.05361547953</c:v>
                </c:pt>
                <c:pt idx="785">
                  <c:v>-239652.70988370487</c:v>
                </c:pt>
                <c:pt idx="786">
                  <c:v>-240507.17016065767</c:v>
                </c:pt>
                <c:pt idx="787">
                  <c:v>-241356.4748809138</c:v>
                </c:pt>
                <c:pt idx="788">
                  <c:v>-242200.66380944039</c:v>
                </c:pt>
                <c:pt idx="789">
                  <c:v>-243039.77605714646</c:v>
                </c:pt>
                <c:pt idx="790">
                  <c:v>-243873.85009596334</c:v>
                </c:pt>
                <c:pt idx="791">
                  <c:v>-244702.9237734722</c:v>
                </c:pt>
                <c:pt idx="792">
                  <c:v>-245527.03432709535</c:v>
                </c:pt>
                <c:pt idx="793">
                  <c:v>-246346.21839786725</c:v>
                </c:pt>
                <c:pt idx="794">
                  <c:v>-247160.51204380058</c:v>
                </c:pt>
                <c:pt idx="795">
                  <c:v>-247969.95075286151</c:v>
                </c:pt>
                <c:pt idx="796">
                  <c:v>-248774.56945556888</c:v>
                </c:pt>
                <c:pt idx="797">
                  <c:v>-249574.40253723008</c:v>
                </c:pt>
                <c:pt idx="798">
                  <c:v>-250369.4838498265</c:v>
                </c:pt>
                <c:pt idx="799">
                  <c:v>-251159.84672356123</c:v>
                </c:pt>
                <c:pt idx="800">
                  <c:v>-251945.52397808037</c:v>
                </c:pt>
                <c:pt idx="801">
                  <c:v>-252726.5479333793</c:v>
                </c:pt>
                <c:pt idx="802">
                  <c:v>-253502.95042040505</c:v>
                </c:pt>
                <c:pt idx="803">
                  <c:v>-254274.76279136463</c:v>
                </c:pt>
                <c:pt idx="804">
                  <c:v>-255042.0159297499</c:v>
                </c:pt>
                <c:pt idx="805">
                  <c:v>-255804.740260088</c:v>
                </c:pt>
                <c:pt idx="806">
                  <c:v>-256562.96575742683</c:v>
                </c:pt>
                <c:pt idx="807">
                  <c:v>-257316.72195656435</c:v>
                </c:pt>
                <c:pt idx="808">
                  <c:v>-258066.03796103018</c:v>
                </c:pt>
                <c:pt idx="809">
                  <c:v>-258810.94245182746</c:v>
                </c:pt>
                <c:pt idx="810">
                  <c:v>-259551.46369594324</c:v>
                </c:pt>
                <c:pt idx="811">
                  <c:v>-260287.62955463436</c:v>
                </c:pt>
                <c:pt idx="812">
                  <c:v>-261019.46749149653</c:v>
                </c:pt>
                <c:pt idx="813">
                  <c:v>-261747.00458032321</c:v>
                </c:pt>
                <c:pt idx="814">
                  <c:v>-262470.26751276141</c:v>
                </c:pt>
                <c:pt idx="815">
                  <c:v>-263189.28260577022</c:v>
                </c:pt>
                <c:pt idx="816">
                  <c:v>-263904.07580888917</c:v>
                </c:pt>
                <c:pt idx="817">
                  <c:v>-264614.67271132121</c:v>
                </c:pt>
                <c:pt idx="818">
                  <c:v>-265321.09854883736</c:v>
                </c:pt>
                <c:pt idx="819">
                  <c:v>-266023.37821050745</c:v>
                </c:pt>
                <c:pt idx="820">
                  <c:v>-266721.53624526307</c:v>
                </c:pt>
                <c:pt idx="821">
                  <c:v>-267415.59686829743</c:v>
                </c:pt>
                <c:pt idx="822">
                  <c:v>-268105.58396730723</c:v>
                </c:pt>
                <c:pt idx="823">
                  <c:v>-268791.52110858134</c:v>
                </c:pt>
                <c:pt idx="824">
                  <c:v>-269473.43154294073</c:v>
                </c:pt>
                <c:pt idx="825">
                  <c:v>-270151.33821153449</c:v>
                </c:pt>
                <c:pt idx="826">
                  <c:v>-270825.26375149563</c:v>
                </c:pt>
                <c:pt idx="827">
                  <c:v>-271495.23050146142</c:v>
                </c:pt>
                <c:pt idx="828">
                  <c:v>-272161.26050696184</c:v>
                </c:pt>
                <c:pt idx="829">
                  <c:v>-272823.37552568008</c:v>
                </c:pt>
                <c:pt idx="830">
                  <c:v>-273481.59703258873</c:v>
                </c:pt>
                <c:pt idx="831">
                  <c:v>-274135.94622496574</c:v>
                </c:pt>
                <c:pt idx="832">
                  <c:v>-274786.44402729277</c:v>
                </c:pt>
                <c:pt idx="833">
                  <c:v>-275433.11109604029</c:v>
                </c:pt>
                <c:pt idx="834">
                  <c:v>-276075.96782434144</c:v>
                </c:pt>
                <c:pt idx="835">
                  <c:v>-276715.03434655903</c:v>
                </c:pt>
                <c:pt idx="836">
                  <c:v>-277350.33054274792</c:v>
                </c:pt>
                <c:pt idx="837">
                  <c:v>-277981.87604301592</c:v>
                </c:pt>
                <c:pt idx="838">
                  <c:v>-278609.69023178599</c:v>
                </c:pt>
                <c:pt idx="839">
                  <c:v>-279233.79225196264</c:v>
                </c:pt>
                <c:pt idx="840">
                  <c:v>-279854.20100900478</c:v>
                </c:pt>
                <c:pt idx="841">
                  <c:v>-280470.93517490826</c:v>
                </c:pt>
                <c:pt idx="842">
                  <c:v>-281084.01319209958</c:v>
                </c:pt>
                <c:pt idx="843">
                  <c:v>-281693.45327724429</c:v>
                </c:pt>
                <c:pt idx="844">
                  <c:v>-282299.27342497156</c:v>
                </c:pt>
                <c:pt idx="845">
                  <c:v>-282901.49141151749</c:v>
                </c:pt>
                <c:pt idx="846">
                  <c:v>-283500.12479828909</c:v>
                </c:pt>
                <c:pt idx="847">
                  <c:v>-284095.19093535165</c:v>
                </c:pt>
                <c:pt idx="848">
                  <c:v>-284686.70696484059</c:v>
                </c:pt>
                <c:pt idx="849">
                  <c:v>-285274.68982430093</c:v>
                </c:pt>
                <c:pt idx="850">
                  <c:v>-285859.15624995489</c:v>
                </c:pt>
                <c:pt idx="851">
                  <c:v>-286440.12277990079</c:v>
                </c:pt>
                <c:pt idx="852">
                  <c:v>-287017.60575724428</c:v>
                </c:pt>
                <c:pt idx="853">
                  <c:v>-287591.62133316376</c:v>
                </c:pt>
                <c:pt idx="854">
                  <c:v>-288162.18546991202</c:v>
                </c:pt>
                <c:pt idx="855">
                  <c:v>-288729.31394375506</c:v>
                </c:pt>
                <c:pt idx="856">
                  <c:v>-289293.02234785038</c:v>
                </c:pt>
                <c:pt idx="857">
                  <c:v>-289853.32609506603</c:v>
                </c:pt>
                <c:pt idx="858">
                  <c:v>-290410.24042074173</c:v>
                </c:pt>
                <c:pt idx="859">
                  <c:v>-290963.78038539336</c:v>
                </c:pt>
                <c:pt idx="860">
                  <c:v>-291513.96087736328</c:v>
                </c:pt>
                <c:pt idx="861">
                  <c:v>-292060.79661541618</c:v>
                </c:pt>
                <c:pt idx="862">
                  <c:v>-292604.30215128331</c:v>
                </c:pt>
                <c:pt idx="863">
                  <c:v>-293144.49187215528</c:v>
                </c:pt>
                <c:pt idx="864">
                  <c:v>-293681.3800031257</c:v>
                </c:pt>
                <c:pt idx="865">
                  <c:v>-294214.98060958553</c:v>
                </c:pt>
                <c:pt idx="866">
                  <c:v>-294745.30759957078</c:v>
                </c:pt>
                <c:pt idx="867">
                  <c:v>-295272.37472606369</c:v>
                </c:pt>
                <c:pt idx="868">
                  <c:v>-295796.19558924867</c:v>
                </c:pt>
                <c:pt idx="869">
                  <c:v>-296316.78363872471</c:v>
                </c:pt>
                <c:pt idx="870">
                  <c:v>-296834.1521756741</c:v>
                </c:pt>
                <c:pt idx="871">
                  <c:v>-297348.31435499009</c:v>
                </c:pt>
                <c:pt idx="872">
                  <c:v>-297859.28318736271</c:v>
                </c:pt>
                <c:pt idx="873">
                  <c:v>-298367.07154132507</c:v>
                </c:pt>
                <c:pt idx="874">
                  <c:v>-298871.69214526069</c:v>
                </c:pt>
                <c:pt idx="875">
                  <c:v>-299373.15758937219</c:v>
                </c:pt>
                <c:pt idx="876">
                  <c:v>-299871.48032761313</c:v>
                </c:pt>
                <c:pt idx="877">
                  <c:v>-300366.67267958319</c:v>
                </c:pt>
                <c:pt idx="878">
                  <c:v>-300858.7468323881</c:v>
                </c:pt>
                <c:pt idx="879">
                  <c:v>-301347.71484246419</c:v>
                </c:pt>
                <c:pt idx="880">
                  <c:v>-301833.58863736963</c:v>
                </c:pt>
                <c:pt idx="881">
                  <c:v>-302316.38001754187</c:v>
                </c:pt>
                <c:pt idx="882">
                  <c:v>-302796.10065802309</c:v>
                </c:pt>
                <c:pt idx="883">
                  <c:v>-303272.76211015368</c:v>
                </c:pt>
                <c:pt idx="884">
                  <c:v>-303746.3758032347</c:v>
                </c:pt>
                <c:pt idx="885">
                  <c:v>-304216.95304615994</c:v>
                </c:pt>
                <c:pt idx="886">
                  <c:v>-304684.50502901844</c:v>
                </c:pt>
                <c:pt idx="887">
                  <c:v>-305149.04282466805</c:v>
                </c:pt>
                <c:pt idx="888">
                  <c:v>-305610.57739028049</c:v>
                </c:pt>
                <c:pt idx="889">
                  <c:v>-306069.11956885864</c:v>
                </c:pt>
                <c:pt idx="890">
                  <c:v>-306524.68009072664</c:v>
                </c:pt>
                <c:pt idx="891">
                  <c:v>-306977.26957499364</c:v>
                </c:pt>
                <c:pt idx="892">
                  <c:v>-307426.89853099157</c:v>
                </c:pt>
                <c:pt idx="893">
                  <c:v>-307873.57735968695</c:v>
                </c:pt>
                <c:pt idx="894">
                  <c:v>-308317.31635506859</c:v>
                </c:pt>
                <c:pt idx="895">
                  <c:v>-308758.12570551032</c:v>
                </c:pt>
                <c:pt idx="896">
                  <c:v>-309196.0154951103</c:v>
                </c:pt>
                <c:pt idx="897">
                  <c:v>-309630.99570500659</c:v>
                </c:pt>
                <c:pt idx="898">
                  <c:v>-310063.0762146702</c:v>
                </c:pt>
                <c:pt idx="899">
                  <c:v>-310492.26680317573</c:v>
                </c:pt>
                <c:pt idx="900">
                  <c:v>-310918.57715045003</c:v>
                </c:pt>
                <c:pt idx="901">
                  <c:v>-311342.01683849934</c:v>
                </c:pt>
                <c:pt idx="902">
                  <c:v>-311762.59535261564</c:v>
                </c:pt>
                <c:pt idx="903">
                  <c:v>-312180.3220825622</c:v>
                </c:pt>
                <c:pt idx="904">
                  <c:v>-312595.20632373926</c:v>
                </c:pt>
                <c:pt idx="905">
                  <c:v>-313007.25727832969</c:v>
                </c:pt>
                <c:pt idx="906">
                  <c:v>-313416.48405642557</c:v>
                </c:pt>
                <c:pt idx="907">
                  <c:v>-313822.89567713562</c:v>
                </c:pt>
                <c:pt idx="908">
                  <c:v>-314226.50106967427</c:v>
                </c:pt>
                <c:pt idx="909">
                  <c:v>-314627.3090744323</c:v>
                </c:pt>
                <c:pt idx="910">
                  <c:v>-315025.32844403002</c:v>
                </c:pt>
                <c:pt idx="911">
                  <c:v>-315420.56784435268</c:v>
                </c:pt>
                <c:pt idx="912">
                  <c:v>-315813.03585556877</c:v>
                </c:pt>
                <c:pt idx="913">
                  <c:v>-316202.74097313179</c:v>
                </c:pt>
                <c:pt idx="914">
                  <c:v>-316589.69160876534</c:v>
                </c:pt>
                <c:pt idx="915">
                  <c:v>-316973.89609143214</c:v>
                </c:pt>
                <c:pt idx="916">
                  <c:v>-317355.36266828742</c:v>
                </c:pt>
                <c:pt idx="917">
                  <c:v>-317734.09950561647</c:v>
                </c:pt>
                <c:pt idx="918">
                  <c:v>-318110.11468975741</c:v>
                </c:pt>
                <c:pt idx="919">
                  <c:v>-318483.41622800857</c:v>
                </c:pt>
                <c:pt idx="920">
                  <c:v>-318854.01204952173</c:v>
                </c:pt>
                <c:pt idx="921">
                  <c:v>-319221.91000618075</c:v>
                </c:pt>
                <c:pt idx="922">
                  <c:v>-319587.11787346611</c:v>
                </c:pt>
                <c:pt idx="923">
                  <c:v>-319949.6433513058</c:v>
                </c:pt>
                <c:pt idx="924">
                  <c:v>-320309.49406491267</c:v>
                </c:pt>
                <c:pt idx="925">
                  <c:v>-320666.67756560835</c:v>
                </c:pt>
                <c:pt idx="926">
                  <c:v>-321021.20133163431</c:v>
                </c:pt>
                <c:pt idx="927">
                  <c:v>-321373.0727689499</c:v>
                </c:pt>
                <c:pt idx="928">
                  <c:v>-321722.29921201832</c:v>
                </c:pt>
                <c:pt idx="929">
                  <c:v>-322068.88792457967</c:v>
                </c:pt>
                <c:pt idx="930">
                  <c:v>-322412.84610041225</c:v>
                </c:pt>
                <c:pt idx="931">
                  <c:v>-322754.18086408213</c:v>
                </c:pt>
                <c:pt idx="932">
                  <c:v>-323092.89927168074</c:v>
                </c:pt>
                <c:pt idx="933">
                  <c:v>-323429.00831155118</c:v>
                </c:pt>
                <c:pt idx="934">
                  <c:v>-323762.51490500337</c:v>
                </c:pt>
                <c:pt idx="935">
                  <c:v>-324093.42590701813</c:v>
                </c:pt>
                <c:pt idx="936">
                  <c:v>-324421.74810694042</c:v>
                </c:pt>
                <c:pt idx="937">
                  <c:v>-324747.488229162</c:v>
                </c:pt>
                <c:pt idx="938">
                  <c:v>-325070.65293379361</c:v>
                </c:pt>
                <c:pt idx="939">
                  <c:v>-325391.24881732679</c:v>
                </c:pt>
                <c:pt idx="940">
                  <c:v>-325709.28241328598</c:v>
                </c:pt>
                <c:pt idx="941">
                  <c:v>-326024.7601928704</c:v>
                </c:pt>
                <c:pt idx="942">
                  <c:v>-326337.68856558629</c:v>
                </c:pt>
                <c:pt idx="943">
                  <c:v>-326648.07387986977</c:v>
                </c:pt>
                <c:pt idx="944">
                  <c:v>-326955.92242370005</c:v>
                </c:pt>
                <c:pt idx="945">
                  <c:v>-327261.24042520381</c:v>
                </c:pt>
                <c:pt idx="946">
                  <c:v>-327564.0340532501</c:v>
                </c:pt>
                <c:pt idx="947">
                  <c:v>-327864.30941803672</c:v>
                </c:pt>
                <c:pt idx="948">
                  <c:v>-328162.07257166744</c:v>
                </c:pt>
                <c:pt idx="949">
                  <c:v>-328457.32950872119</c:v>
                </c:pt>
                <c:pt idx="950">
                  <c:v>-328750.08616681234</c:v>
                </c:pt>
                <c:pt idx="951">
                  <c:v>-329040.34842714289</c:v>
                </c:pt>
                <c:pt idx="952">
                  <c:v>-329328.12211504643</c:v>
                </c:pt>
                <c:pt idx="953">
                  <c:v>-329613.41300052404</c:v>
                </c:pt>
                <c:pt idx="954">
                  <c:v>-329896.22679877258</c:v>
                </c:pt>
                <c:pt idx="955">
                  <c:v>-330176.56917070481</c:v>
                </c:pt>
                <c:pt idx="956">
                  <c:v>-330454.44572346233</c:v>
                </c:pt>
                <c:pt idx="957">
                  <c:v>-330729.86201092042</c:v>
                </c:pt>
                <c:pt idx="958">
                  <c:v>-331002.82353418641</c:v>
                </c:pt>
                <c:pt idx="959">
                  <c:v>-331273.33574208972</c:v>
                </c:pt>
                <c:pt idx="960">
                  <c:v>-331541.40403166588</c:v>
                </c:pt>
                <c:pt idx="961">
                  <c:v>-331807.03374863247</c:v>
                </c:pt>
                <c:pt idx="962">
                  <c:v>-332070.23018785904</c:v>
                </c:pt>
                <c:pt idx="963">
                  <c:v>-332330.99859382969</c:v>
                </c:pt>
                <c:pt idx="964">
                  <c:v>-332589.34416109941</c:v>
                </c:pt>
                <c:pt idx="965">
                  <c:v>-332845.27203474328</c:v>
                </c:pt>
                <c:pt idx="966">
                  <c:v>-333098.78731079982</c:v>
                </c:pt>
                <c:pt idx="967">
                  <c:v>-333349.89503670752</c:v>
                </c:pt>
                <c:pt idx="968">
                  <c:v>-333598.60021173541</c:v>
                </c:pt>
                <c:pt idx="969">
                  <c:v>-333844.90778740722</c:v>
                </c:pt>
                <c:pt idx="970">
                  <c:v>-334088.82266791986</c:v>
                </c:pt>
                <c:pt idx="971">
                  <c:v>-334330.34971055546</c:v>
                </c:pt>
                <c:pt idx="972">
                  <c:v>-334569.49372608779</c:v>
                </c:pt>
                <c:pt idx="973">
                  <c:v>-334806.25947918306</c:v>
                </c:pt>
                <c:pt idx="974">
                  <c:v>-335040.65168879466</c:v>
                </c:pt>
                <c:pt idx="975">
                  <c:v>-335272.67502855265</c:v>
                </c:pt>
                <c:pt idx="976">
                  <c:v>-335502.33412714739</c:v>
                </c:pt>
                <c:pt idx="977">
                  <c:v>-335729.63356870809</c:v>
                </c:pt>
                <c:pt idx="978">
                  <c:v>-335954.57789317588</c:v>
                </c:pt>
                <c:pt idx="979">
                  <c:v>-336177.1715966714</c:v>
                </c:pt>
                <c:pt idx="980">
                  <c:v>-336397.41913185746</c:v>
                </c:pt>
                <c:pt idx="981">
                  <c:v>-336615.32490829664</c:v>
                </c:pt>
                <c:pt idx="982">
                  <c:v>-336830.89329280361</c:v>
                </c:pt>
                <c:pt idx="983">
                  <c:v>-337044.12860979268</c:v>
                </c:pt>
                <c:pt idx="984">
                  <c:v>-337255.03514162049</c:v>
                </c:pt>
                <c:pt idx="985">
                  <c:v>-337463.61712892365</c:v>
                </c:pt>
                <c:pt idx="986">
                  <c:v>-337669.878770952</c:v>
                </c:pt>
                <c:pt idx="987">
                  <c:v>-337873.82422589679</c:v>
                </c:pt>
                <c:pt idx="988">
                  <c:v>-338075.45761121472</c:v>
                </c:pt>
                <c:pt idx="989">
                  <c:v>-338274.78300394706</c:v>
                </c:pt>
                <c:pt idx="990">
                  <c:v>-338471.80444103462</c:v>
                </c:pt>
                <c:pt idx="991">
                  <c:v>-338666.52591962798</c:v>
                </c:pt>
                <c:pt idx="992">
                  <c:v>-338858.9513973936</c:v>
                </c:pt>
                <c:pt idx="993">
                  <c:v>-339049.08479281573</c:v>
                </c:pt>
                <c:pt idx="994">
                  <c:v>-339236.92998549377</c:v>
                </c:pt>
                <c:pt idx="995">
                  <c:v>-339422.49081643601</c:v>
                </c:pt>
                <c:pt idx="996">
                  <c:v>-339605.77108834864</c:v>
                </c:pt>
                <c:pt idx="997">
                  <c:v>-339786.77456592134</c:v>
                </c:pt>
                <c:pt idx="998">
                  <c:v>-339965.50497610832</c:v>
                </c:pt>
                <c:pt idx="999">
                  <c:v>-340141.96600840578</c:v>
                </c:pt>
                <c:pt idx="1000">
                  <c:v>-340316.16131512547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CB-426B-A71C-3FDF3B01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291983"/>
        <c:axId val="1559195407"/>
      </c:scatterChart>
      <c:valAx>
        <c:axId val="1739291983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9195407"/>
        <c:crosses val="autoZero"/>
        <c:crossBetween val="midCat"/>
      </c:valAx>
      <c:valAx>
        <c:axId val="1559195407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9291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099476911442402E-2"/>
          <c:y val="2.979068961781272E-2"/>
          <c:w val="0.91702956277545289"/>
          <c:h val="0.9363256263118642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>
              <a:glow rad="63500">
                <a:schemeClr val="accent2">
                  <a:alpha val="40000"/>
                </a:schemeClr>
              </a:glow>
            </a:effectLst>
          </c:spPr>
          <c:marker>
            <c:symbol val="none"/>
          </c:marker>
          <c:xVal>
            <c:numRef>
              <c:f>'Cond. Initiales et trajectoire'!$Z$12:$Z$27</c:f>
              <c:numCache>
                <c:formatCode>General</c:formatCode>
                <c:ptCount val="16"/>
                <c:pt idx="0">
                  <c:v>25000</c:v>
                </c:pt>
                <c:pt idx="1">
                  <c:v>24567.727288213006</c:v>
                </c:pt>
                <c:pt idx="2">
                  <c:v>23345.653031794292</c:v>
                </c:pt>
                <c:pt idx="3">
                  <c:v>21545.084971874738</c:v>
                </c:pt>
                <c:pt idx="4">
                  <c:v>19477.357683661732</c:v>
                </c:pt>
                <c:pt idx="5">
                  <c:v>17500</c:v>
                </c:pt>
                <c:pt idx="6">
                  <c:v>15954.915028125262</c:v>
                </c:pt>
                <c:pt idx="7">
                  <c:v>15109.261996330972</c:v>
                </c:pt>
                <c:pt idx="8">
                  <c:v>15109.261996330972</c:v>
                </c:pt>
                <c:pt idx="9">
                  <c:v>15954.915028125264</c:v>
                </c:pt>
                <c:pt idx="10">
                  <c:v>17500</c:v>
                </c:pt>
                <c:pt idx="11">
                  <c:v>19477.357683661732</c:v>
                </c:pt>
                <c:pt idx="12">
                  <c:v>21545.084971874738</c:v>
                </c:pt>
                <c:pt idx="13">
                  <c:v>23345.653031794289</c:v>
                </c:pt>
                <c:pt idx="14">
                  <c:v>24567.727288213002</c:v>
                </c:pt>
                <c:pt idx="15">
                  <c:v>25000</c:v>
                </c:pt>
              </c:numCache>
            </c:numRef>
          </c:xVal>
          <c:yVal>
            <c:numRef>
              <c:f>'Cond. Initiales et trajectoire'!$AA$12:$AA$27</c:f>
              <c:numCache>
                <c:formatCode>General</c:formatCode>
                <c:ptCount val="16"/>
                <c:pt idx="0">
                  <c:v>7500</c:v>
                </c:pt>
                <c:pt idx="1">
                  <c:v>9533.6832153790001</c:v>
                </c:pt>
                <c:pt idx="2">
                  <c:v>11215.724127386971</c:v>
                </c:pt>
                <c:pt idx="3">
                  <c:v>12255.282581475767</c:v>
                </c:pt>
                <c:pt idx="4">
                  <c:v>12472.609476841368</c:v>
                </c:pt>
                <c:pt idx="5">
                  <c:v>11830.127018922194</c:v>
                </c:pt>
                <c:pt idx="6">
                  <c:v>10438.926261462366</c:v>
                </c:pt>
                <c:pt idx="7">
                  <c:v>8539.5584540887976</c:v>
                </c:pt>
                <c:pt idx="8">
                  <c:v>6460.4415459112024</c:v>
                </c:pt>
                <c:pt idx="9">
                  <c:v>4561.0737385376333</c:v>
                </c:pt>
                <c:pt idx="10">
                  <c:v>3169.8729810778059</c:v>
                </c:pt>
                <c:pt idx="11">
                  <c:v>2527.3905231586332</c:v>
                </c:pt>
                <c:pt idx="12">
                  <c:v>2744.717418524232</c:v>
                </c:pt>
                <c:pt idx="13">
                  <c:v>3784.2758726130273</c:v>
                </c:pt>
                <c:pt idx="14">
                  <c:v>5466.3167846209953</c:v>
                </c:pt>
                <c:pt idx="15">
                  <c:v>7499.9999999999945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F2-4586-AB26-677CA5BF9809}"/>
            </c:ext>
          </c:extLst>
        </c:ser>
        <c:ser>
          <c:idx val="1"/>
          <c:order val="1"/>
          <c:spPr>
            <a:ln w="19050" cap="rnd">
              <a:solidFill>
                <a:schemeClr val="accent5"/>
              </a:solidFill>
              <a:round/>
            </a:ln>
            <a:effectLst>
              <a:glow rad="76200">
                <a:schemeClr val="accent1"/>
              </a:glow>
            </a:effectLst>
          </c:spPr>
          <c:marker>
            <c:symbol val="none"/>
          </c:marker>
          <c:xVal>
            <c:numRef>
              <c:f>'Cond. Initiales et trajectoire'!$AG$12:$AG$27</c:f>
              <c:numCache>
                <c:formatCode>General</c:formatCode>
                <c:ptCount val="16"/>
                <c:pt idx="0">
                  <c:v>-16500</c:v>
                </c:pt>
                <c:pt idx="1">
                  <c:v>-16802.590898250895</c:v>
                </c:pt>
                <c:pt idx="2">
                  <c:v>-17658.042877743996</c:v>
                </c:pt>
                <c:pt idx="3">
                  <c:v>-18918.440519687683</c:v>
                </c:pt>
                <c:pt idx="4">
                  <c:v>-20365.849621436788</c:v>
                </c:pt>
                <c:pt idx="5">
                  <c:v>-21750</c:v>
                </c:pt>
                <c:pt idx="6">
                  <c:v>-22831.559480312317</c:v>
                </c:pt>
                <c:pt idx="7">
                  <c:v>-23423.516602568321</c:v>
                </c:pt>
                <c:pt idx="8">
                  <c:v>-23423.516602568321</c:v>
                </c:pt>
                <c:pt idx="9">
                  <c:v>-22831.559480312317</c:v>
                </c:pt>
                <c:pt idx="10">
                  <c:v>-21750</c:v>
                </c:pt>
                <c:pt idx="11">
                  <c:v>-20365.849621436788</c:v>
                </c:pt>
                <c:pt idx="12">
                  <c:v>-18918.440519687683</c:v>
                </c:pt>
                <c:pt idx="13">
                  <c:v>-17658.042877743999</c:v>
                </c:pt>
                <c:pt idx="14">
                  <c:v>-16802.590898250899</c:v>
                </c:pt>
                <c:pt idx="15">
                  <c:v>-16500</c:v>
                </c:pt>
              </c:numCache>
            </c:numRef>
          </c:xVal>
          <c:yVal>
            <c:numRef>
              <c:f>'Cond. Initiales et trajectoire'!$AH$12:$AH$27</c:f>
              <c:numCache>
                <c:formatCode>General</c:formatCode>
                <c:ptCount val="16"/>
                <c:pt idx="0">
                  <c:v>10000</c:v>
                </c:pt>
                <c:pt idx="1">
                  <c:v>11423.5782507653</c:v>
                </c:pt>
                <c:pt idx="2">
                  <c:v>12601.00688917088</c:v>
                </c:pt>
                <c:pt idx="3">
                  <c:v>13328.697807033037</c:v>
                </c:pt>
                <c:pt idx="4">
                  <c:v>13480.826633788956</c:v>
                </c:pt>
                <c:pt idx="5">
                  <c:v>13031.088913245536</c:v>
                </c:pt>
                <c:pt idx="6">
                  <c:v>12057.248383023656</c:v>
                </c:pt>
                <c:pt idx="7">
                  <c:v>10727.690917862157</c:v>
                </c:pt>
                <c:pt idx="8">
                  <c:v>9272.309082137841</c:v>
                </c:pt>
                <c:pt idx="9">
                  <c:v>7942.751616976343</c:v>
                </c:pt>
                <c:pt idx="10">
                  <c:v>6968.9110867544641</c:v>
                </c:pt>
                <c:pt idx="11">
                  <c:v>6519.1733662110437</c:v>
                </c:pt>
                <c:pt idx="12">
                  <c:v>6671.3021929669621</c:v>
                </c:pt>
                <c:pt idx="13">
                  <c:v>7398.9931108291185</c:v>
                </c:pt>
                <c:pt idx="14">
                  <c:v>8576.4217492346961</c:v>
                </c:pt>
                <c:pt idx="15">
                  <c:v>9999.9999999999964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2F2-4586-AB26-677CA5BF9809}"/>
            </c:ext>
          </c:extLst>
        </c:ser>
        <c:ser>
          <c:idx val="2"/>
          <c:order val="2"/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>
              <a:glow rad="63500">
                <a:schemeClr val="accent6"/>
              </a:glow>
            </a:effectLst>
          </c:spPr>
          <c:marker>
            <c:symbol val="none"/>
          </c:marker>
          <c:xVal>
            <c:numRef>
              <c:f>'Cond. Initiales et trajectoire'!$AN$12:$AN$27</c:f>
              <c:numCache>
                <c:formatCode>General</c:formatCode>
                <c:ptCount val="16"/>
                <c:pt idx="0">
                  <c:v>0</c:v>
                </c:pt>
                <c:pt idx="1">
                  <c:v>-432.27271178699539</c:v>
                </c:pt>
                <c:pt idx="2">
                  <c:v>-1654.3469682057089</c:v>
                </c:pt>
                <c:pt idx="3">
                  <c:v>-3454.9150281252628</c:v>
                </c:pt>
                <c:pt idx="4">
                  <c:v>-5522.6423163382669</c:v>
                </c:pt>
                <c:pt idx="5">
                  <c:v>-7499.9999999999991</c:v>
                </c:pt>
                <c:pt idx="6">
                  <c:v>-9045.0849718747377</c:v>
                </c:pt>
                <c:pt idx="7">
                  <c:v>-9890.7380036690283</c:v>
                </c:pt>
                <c:pt idx="8">
                  <c:v>-9890.7380036690283</c:v>
                </c:pt>
                <c:pt idx="9">
                  <c:v>-9045.0849718747359</c:v>
                </c:pt>
                <c:pt idx="10">
                  <c:v>-7499.9999999999982</c:v>
                </c:pt>
                <c:pt idx="11">
                  <c:v>-5522.6423163382669</c:v>
                </c:pt>
                <c:pt idx="12">
                  <c:v>-3454.9150281252641</c:v>
                </c:pt>
                <c:pt idx="13">
                  <c:v>-1654.3469682057112</c:v>
                </c:pt>
                <c:pt idx="14">
                  <c:v>-432.27271178699721</c:v>
                </c:pt>
                <c:pt idx="15">
                  <c:v>0</c:v>
                </c:pt>
              </c:numCache>
            </c:numRef>
          </c:xVal>
          <c:yVal>
            <c:numRef>
              <c:f>'Cond. Initiales et trajectoire'!$AO$12:$AO$27</c:f>
              <c:numCache>
                <c:formatCode>General</c:formatCode>
                <c:ptCount val="16"/>
                <c:pt idx="0">
                  <c:v>-15000</c:v>
                </c:pt>
                <c:pt idx="1">
                  <c:v>-12966.316784621</c:v>
                </c:pt>
                <c:pt idx="2">
                  <c:v>-11284.275872613029</c:v>
                </c:pt>
                <c:pt idx="3">
                  <c:v>-10244.717418524233</c:v>
                </c:pt>
                <c:pt idx="4">
                  <c:v>-10027.390523158632</c:v>
                </c:pt>
                <c:pt idx="5">
                  <c:v>-10669.872981077806</c:v>
                </c:pt>
                <c:pt idx="6">
                  <c:v>-12061.073738537634</c:v>
                </c:pt>
                <c:pt idx="7">
                  <c:v>-13960.441545911202</c:v>
                </c:pt>
                <c:pt idx="8">
                  <c:v>-16039.558454088798</c:v>
                </c:pt>
                <c:pt idx="9">
                  <c:v>-17938.926261462366</c:v>
                </c:pt>
                <c:pt idx="10">
                  <c:v>-19330.127018922194</c:v>
                </c:pt>
                <c:pt idx="11">
                  <c:v>-19972.609476841368</c:v>
                </c:pt>
                <c:pt idx="12">
                  <c:v>-19755.282581475767</c:v>
                </c:pt>
                <c:pt idx="13">
                  <c:v>-18715.724127386973</c:v>
                </c:pt>
                <c:pt idx="14">
                  <c:v>-17033.683215379006</c:v>
                </c:pt>
                <c:pt idx="15">
                  <c:v>-15000.000000000005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2F2-4586-AB26-677CA5BF9809}"/>
            </c:ext>
          </c:extLst>
        </c:ser>
        <c:ser>
          <c:idx val="4"/>
          <c:order val="3"/>
          <c:tx>
            <c:strRef>
              <c:f>'Simulation en mouvement'!$P$24:$P$39</c:f>
              <c:strCache>
                <c:ptCount val="16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'Simulation en mouvement'!$P$24:$P$39</c:f>
              <c:numCache>
                <c:formatCode>General</c:formatCode>
                <c:ptCount val="16"/>
              </c:numCache>
            </c:numRef>
          </c:xVal>
          <c:yVal>
            <c:numRef>
              <c:f>'Simulation en mouvement'!$Q$24:$Q$39</c:f>
              <c:numCache>
                <c:formatCode>General</c:formatCode>
                <c:ptCount val="1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F0-4459-8116-EB7C9C698FD8}"/>
            </c:ext>
          </c:extLst>
        </c:ser>
        <c:ser>
          <c:idx val="5"/>
          <c:order val="4"/>
          <c:spPr>
            <a:ln w="19050" cap="rnd">
              <a:gradFill>
                <a:gsLst>
                  <a:gs pos="0">
                    <a:srgbClr val="FF0000"/>
                  </a:gs>
                  <a:gs pos="13000">
                    <a:srgbClr val="FFC000"/>
                  </a:gs>
                  <a:gs pos="25000">
                    <a:srgbClr val="FFFF00"/>
                  </a:gs>
                  <a:gs pos="97345">
                    <a:srgbClr val="7030A0"/>
                  </a:gs>
                  <a:gs pos="80000">
                    <a:srgbClr val="0070C0"/>
                  </a:gs>
                  <a:gs pos="64000">
                    <a:srgbClr val="00B0F0"/>
                  </a:gs>
                  <a:gs pos="50000">
                    <a:srgbClr val="00B050"/>
                  </a:gs>
                  <a:gs pos="38000">
                    <a:srgbClr val="92D050"/>
                  </a:gs>
                </a:gsLst>
                <a:lin ang="5400000" scaled="1"/>
              </a:gradFill>
              <a:round/>
            </a:ln>
            <a:effectLst>
              <a:glow rad="381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xVal>
            <c:numRef>
              <c:f>'Simulation en mouvement'!$T$12:$T$16</c:f>
              <c:numCache>
                <c:formatCode>General</c:formatCode>
                <c:ptCount val="5"/>
                <c:pt idx="0">
                  <c:v>30745.101259605581</c:v>
                </c:pt>
                <c:pt idx="1">
                  <c:v>30215.812704338721</c:v>
                </c:pt>
                <c:pt idx="2">
                  <c:v>29248.402756937085</c:v>
                </c:pt>
                <c:pt idx="3">
                  <c:v>27780.405187877059</c:v>
                </c:pt>
                <c:pt idx="4">
                  <c:v>25761.361344867069</c:v>
                </c:pt>
              </c:numCache>
            </c:numRef>
          </c:xVal>
          <c:yVal>
            <c:numRef>
              <c:f>'Simulation en mouvement'!$U$12:$U$16</c:f>
              <c:numCache>
                <c:formatCode>General</c:formatCode>
                <c:ptCount val="5"/>
                <c:pt idx="0">
                  <c:v>15277.624296741045</c:v>
                </c:pt>
                <c:pt idx="1">
                  <c:v>13951.290731552532</c:v>
                </c:pt>
                <c:pt idx="2">
                  <c:v>12370.753548935401</c:v>
                </c:pt>
                <c:pt idx="3">
                  <c:v>10552.98943923074</c:v>
                </c:pt>
                <c:pt idx="4">
                  <c:v>8555.3303777478977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B7-4B92-8CA9-47002B258860}"/>
            </c:ext>
          </c:extLst>
        </c:ser>
        <c:ser>
          <c:idx val="3"/>
          <c:order val="5"/>
          <c:tx>
            <c:strRef>
              <c:f>'Simulation en mouvement'!$M$19:$M$23</c:f>
              <c:strCache>
                <c:ptCount val="5"/>
                <c:pt idx="0">
                  <c:v>31297,25922</c:v>
                </c:pt>
                <c:pt idx="1">
                  <c:v>31399,37647</c:v>
                </c:pt>
                <c:pt idx="2">
                  <c:v>28884,39289</c:v>
                </c:pt>
                <c:pt idx="3">
                  <c:v>30745,10126</c:v>
                </c:pt>
                <c:pt idx="4">
                  <c:v>31297,25922</c:v>
                </c:pt>
              </c:strCache>
            </c:strRef>
          </c:tx>
          <c:spPr>
            <a:ln w="19050" cap="rnd">
              <a:gradFill flip="none" rotWithShape="1">
                <a:gsLst>
                  <a:gs pos="0">
                    <a:schemeClr val="accent4">
                      <a:lumMod val="0"/>
                      <a:lumOff val="100000"/>
                    </a:schemeClr>
                  </a:gs>
                  <a:gs pos="35000">
                    <a:schemeClr val="accent4">
                      <a:lumMod val="0"/>
                      <a:lumOff val="100000"/>
                    </a:schemeClr>
                  </a:gs>
                  <a:gs pos="100000">
                    <a:schemeClr val="accent4">
                      <a:lumMod val="100000"/>
                    </a:schemeClr>
                  </a:gs>
                </a:gsLst>
                <a:lin ang="2700000" scaled="1"/>
                <a:tileRect/>
              </a:gradFill>
              <a:round/>
            </a:ln>
            <a:effectLst>
              <a:glow rad="25400">
                <a:schemeClr val="accent4">
                  <a:alpha val="40000"/>
                </a:schemeClr>
              </a:glow>
            </a:effectLst>
          </c:spPr>
          <c:marker>
            <c:symbol val="none"/>
          </c:marker>
          <c:xVal>
            <c:numRef>
              <c:f>'Simulation en mouvement'!$M$19:$M$23</c:f>
              <c:numCache>
                <c:formatCode>General</c:formatCode>
                <c:ptCount val="5"/>
                <c:pt idx="0">
                  <c:v>31297.259220761265</c:v>
                </c:pt>
                <c:pt idx="1">
                  <c:v>31399.376466295405</c:v>
                </c:pt>
                <c:pt idx="2">
                  <c:v>28884.392885070247</c:v>
                </c:pt>
                <c:pt idx="3">
                  <c:v>30745.101259605581</c:v>
                </c:pt>
                <c:pt idx="4">
                  <c:v>31297.259220761265</c:v>
                </c:pt>
              </c:numCache>
            </c:numRef>
          </c:xVal>
          <c:yVal>
            <c:numRef>
              <c:f>'Simulation en mouvement'!$N$19:$N$23</c:f>
              <c:numCache>
                <c:formatCode>General</c:formatCode>
                <c:ptCount val="5"/>
                <c:pt idx="0">
                  <c:v>12537.620357705118</c:v>
                </c:pt>
                <c:pt idx="1">
                  <c:v>17690.490632432062</c:v>
                </c:pt>
                <c:pt idx="2">
                  <c:v>13191.895564394943</c:v>
                </c:pt>
                <c:pt idx="3">
                  <c:v>15277.624296741045</c:v>
                </c:pt>
                <c:pt idx="4">
                  <c:v>12537.620357705118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E1-42FA-953C-9A549E415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291983"/>
        <c:axId val="1559195407"/>
      </c:scatterChart>
      <c:valAx>
        <c:axId val="1739291983"/>
        <c:scaling>
          <c:orientation val="minMax"/>
          <c:max val="50000"/>
          <c:min val="-50000"/>
        </c:scaling>
        <c:delete val="1"/>
        <c:axPos val="b"/>
        <c:majorGridlines>
          <c:spPr>
            <a:ln w="9525" cap="flat" cmpd="sng" algn="ctr">
              <a:solidFill>
                <a:schemeClr val="bg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crossAx val="1559195407"/>
        <c:crosses val="autoZero"/>
        <c:crossBetween val="midCat"/>
      </c:valAx>
      <c:valAx>
        <c:axId val="1559195407"/>
        <c:scaling>
          <c:orientation val="minMax"/>
          <c:max val="50000"/>
          <c:min val="-50000"/>
        </c:scaling>
        <c:delete val="1"/>
        <c:axPos val="l"/>
        <c:majorGridlines>
          <c:spPr>
            <a:ln w="9525" cap="flat" cmpd="sng" algn="ctr">
              <a:solidFill>
                <a:schemeClr val="bg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crossAx val="1739291983"/>
        <c:crosses val="autoZero"/>
        <c:crossBetween val="midCat"/>
      </c:valAx>
      <c:spPr>
        <a:gradFill flip="none" rotWithShape="1">
          <a:gsLst>
            <a:gs pos="0">
              <a:schemeClr val="tx1">
                <a:lumMod val="75000"/>
                <a:lumOff val="25000"/>
              </a:schemeClr>
            </a:gs>
            <a:gs pos="58000">
              <a:schemeClr val="tx1">
                <a:lumMod val="75000"/>
                <a:lumOff val="25000"/>
              </a:schemeClr>
            </a:gs>
            <a:gs pos="83000">
              <a:schemeClr val="tx1">
                <a:lumMod val="65000"/>
                <a:lumOff val="35000"/>
              </a:schemeClr>
            </a:gs>
            <a:gs pos="100000">
              <a:schemeClr val="bg2">
                <a:lumMod val="25000"/>
              </a:schemeClr>
            </a:gs>
          </a:gsLst>
          <a:path path="rect">
            <a:fillToRect l="100000" t="100000"/>
          </a:path>
          <a:tileRect r="-100000" b="-100000"/>
        </a:gradFill>
        <a:ln w="25400"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750359</xdr:colOff>
      <xdr:row>6</xdr:row>
      <xdr:rowOff>189213</xdr:rowOff>
    </xdr:from>
    <xdr:to>
      <xdr:col>60</xdr:col>
      <xdr:colOff>14553</xdr:colOff>
      <xdr:row>39</xdr:row>
      <xdr:rowOff>33073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0</xdr:row>
          <xdr:rowOff>171450</xdr:rowOff>
        </xdr:from>
        <xdr:to>
          <xdr:col>3</xdr:col>
          <xdr:colOff>19050</xdr:colOff>
          <xdr:row>1</xdr:row>
          <xdr:rowOff>180975</xdr:rowOff>
        </xdr:to>
        <xdr:sp macro="" textlink="">
          <xdr:nvSpPr>
            <xdr:cNvPr id="3075" name="Button 3" descr="Démarrer la simulati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la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3</xdr:row>
          <xdr:rowOff>0</xdr:rowOff>
        </xdr:from>
        <xdr:to>
          <xdr:col>2</xdr:col>
          <xdr:colOff>752475</xdr:colOff>
          <xdr:row>3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760267</xdr:colOff>
      <xdr:row>5</xdr:row>
      <xdr:rowOff>11257</xdr:rowOff>
    </xdr:from>
    <xdr:to>
      <xdr:col>8</xdr:col>
      <xdr:colOff>753341</xdr:colOff>
      <xdr:row>40</xdr:row>
      <xdr:rowOff>164680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61A8C-CA81-4997-BD63-F1354157BFD1}">
  <sheetPr codeName="Feuil2"/>
  <dimension ref="B6:BH1016"/>
  <sheetViews>
    <sheetView topLeftCell="A10" zoomScale="90" zoomScaleNormal="90" workbookViewId="0">
      <selection activeCell="B24" sqref="B24:F24"/>
    </sheetView>
  </sheetViews>
  <sheetFormatPr baseColWidth="10" defaultRowHeight="15" x14ac:dyDescent="0.25"/>
  <cols>
    <col min="21" max="23" width="0" hidden="1" customWidth="1"/>
    <col min="24" max="24" width="11.42578125" hidden="1" customWidth="1"/>
    <col min="25" max="43" width="0" hidden="1" customWidth="1"/>
    <col min="44" max="54" width="0" style="5" hidden="1" customWidth="1"/>
    <col min="55" max="56" width="11.42578125" style="5" hidden="1" customWidth="1"/>
    <col min="57" max="57" width="19.85546875" style="5" hidden="1" customWidth="1"/>
    <col min="58" max="58" width="20.28515625" style="5" hidden="1" customWidth="1"/>
    <col min="59" max="59" width="22.28515625" style="5" hidden="1" customWidth="1"/>
    <col min="60" max="60" width="0" hidden="1" customWidth="1"/>
  </cols>
  <sheetData>
    <row r="6" spans="2:60" x14ac:dyDescent="0.25"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</row>
    <row r="8" spans="2:60" x14ac:dyDescent="0.25">
      <c r="B8" s="22" t="s">
        <v>32</v>
      </c>
      <c r="C8" s="22"/>
      <c r="D8" s="22"/>
      <c r="E8" s="22"/>
      <c r="F8" s="22"/>
      <c r="G8" s="22"/>
      <c r="H8" s="22"/>
      <c r="I8" s="22"/>
      <c r="J8" s="22"/>
      <c r="K8" s="22"/>
    </row>
    <row r="9" spans="2:60" x14ac:dyDescent="0.25">
      <c r="B9" s="49" t="s">
        <v>31</v>
      </c>
      <c r="C9" s="49"/>
      <c r="D9" s="49"/>
      <c r="E9" s="49"/>
      <c r="F9" s="49"/>
      <c r="G9" s="50" t="s">
        <v>37</v>
      </c>
      <c r="H9" s="51">
        <v>0.5</v>
      </c>
      <c r="I9" s="51"/>
      <c r="J9" s="51" t="s">
        <v>33</v>
      </c>
      <c r="K9" s="51"/>
    </row>
    <row r="10" spans="2:60" x14ac:dyDescent="0.25">
      <c r="B10" s="49" t="s">
        <v>30</v>
      </c>
      <c r="C10" s="49"/>
      <c r="D10" s="49"/>
      <c r="E10" s="49"/>
      <c r="F10" s="49"/>
      <c r="G10" s="50" t="s">
        <v>38</v>
      </c>
      <c r="H10" s="51">
        <v>0</v>
      </c>
      <c r="I10" s="51"/>
      <c r="J10" s="51" t="s">
        <v>34</v>
      </c>
      <c r="K10" s="51"/>
      <c r="V10" s="26" t="s">
        <v>3</v>
      </c>
      <c r="W10" s="26"/>
      <c r="X10" s="26"/>
      <c r="Y10" s="26"/>
      <c r="Z10" s="26"/>
      <c r="AA10" s="26"/>
      <c r="AC10" s="27" t="s">
        <v>4</v>
      </c>
      <c r="AD10" s="27"/>
      <c r="AE10" s="27"/>
      <c r="AF10" s="27"/>
      <c r="AG10" s="27"/>
      <c r="AH10" s="27"/>
      <c r="AJ10" s="25" t="s">
        <v>5</v>
      </c>
      <c r="AK10" s="25"/>
      <c r="AL10" s="25"/>
      <c r="AM10" s="25"/>
      <c r="AN10" s="25"/>
      <c r="AO10" s="25"/>
      <c r="AQ10" s="28" t="s">
        <v>44</v>
      </c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</row>
    <row r="11" spans="2:60" x14ac:dyDescent="0.25">
      <c r="B11" s="49" t="s">
        <v>29</v>
      </c>
      <c r="C11" s="49"/>
      <c r="D11" s="49"/>
      <c r="E11" s="49"/>
      <c r="F11" s="49"/>
      <c r="G11" s="50" t="s">
        <v>45</v>
      </c>
      <c r="H11" s="51">
        <v>2</v>
      </c>
      <c r="I11" s="51"/>
      <c r="J11" s="51" t="s">
        <v>35</v>
      </c>
      <c r="K11" s="51"/>
      <c r="V11" s="52" t="s">
        <v>10</v>
      </c>
      <c r="W11" s="52"/>
      <c r="X11" s="52"/>
      <c r="Y11" s="52"/>
      <c r="Z11" s="53" t="s">
        <v>0</v>
      </c>
      <c r="AA11" s="53" t="s">
        <v>1</v>
      </c>
      <c r="AC11" s="54" t="s">
        <v>10</v>
      </c>
      <c r="AD11" s="54"/>
      <c r="AE11" s="54"/>
      <c r="AF11" s="54"/>
      <c r="AG11" s="55" t="s">
        <v>0</v>
      </c>
      <c r="AH11" s="55" t="s">
        <v>1</v>
      </c>
      <c r="AJ11" s="56" t="s">
        <v>10</v>
      </c>
      <c r="AK11" s="56"/>
      <c r="AL11" s="56"/>
      <c r="AM11" s="56"/>
      <c r="AN11" s="57" t="s">
        <v>0</v>
      </c>
      <c r="AO11" s="57" t="s">
        <v>1</v>
      </c>
    </row>
    <row r="12" spans="2:60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V12" s="52">
        <v>0</v>
      </c>
      <c r="W12" s="52"/>
      <c r="X12" s="52">
        <v>0</v>
      </c>
      <c r="Y12" s="52">
        <v>0</v>
      </c>
      <c r="Z12" s="52">
        <f>COS(Y12)*$H$24+$H$23</f>
        <v>25000</v>
      </c>
      <c r="AA12" s="52">
        <f>SIN(Y12)*$H$24+$I$23</f>
        <v>7500</v>
      </c>
      <c r="AC12" s="54">
        <v>0</v>
      </c>
      <c r="AD12" s="54"/>
      <c r="AE12" s="54">
        <v>0</v>
      </c>
      <c r="AF12" s="54">
        <v>0</v>
      </c>
      <c r="AG12" s="54">
        <f>COS(AF12)*$H$32+$H$31</f>
        <v>-16500</v>
      </c>
      <c r="AH12" s="54">
        <f>SIN(AF12)*$H$32+$I$31</f>
        <v>10000</v>
      </c>
      <c r="AJ12" s="56">
        <v>0</v>
      </c>
      <c r="AK12" s="56"/>
      <c r="AL12" s="56">
        <v>0</v>
      </c>
      <c r="AM12" s="56">
        <v>0</v>
      </c>
      <c r="AN12" s="56">
        <f>COS(AM12)*$H$40+$H$39</f>
        <v>0</v>
      </c>
      <c r="AO12" s="56">
        <f>SIN(AM12)*$H$40+$I$39</f>
        <v>-15000</v>
      </c>
      <c r="AQ12" s="28" t="s">
        <v>44</v>
      </c>
      <c r="AR12" s="28"/>
      <c r="AS12" s="28"/>
      <c r="AT12" s="28"/>
      <c r="AU12" s="28"/>
      <c r="AV12" s="28"/>
      <c r="AW12" s="28"/>
      <c r="AX12" s="28"/>
      <c r="AY12" s="26" t="s">
        <v>3</v>
      </c>
      <c r="AZ12" s="26"/>
      <c r="BA12" s="27" t="s">
        <v>4</v>
      </c>
      <c r="BB12" s="27"/>
      <c r="BC12" s="25" t="s">
        <v>5</v>
      </c>
      <c r="BD12" s="25"/>
      <c r="BE12" s="17" t="s">
        <v>3</v>
      </c>
      <c r="BF12" s="18" t="s">
        <v>4</v>
      </c>
      <c r="BG12" s="67" t="s">
        <v>5</v>
      </c>
    </row>
    <row r="13" spans="2:60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V13" s="52">
        <f>(V14-V12)/((COUNT(X12:X27)-1))</f>
        <v>0.41887902047863906</v>
      </c>
      <c r="W13" s="52"/>
      <c r="X13" s="52">
        <v>1</v>
      </c>
      <c r="Y13" s="52">
        <f xml:space="preserve"> Y12+$V$13</f>
        <v>0.41887902047863906</v>
      </c>
      <c r="Z13" s="52">
        <f t="shared" ref="Z13:Z27" si="0">COS(Y13)*$H$24+$H$23</f>
        <v>24567.727288213006</v>
      </c>
      <c r="AA13" s="52">
        <f t="shared" ref="AA13:AA27" si="1">SIN(Y13)*$H$24+$I$23</f>
        <v>9533.6832153790001</v>
      </c>
      <c r="AC13" s="54">
        <f>(AC14-AC12)/((COUNT(AE12:AE27)-1))</f>
        <v>0.41887902047863906</v>
      </c>
      <c r="AD13" s="54"/>
      <c r="AE13" s="54">
        <v>1</v>
      </c>
      <c r="AF13" s="54">
        <f xml:space="preserve"> AF12+$V$13</f>
        <v>0.41887902047863906</v>
      </c>
      <c r="AG13" s="54">
        <f t="shared" ref="AG13:AG27" si="2">COS(AF13)*$H$32+$H$31</f>
        <v>-16802.590898250895</v>
      </c>
      <c r="AH13" s="54">
        <f t="shared" ref="AH13:AH27" si="3">SIN(AF13)*$H$32+$I$31</f>
        <v>11423.5782507653</v>
      </c>
      <c r="AJ13" s="56">
        <f>(AJ14-AJ12)/((COUNT(AL12:AL27)-1))</f>
        <v>0.41887902047863906</v>
      </c>
      <c r="AK13" s="56"/>
      <c r="AL13" s="56">
        <v>1</v>
      </c>
      <c r="AM13" s="56">
        <f xml:space="preserve"> AM12+$V$13</f>
        <v>0.41887902047863906</v>
      </c>
      <c r="AN13" s="56">
        <f t="shared" ref="AN13:AN27" si="4">COS(AM13)*$H$40+$H$39</f>
        <v>-432.27271178699539</v>
      </c>
      <c r="AO13" s="56">
        <f t="shared" ref="AO13:AO27" si="5">SIN(AM13)*$H$40+$I$39</f>
        <v>-12966.316784621</v>
      </c>
    </row>
    <row r="14" spans="2:60" ht="18" x14ac:dyDescent="0.25">
      <c r="B14" s="22" t="s">
        <v>28</v>
      </c>
      <c r="C14" s="22"/>
      <c r="D14" s="22"/>
      <c r="E14" s="22"/>
      <c r="F14" s="22"/>
      <c r="G14" s="22"/>
      <c r="H14" s="22"/>
      <c r="I14" s="22"/>
      <c r="J14" s="22"/>
      <c r="K14" s="22"/>
      <c r="V14" s="52">
        <f>2*PI()</f>
        <v>6.2831853071795862</v>
      </c>
      <c r="W14" s="52"/>
      <c r="X14" s="52">
        <v>2</v>
      </c>
      <c r="Y14" s="52">
        <f t="shared" ref="Y14:Y27" si="6" xml:space="preserve"> Y13+$V$13</f>
        <v>0.83775804095727813</v>
      </c>
      <c r="Z14" s="52">
        <f t="shared" si="0"/>
        <v>23345.653031794292</v>
      </c>
      <c r="AA14" s="52">
        <f t="shared" si="1"/>
        <v>11215.724127386971</v>
      </c>
      <c r="AC14" s="54">
        <f>2*PI()</f>
        <v>6.2831853071795862</v>
      </c>
      <c r="AD14" s="54"/>
      <c r="AE14" s="54">
        <v>2</v>
      </c>
      <c r="AF14" s="54">
        <f t="shared" ref="AF14:AF27" si="7" xml:space="preserve"> AF13+$V$13</f>
        <v>0.83775804095727813</v>
      </c>
      <c r="AG14" s="54">
        <f t="shared" si="2"/>
        <v>-17658.042877743996</v>
      </c>
      <c r="AH14" s="54">
        <f t="shared" si="3"/>
        <v>12601.00688917088</v>
      </c>
      <c r="AJ14" s="56">
        <f>2*PI()</f>
        <v>6.2831853071795862</v>
      </c>
      <c r="AK14" s="56"/>
      <c r="AL14" s="56">
        <v>2</v>
      </c>
      <c r="AM14" s="56">
        <f t="shared" ref="AM14:AM27" si="8" xml:space="preserve"> AM13+$V$13</f>
        <v>0.83775804095727813</v>
      </c>
      <c r="AN14" s="56">
        <f t="shared" si="4"/>
        <v>-1654.3469682057089</v>
      </c>
      <c r="AO14" s="56">
        <f t="shared" si="5"/>
        <v>-11284.275872613029</v>
      </c>
      <c r="AQ14" s="59" t="s">
        <v>59</v>
      </c>
      <c r="AR14" s="60" t="s">
        <v>37</v>
      </c>
      <c r="AS14" s="61" t="s">
        <v>50</v>
      </c>
      <c r="AT14" s="61" t="s">
        <v>51</v>
      </c>
      <c r="AU14" s="61" t="s">
        <v>52</v>
      </c>
      <c r="AV14" s="62" t="s">
        <v>53</v>
      </c>
      <c r="AW14" s="61" t="s">
        <v>54</v>
      </c>
      <c r="AX14" s="63" t="s">
        <v>55</v>
      </c>
      <c r="AY14" s="11" t="s">
        <v>54</v>
      </c>
      <c r="AZ14" s="12" t="s">
        <v>55</v>
      </c>
      <c r="BA14" s="13" t="s">
        <v>54</v>
      </c>
      <c r="BB14" s="13" t="s">
        <v>55</v>
      </c>
      <c r="BC14" s="9" t="s">
        <v>54</v>
      </c>
      <c r="BD14" s="14" t="s">
        <v>46</v>
      </c>
      <c r="BE14" s="12" t="s">
        <v>47</v>
      </c>
      <c r="BF14" s="15" t="s">
        <v>48</v>
      </c>
      <c r="BG14" s="14" t="s">
        <v>49</v>
      </c>
    </row>
    <row r="15" spans="2:60" x14ac:dyDescent="0.25">
      <c r="B15" s="49" t="s">
        <v>27</v>
      </c>
      <c r="C15" s="49"/>
      <c r="D15" s="49"/>
      <c r="E15" s="49"/>
      <c r="F15" s="49"/>
      <c r="G15" s="50" t="s">
        <v>39</v>
      </c>
      <c r="H15" s="51">
        <v>1</v>
      </c>
      <c r="I15" s="51"/>
      <c r="J15" s="51" t="s">
        <v>8</v>
      </c>
      <c r="K15" s="51"/>
      <c r="V15" s="52"/>
      <c r="W15" s="52"/>
      <c r="X15" s="52">
        <v>3</v>
      </c>
      <c r="Y15" s="52">
        <f t="shared" si="6"/>
        <v>1.2566370614359172</v>
      </c>
      <c r="Z15" s="52">
        <f t="shared" si="0"/>
        <v>21545.084971874738</v>
      </c>
      <c r="AA15" s="52">
        <f t="shared" si="1"/>
        <v>12255.282581475767</v>
      </c>
      <c r="AC15" s="54"/>
      <c r="AD15" s="54"/>
      <c r="AE15" s="54">
        <v>3</v>
      </c>
      <c r="AF15" s="54">
        <f t="shared" si="7"/>
        <v>1.2566370614359172</v>
      </c>
      <c r="AG15" s="54">
        <f t="shared" si="2"/>
        <v>-18918.440519687683</v>
      </c>
      <c r="AH15" s="54">
        <f t="shared" si="3"/>
        <v>13328.697807033037</v>
      </c>
      <c r="AJ15" s="56"/>
      <c r="AK15" s="56"/>
      <c r="AL15" s="56">
        <v>3</v>
      </c>
      <c r="AM15" s="56">
        <f t="shared" si="8"/>
        <v>1.2566370614359172</v>
      </c>
      <c r="AN15" s="56">
        <f t="shared" si="4"/>
        <v>-3454.9150281252628</v>
      </c>
      <c r="AO15" s="56">
        <f t="shared" si="5"/>
        <v>-10244.717418524233</v>
      </c>
      <c r="AQ15" s="7">
        <v>0</v>
      </c>
      <c r="AR15" s="58">
        <v>0</v>
      </c>
      <c r="AS15" s="58">
        <f>H16</f>
        <v>0</v>
      </c>
      <c r="AT15" s="58">
        <f>I16</f>
        <v>0</v>
      </c>
      <c r="AU15" s="58">
        <v>0</v>
      </c>
      <c r="AV15" s="58">
        <v>0</v>
      </c>
      <c r="AW15" s="58">
        <f>(AY15+BA15+BC15)</f>
        <v>119.16853330342633</v>
      </c>
      <c r="AX15" s="58">
        <f>(AZ15+BB15+BD15)</f>
        <v>-760.51678598645651</v>
      </c>
      <c r="AY15" s="33">
        <f>$H$27*(($H$23-AS15)/(BE15+$H$28^2)^(3/2))</f>
        <v>798.22179539145645</v>
      </c>
      <c r="AZ15" s="33">
        <f>$H$27*(($I$23-AT15)/(BE15+$H$28^2)^(3/2))</f>
        <v>299.33317327179617</v>
      </c>
      <c r="BA15" s="39">
        <f>$H$35*(($H$31-AS15)/(BF15+$H$36^2)^(3/2))</f>
        <v>-279.23137914452502</v>
      </c>
      <c r="BB15" s="39">
        <f>$H$35*(($I$31-AT15)/(BF15+$H$36^2)^(3/2))</f>
        <v>139.61568957226251</v>
      </c>
      <c r="BC15" s="45">
        <f>$H$43*(($H$39-AS15)/(BG15+$H$44^2)^(3/2))</f>
        <v>-399.8218829435051</v>
      </c>
      <c r="BD15" s="45">
        <f>$H$43*(($I$39-AT15)/(BG15+$H$44^2)^(3/2))</f>
        <v>-1199.4656488305152</v>
      </c>
      <c r="BE15" s="64">
        <f>($H$23-AS15)^2+($I$23-AT15)^2</f>
        <v>456250000</v>
      </c>
      <c r="BF15" s="65">
        <f>($H$31-AS15)^2+($I$31-AT15)^2</f>
        <v>500000000</v>
      </c>
      <c r="BG15" s="66">
        <f>($H$39-AS15)^2+($I$39-AT15)^2</f>
        <v>250000000</v>
      </c>
      <c r="BH15" s="8"/>
    </row>
    <row r="16" spans="2:60" x14ac:dyDescent="0.25">
      <c r="B16" s="49" t="s">
        <v>26</v>
      </c>
      <c r="C16" s="49"/>
      <c r="D16" s="49"/>
      <c r="E16" s="49"/>
      <c r="F16" s="49"/>
      <c r="G16" s="50" t="s">
        <v>40</v>
      </c>
      <c r="H16" s="50">
        <v>0</v>
      </c>
      <c r="I16" s="50">
        <v>0</v>
      </c>
      <c r="J16" s="51" t="s">
        <v>6</v>
      </c>
      <c r="K16" s="51"/>
      <c r="V16" s="52"/>
      <c r="W16" s="52"/>
      <c r="X16" s="52">
        <v>4</v>
      </c>
      <c r="Y16" s="52">
        <f t="shared" si="6"/>
        <v>1.6755160819145563</v>
      </c>
      <c r="Z16" s="52">
        <f t="shared" si="0"/>
        <v>19477.357683661732</v>
      </c>
      <c r="AA16" s="52">
        <f t="shared" si="1"/>
        <v>12472.609476841368</v>
      </c>
      <c r="AC16" s="54"/>
      <c r="AD16" s="54"/>
      <c r="AE16" s="54">
        <v>4</v>
      </c>
      <c r="AF16" s="54">
        <f t="shared" si="7"/>
        <v>1.6755160819145563</v>
      </c>
      <c r="AG16" s="54">
        <f t="shared" si="2"/>
        <v>-20365.849621436788</v>
      </c>
      <c r="AH16" s="54">
        <f t="shared" si="3"/>
        <v>13480.826633788956</v>
      </c>
      <c r="AJ16" s="56"/>
      <c r="AK16" s="56"/>
      <c r="AL16" s="56">
        <v>4</v>
      </c>
      <c r="AM16" s="56">
        <f t="shared" si="8"/>
        <v>1.6755160819145563</v>
      </c>
      <c r="AN16" s="56">
        <f t="shared" si="4"/>
        <v>-5522.6423163382669</v>
      </c>
      <c r="AO16" s="56">
        <f t="shared" si="5"/>
        <v>-10027.390523158632</v>
      </c>
      <c r="AQ16" s="7">
        <v>1</v>
      </c>
      <c r="AR16" s="58">
        <f>AR15+$H$9</f>
        <v>0.5</v>
      </c>
      <c r="AS16" s="58">
        <f>AS15+(AU15*$H$9)+(AW15*$H$9^2)*(1/2)</f>
        <v>14.896066662928291</v>
      </c>
      <c r="AT16" s="58">
        <f>AT15+(AV15*$H$9)+(AX15*$H$9^2)*(1/2)</f>
        <v>-95.064598248307064</v>
      </c>
      <c r="AU16" s="58">
        <f>AU15+AW15*$H$9</f>
        <v>59.584266651713165</v>
      </c>
      <c r="AV16" s="58">
        <f>AV15+AX15*$H$9</f>
        <v>-380.25839299322826</v>
      </c>
      <c r="AW16" s="58">
        <f t="shared" ref="AW16:AW79" si="9">(AY16+BA16+BC16)</f>
        <v>112.60116813851005</v>
      </c>
      <c r="AX16" s="58">
        <f>(AZ16+BB16+BD16)</f>
        <v>-763.33122122422583</v>
      </c>
      <c r="AY16" s="33">
        <f t="shared" ref="AY16:AY79" si="10">$H$27*(($H$23-AS16)/(BE16+$H$28^2)^(3/2))</f>
        <v>795.8252382422603</v>
      </c>
      <c r="AZ16" s="33">
        <f t="shared" ref="AZ16:AZ79" si="11">$H$27*(($I$23-AT16)/(BE16+$H$28^2)^(3/2))</f>
        <v>302.44246482420186</v>
      </c>
      <c r="BA16" s="39">
        <f t="shared" ref="BA16:BA79" si="12">$H$35*(($H$31-AS16)/(BF16+$H$36^2)^(3/2))</f>
        <v>-277.53659386448641</v>
      </c>
      <c r="BB16" s="39">
        <f t="shared" ref="BB16:BB79" si="13">$H$35*(($I$31-AT16)/(BF16+$H$36^2)^(3/2))</f>
        <v>139.983232194067</v>
      </c>
      <c r="BC16" s="45">
        <f t="shared" ref="BC16:BC79" si="14">$H$43*(($H$39-AS16)/(BG16+$H$44^2)^(3/2))</f>
        <v>-405.68747623926379</v>
      </c>
      <c r="BD16" s="45">
        <f t="shared" ref="BD16:BD79" si="15">$H$43*(($I$39-AT16)/(BG16+$H$44^2)^(3/2))</f>
        <v>-1205.7569182424947</v>
      </c>
      <c r="BE16" s="64">
        <f t="shared" ref="BE16:BE79" si="16">($H$23-AS16)^2+($I$23-AT16)^2</f>
        <v>457089385.47784966</v>
      </c>
      <c r="BF16" s="65">
        <f t="shared" ref="BF16:BF79" si="17">($H$31-AS16)^2+($I$31-AT16)^2</f>
        <v>502506393.80212539</v>
      </c>
      <c r="BG16" s="66">
        <f t="shared" ref="BG16:BG79" si="18">($H$39-AS16)^2+($I$39-AT16)^2</f>
        <v>247306281.88982221</v>
      </c>
    </row>
    <row r="17" spans="2:59" x14ac:dyDescent="0.25">
      <c r="B17" s="49" t="s">
        <v>25</v>
      </c>
      <c r="C17" s="49"/>
      <c r="D17" s="49"/>
      <c r="E17" s="49"/>
      <c r="F17" s="49"/>
      <c r="G17" s="50" t="s">
        <v>41</v>
      </c>
      <c r="H17" s="50">
        <v>0</v>
      </c>
      <c r="I17" s="50">
        <v>0</v>
      </c>
      <c r="J17" s="51" t="s">
        <v>34</v>
      </c>
      <c r="K17" s="51"/>
      <c r="V17" s="52"/>
      <c r="W17" s="52"/>
      <c r="X17" s="52">
        <v>5</v>
      </c>
      <c r="Y17" s="52">
        <f t="shared" si="6"/>
        <v>2.0943951023931953</v>
      </c>
      <c r="Z17" s="52">
        <f t="shared" si="0"/>
        <v>17500</v>
      </c>
      <c r="AA17" s="52">
        <f t="shared" si="1"/>
        <v>11830.127018922194</v>
      </c>
      <c r="AC17" s="54"/>
      <c r="AD17" s="54"/>
      <c r="AE17" s="54">
        <v>5</v>
      </c>
      <c r="AF17" s="54">
        <f t="shared" si="7"/>
        <v>2.0943951023931953</v>
      </c>
      <c r="AG17" s="54">
        <f t="shared" si="2"/>
        <v>-21750</v>
      </c>
      <c r="AH17" s="54">
        <f t="shared" si="3"/>
        <v>13031.088913245536</v>
      </c>
      <c r="AJ17" s="56"/>
      <c r="AK17" s="56"/>
      <c r="AL17" s="56">
        <v>5</v>
      </c>
      <c r="AM17" s="56">
        <f t="shared" si="8"/>
        <v>2.0943951023931953</v>
      </c>
      <c r="AN17" s="56">
        <f t="shared" si="4"/>
        <v>-7499.9999999999991</v>
      </c>
      <c r="AO17" s="56">
        <f t="shared" si="5"/>
        <v>-10669.872981077806</v>
      </c>
      <c r="AQ17" s="7">
        <v>2</v>
      </c>
      <c r="AR17" s="58">
        <f t="shared" ref="AR17:AR80" si="19">AR16+$H$9</f>
        <v>1</v>
      </c>
      <c r="AS17" s="58">
        <f t="shared" ref="AS17:AS80" si="20">AS16+(AU16*$H$9)+(AW16*$H$9^2)*(1/2)</f>
        <v>58.763346006098629</v>
      </c>
      <c r="AT17" s="58">
        <f t="shared" ref="AT17:AT80" si="21">AT16+(AV16*$H$9)+(AX16*$H$9^2)*(1/2)</f>
        <v>-380.61019739794943</v>
      </c>
      <c r="AU17" s="58">
        <f t="shared" ref="AU17:AU80" si="22">AU16+AW16*$H$9</f>
        <v>115.88485072096819</v>
      </c>
      <c r="AV17" s="58">
        <f t="shared" ref="AV17:AV80" si="23">AV16+AX16*$H$9</f>
        <v>-761.92400360534111</v>
      </c>
      <c r="AW17" s="58">
        <f t="shared" si="9"/>
        <v>92.146298330016918</v>
      </c>
      <c r="AX17" s="58">
        <f t="shared" ref="AX17:AX80" si="24">(AZ17+BB17+BD17)</f>
        <v>-772.07890139735071</v>
      </c>
      <c r="AY17" s="33">
        <f t="shared" si="10"/>
        <v>788.40883777649003</v>
      </c>
      <c r="AZ17" s="33">
        <f t="shared" si="11"/>
        <v>311.57258872687225</v>
      </c>
      <c r="BA17" s="39">
        <f t="shared" si="12"/>
        <v>-272.48950361186826</v>
      </c>
      <c r="BB17" s="39">
        <f t="shared" si="13"/>
        <v>141.01603728429595</v>
      </c>
      <c r="BC17" s="45">
        <f t="shared" si="14"/>
        <v>-423.77303583460485</v>
      </c>
      <c r="BD17" s="45">
        <f t="shared" si="15"/>
        <v>-1224.6675274085189</v>
      </c>
      <c r="BE17" s="64">
        <f t="shared" si="16"/>
        <v>459756936.37392247</v>
      </c>
      <c r="BF17" s="65">
        <f t="shared" si="17"/>
        <v>510111055.04140002</v>
      </c>
      <c r="BG17" s="66">
        <f t="shared" si="18"/>
        <v>239317644.79131964</v>
      </c>
    </row>
    <row r="18" spans="2:59" ht="17.25" x14ac:dyDescent="0.25">
      <c r="B18" s="49" t="s">
        <v>24</v>
      </c>
      <c r="C18" s="49"/>
      <c r="D18" s="49"/>
      <c r="E18" s="49"/>
      <c r="F18" s="49"/>
      <c r="G18" s="50" t="s">
        <v>43</v>
      </c>
      <c r="H18" s="50">
        <v>0</v>
      </c>
      <c r="I18" s="50">
        <v>0</v>
      </c>
      <c r="J18" s="51" t="s">
        <v>36</v>
      </c>
      <c r="K18" s="51"/>
      <c r="V18" s="52"/>
      <c r="W18" s="52"/>
      <c r="X18" s="52">
        <v>6</v>
      </c>
      <c r="Y18" s="52">
        <f t="shared" si="6"/>
        <v>2.5132741228718345</v>
      </c>
      <c r="Z18" s="52">
        <f t="shared" si="0"/>
        <v>15954.915028125262</v>
      </c>
      <c r="AA18" s="52">
        <f t="shared" si="1"/>
        <v>10438.926261462366</v>
      </c>
      <c r="AC18" s="54"/>
      <c r="AD18" s="54"/>
      <c r="AE18" s="54">
        <v>6</v>
      </c>
      <c r="AF18" s="54">
        <f t="shared" si="7"/>
        <v>2.5132741228718345</v>
      </c>
      <c r="AG18" s="54">
        <f t="shared" si="2"/>
        <v>-22831.559480312317</v>
      </c>
      <c r="AH18" s="54">
        <f t="shared" si="3"/>
        <v>12057.248383023656</v>
      </c>
      <c r="AJ18" s="56"/>
      <c r="AK18" s="56"/>
      <c r="AL18" s="56">
        <v>6</v>
      </c>
      <c r="AM18" s="56">
        <f t="shared" si="8"/>
        <v>2.5132741228718345</v>
      </c>
      <c r="AN18" s="56">
        <f t="shared" si="4"/>
        <v>-9045.0849718747377</v>
      </c>
      <c r="AO18" s="56">
        <f t="shared" si="5"/>
        <v>-12061.073738537634</v>
      </c>
      <c r="AQ18" s="7">
        <v>3</v>
      </c>
      <c r="AR18" s="58">
        <f t="shared" si="19"/>
        <v>1.5</v>
      </c>
      <c r="AS18" s="58">
        <f t="shared" si="20"/>
        <v>128.22405865783483</v>
      </c>
      <c r="AT18" s="58">
        <f t="shared" si="21"/>
        <v>-858.08206187528879</v>
      </c>
      <c r="AU18" s="58">
        <f t="shared" si="22"/>
        <v>161.95799988597665</v>
      </c>
      <c r="AV18" s="58">
        <f t="shared" si="23"/>
        <v>-1147.9634543040165</v>
      </c>
      <c r="AW18" s="58">
        <f t="shared" si="9"/>
        <v>55.493464814631807</v>
      </c>
      <c r="AX18" s="58">
        <f t="shared" si="24"/>
        <v>-787.69775044318101</v>
      </c>
      <c r="AY18" s="33">
        <f t="shared" si="10"/>
        <v>775.27663424571824</v>
      </c>
      <c r="AZ18" s="33">
        <f t="shared" si="11"/>
        <v>326.0818634835378</v>
      </c>
      <c r="BA18" s="39">
        <f t="shared" si="12"/>
        <v>-264.21336898309431</v>
      </c>
      <c r="BB18" s="39">
        <f t="shared" si="13"/>
        <v>142.52874142808358</v>
      </c>
      <c r="BC18" s="45">
        <f t="shared" si="14"/>
        <v>-455.56980044799212</v>
      </c>
      <c r="BD18" s="45">
        <f t="shared" si="15"/>
        <v>-1256.3083553548024</v>
      </c>
      <c r="BE18" s="64">
        <f t="shared" si="16"/>
        <v>464745014.81594682</v>
      </c>
      <c r="BF18" s="65">
        <f t="shared" si="17"/>
        <v>523043349.81794995</v>
      </c>
      <c r="BG18" s="66">
        <f t="shared" si="18"/>
        <v>226292524.96445051</v>
      </c>
    </row>
    <row r="19" spans="2:59" x14ac:dyDescent="0.25">
      <c r="B19" s="49" t="s">
        <v>23</v>
      </c>
      <c r="C19" s="49"/>
      <c r="D19" s="49"/>
      <c r="E19" s="49"/>
      <c r="F19" s="49"/>
      <c r="G19" s="50" t="s">
        <v>42</v>
      </c>
      <c r="H19" s="51">
        <v>2500</v>
      </c>
      <c r="I19" s="51"/>
      <c r="J19" s="51" t="s">
        <v>6</v>
      </c>
      <c r="K19" s="51"/>
      <c r="V19" s="52"/>
      <c r="W19" s="52"/>
      <c r="X19" s="52">
        <v>7</v>
      </c>
      <c r="Y19" s="52">
        <f t="shared" si="6"/>
        <v>2.9321531433504737</v>
      </c>
      <c r="Z19" s="52">
        <f t="shared" si="0"/>
        <v>15109.261996330972</v>
      </c>
      <c r="AA19" s="52">
        <f t="shared" si="1"/>
        <v>8539.5584540887976</v>
      </c>
      <c r="AC19" s="54"/>
      <c r="AD19" s="54"/>
      <c r="AE19" s="54">
        <v>7</v>
      </c>
      <c r="AF19" s="54">
        <f t="shared" si="7"/>
        <v>2.9321531433504737</v>
      </c>
      <c r="AG19" s="54">
        <f t="shared" si="2"/>
        <v>-23423.516602568321</v>
      </c>
      <c r="AH19" s="54">
        <f t="shared" si="3"/>
        <v>10727.690917862157</v>
      </c>
      <c r="AJ19" s="56"/>
      <c r="AK19" s="56"/>
      <c r="AL19" s="56">
        <v>7</v>
      </c>
      <c r="AM19" s="56">
        <f t="shared" si="8"/>
        <v>2.9321531433504737</v>
      </c>
      <c r="AN19" s="56">
        <f t="shared" si="4"/>
        <v>-9890.7380036690283</v>
      </c>
      <c r="AO19" s="56">
        <f t="shared" si="5"/>
        <v>-13960.441545911202</v>
      </c>
      <c r="AQ19" s="7">
        <v>4</v>
      </c>
      <c r="AR19" s="58">
        <f t="shared" si="19"/>
        <v>2</v>
      </c>
      <c r="AS19" s="58">
        <f t="shared" si="20"/>
        <v>216.13974170265215</v>
      </c>
      <c r="AT19" s="58">
        <f t="shared" si="21"/>
        <v>-1530.5260078326946</v>
      </c>
      <c r="AU19" s="58">
        <f t="shared" si="22"/>
        <v>189.70473229329255</v>
      </c>
      <c r="AV19" s="58">
        <f t="shared" si="23"/>
        <v>-1541.8123295256071</v>
      </c>
      <c r="AW19" s="58">
        <f t="shared" si="9"/>
        <v>-1.3168566428028043</v>
      </c>
      <c r="AX19" s="58">
        <f t="shared" si="24"/>
        <v>-811.67785049592135</v>
      </c>
      <c r="AY19" s="33">
        <f t="shared" si="10"/>
        <v>755.32322118471393</v>
      </c>
      <c r="AZ19" s="33">
        <f t="shared" si="11"/>
        <v>344.77427075273715</v>
      </c>
      <c r="BA19" s="39">
        <f t="shared" si="12"/>
        <v>-252.93026836046505</v>
      </c>
      <c r="BB19" s="39">
        <f t="shared" si="13"/>
        <v>144.26191522026039</v>
      </c>
      <c r="BC19" s="45">
        <f t="shared" si="14"/>
        <v>-503.70980946705168</v>
      </c>
      <c r="BD19" s="45">
        <f t="shared" si="15"/>
        <v>-1300.7140364689189</v>
      </c>
      <c r="BE19" s="64">
        <f t="shared" si="16"/>
        <v>472951526.69797987</v>
      </c>
      <c r="BF19" s="65">
        <f t="shared" si="17"/>
        <v>541645336.07335556</v>
      </c>
      <c r="BG19" s="66">
        <f t="shared" si="18"/>
        <v>208634843.43064129</v>
      </c>
    </row>
    <row r="20" spans="2:59" x14ac:dyDescent="0.25">
      <c r="H20" s="19"/>
      <c r="I20" s="19"/>
      <c r="J20" s="19"/>
      <c r="K20" s="19"/>
      <c r="V20" s="52"/>
      <c r="W20" s="52"/>
      <c r="X20" s="52">
        <v>8</v>
      </c>
      <c r="Y20" s="52">
        <f t="shared" si="6"/>
        <v>3.351032163829113</v>
      </c>
      <c r="Z20" s="52">
        <f t="shared" si="0"/>
        <v>15109.261996330972</v>
      </c>
      <c r="AA20" s="52">
        <f t="shared" si="1"/>
        <v>6460.4415459112024</v>
      </c>
      <c r="AC20" s="54"/>
      <c r="AD20" s="54"/>
      <c r="AE20" s="54">
        <v>8</v>
      </c>
      <c r="AF20" s="54">
        <f t="shared" si="7"/>
        <v>3.351032163829113</v>
      </c>
      <c r="AG20" s="54">
        <f t="shared" si="2"/>
        <v>-23423.516602568321</v>
      </c>
      <c r="AH20" s="54">
        <f t="shared" si="3"/>
        <v>9272.309082137841</v>
      </c>
      <c r="AJ20" s="56"/>
      <c r="AK20" s="56"/>
      <c r="AL20" s="56">
        <v>8</v>
      </c>
      <c r="AM20" s="56">
        <f t="shared" si="8"/>
        <v>3.351032163829113</v>
      </c>
      <c r="AN20" s="56">
        <f t="shared" si="4"/>
        <v>-9890.7380036690283</v>
      </c>
      <c r="AO20" s="56">
        <f t="shared" si="5"/>
        <v>-16039.558454088798</v>
      </c>
      <c r="AQ20" s="7">
        <v>5</v>
      </c>
      <c r="AR20" s="58">
        <f t="shared" si="19"/>
        <v>2.5</v>
      </c>
      <c r="AS20" s="58">
        <f t="shared" si="20"/>
        <v>310.82750076894808</v>
      </c>
      <c r="AT20" s="58">
        <f t="shared" si="21"/>
        <v>-2402.8919039074885</v>
      </c>
      <c r="AU20" s="58">
        <f t="shared" si="22"/>
        <v>189.04630397189115</v>
      </c>
      <c r="AV20" s="58">
        <f t="shared" si="23"/>
        <v>-1947.6512547735679</v>
      </c>
      <c r="AW20" s="58">
        <f t="shared" si="9"/>
        <v>-83.96420581372297</v>
      </c>
      <c r="AX20" s="58">
        <f t="shared" si="24"/>
        <v>-845.65329638356116</v>
      </c>
      <c r="AY20" s="33">
        <f t="shared" si="10"/>
        <v>727.24210333376709</v>
      </c>
      <c r="AZ20" s="33">
        <f t="shared" si="11"/>
        <v>365.77463768809366</v>
      </c>
      <c r="BA20" s="39">
        <f t="shared" si="12"/>
        <v>-238.95985187350047</v>
      </c>
      <c r="BB20" s="39">
        <f t="shared" si="13"/>
        <v>145.92183464945313</v>
      </c>
      <c r="BC20" s="45">
        <f t="shared" si="14"/>
        <v>-572.24645727398956</v>
      </c>
      <c r="BD20" s="45">
        <f t="shared" si="15"/>
        <v>-1357.3497687211079</v>
      </c>
      <c r="BE20" s="64">
        <f t="shared" si="16"/>
        <v>485730781.76495284</v>
      </c>
      <c r="BF20" s="65">
        <f t="shared" si="17"/>
        <v>566361441.34600604</v>
      </c>
      <c r="BG20" s="66">
        <f t="shared" si="18"/>
        <v>186892021.12756324</v>
      </c>
    </row>
    <row r="21" spans="2:59" ht="18.75" x14ac:dyDescent="0.25">
      <c r="B21" s="23" t="s">
        <v>2</v>
      </c>
      <c r="C21" s="23"/>
      <c r="D21" s="23"/>
      <c r="E21" s="23"/>
      <c r="F21" s="23"/>
      <c r="G21" s="23"/>
      <c r="H21" s="23"/>
      <c r="I21" s="23"/>
      <c r="J21" s="23"/>
      <c r="K21" s="23"/>
      <c r="V21" s="52"/>
      <c r="W21" s="52"/>
      <c r="X21" s="52">
        <v>9</v>
      </c>
      <c r="Y21" s="52">
        <f t="shared" si="6"/>
        <v>3.7699111843077522</v>
      </c>
      <c r="Z21" s="52">
        <f t="shared" si="0"/>
        <v>15954.915028125264</v>
      </c>
      <c r="AA21" s="52">
        <f t="shared" si="1"/>
        <v>4561.0737385376333</v>
      </c>
      <c r="AC21" s="54"/>
      <c r="AD21" s="54"/>
      <c r="AE21" s="54">
        <v>9</v>
      </c>
      <c r="AF21" s="54">
        <f t="shared" si="7"/>
        <v>3.7699111843077522</v>
      </c>
      <c r="AG21" s="54">
        <f t="shared" si="2"/>
        <v>-22831.559480312317</v>
      </c>
      <c r="AH21" s="54">
        <f t="shared" si="3"/>
        <v>7942.751616976343</v>
      </c>
      <c r="AJ21" s="56"/>
      <c r="AK21" s="56"/>
      <c r="AL21" s="56">
        <v>9</v>
      </c>
      <c r="AM21" s="56">
        <f t="shared" si="8"/>
        <v>3.7699111843077522</v>
      </c>
      <c r="AN21" s="56">
        <f t="shared" si="4"/>
        <v>-9045.0849718747359</v>
      </c>
      <c r="AO21" s="56">
        <f t="shared" si="5"/>
        <v>-17938.926261462366</v>
      </c>
      <c r="AQ21" s="7">
        <v>6</v>
      </c>
      <c r="AR21" s="58">
        <f t="shared" si="19"/>
        <v>3</v>
      </c>
      <c r="AS21" s="58">
        <f t="shared" si="20"/>
        <v>394.85512702817829</v>
      </c>
      <c r="AT21" s="58">
        <f t="shared" si="21"/>
        <v>-3482.4241933422177</v>
      </c>
      <c r="AU21" s="58">
        <f t="shared" si="22"/>
        <v>147.06420106502966</v>
      </c>
      <c r="AV21" s="58">
        <f t="shared" si="23"/>
        <v>-2370.4779029653482</v>
      </c>
      <c r="AW21" s="58">
        <f t="shared" si="9"/>
        <v>-199.84481721265149</v>
      </c>
      <c r="AX21" s="58">
        <f t="shared" si="24"/>
        <v>-890.31902387599291</v>
      </c>
      <c r="AY21" s="33">
        <f t="shared" si="10"/>
        <v>689.86190376956449</v>
      </c>
      <c r="AZ21" s="33">
        <f t="shared" si="11"/>
        <v>386.4473387528472</v>
      </c>
      <c r="BA21" s="39">
        <f t="shared" si="12"/>
        <v>-222.70655944156962</v>
      </c>
      <c r="BB21" s="39">
        <f t="shared" si="13"/>
        <v>147.22459592526414</v>
      </c>
      <c r="BC21" s="45">
        <f t="shared" si="14"/>
        <v>-667.00016154064633</v>
      </c>
      <c r="BD21" s="45">
        <f t="shared" si="15"/>
        <v>-1423.9909585541043</v>
      </c>
      <c r="BE21" s="64">
        <f t="shared" si="16"/>
        <v>504975346.65272176</v>
      </c>
      <c r="BF21" s="65">
        <f t="shared" si="17"/>
        <v>597725877.78168714</v>
      </c>
      <c r="BG21" s="66">
        <f t="shared" si="18"/>
        <v>161759014.30373088</v>
      </c>
    </row>
    <row r="22" spans="2:59" x14ac:dyDescent="0.25">
      <c r="B22" s="24" t="s">
        <v>3</v>
      </c>
      <c r="C22" s="24"/>
      <c r="D22" s="24"/>
      <c r="E22" s="24"/>
      <c r="F22" s="24"/>
      <c r="G22" s="24"/>
      <c r="H22" s="24"/>
      <c r="I22" s="24"/>
      <c r="J22" s="24"/>
      <c r="K22" s="24"/>
      <c r="V22" s="52"/>
      <c r="W22" s="52"/>
      <c r="X22" s="52">
        <v>10</v>
      </c>
      <c r="Y22" s="52">
        <f t="shared" si="6"/>
        <v>4.1887902047863914</v>
      </c>
      <c r="Z22" s="52">
        <f t="shared" si="0"/>
        <v>17500</v>
      </c>
      <c r="AA22" s="52">
        <f t="shared" si="1"/>
        <v>3169.8729810778059</v>
      </c>
      <c r="AC22" s="54"/>
      <c r="AD22" s="54"/>
      <c r="AE22" s="54">
        <v>10</v>
      </c>
      <c r="AF22" s="54">
        <f t="shared" si="7"/>
        <v>4.1887902047863914</v>
      </c>
      <c r="AG22" s="54">
        <f t="shared" si="2"/>
        <v>-21750</v>
      </c>
      <c r="AH22" s="54">
        <f t="shared" si="3"/>
        <v>6968.9110867544641</v>
      </c>
      <c r="AJ22" s="56"/>
      <c r="AK22" s="56"/>
      <c r="AL22" s="56">
        <v>10</v>
      </c>
      <c r="AM22" s="56">
        <f t="shared" si="8"/>
        <v>4.1887902047863914</v>
      </c>
      <c r="AN22" s="56">
        <f t="shared" si="4"/>
        <v>-7499.9999999999982</v>
      </c>
      <c r="AO22" s="56">
        <f t="shared" si="5"/>
        <v>-19330.127018922194</v>
      </c>
      <c r="AQ22" s="7">
        <v>7</v>
      </c>
      <c r="AR22" s="58">
        <f t="shared" si="19"/>
        <v>3.5</v>
      </c>
      <c r="AS22" s="58">
        <f t="shared" si="20"/>
        <v>443.40662540911171</v>
      </c>
      <c r="AT22" s="58">
        <f t="shared" si="21"/>
        <v>-4778.9530228093909</v>
      </c>
      <c r="AU22" s="58">
        <f t="shared" si="22"/>
        <v>47.141792458703918</v>
      </c>
      <c r="AV22" s="58">
        <f t="shared" si="23"/>
        <v>-2815.6374149033445</v>
      </c>
      <c r="AW22" s="58">
        <f t="shared" si="9"/>
        <v>-357.75553329731326</v>
      </c>
      <c r="AX22" s="58">
        <f t="shared" si="24"/>
        <v>-942.73052379080013</v>
      </c>
      <c r="AY22" s="33">
        <f t="shared" si="10"/>
        <v>642.60853053385199</v>
      </c>
      <c r="AZ22" s="33">
        <f t="shared" si="11"/>
        <v>403.47313089475165</v>
      </c>
      <c r="BA22" s="39">
        <f t="shared" si="12"/>
        <v>-204.63366046169691</v>
      </c>
      <c r="BB22" s="39">
        <f t="shared" si="13"/>
        <v>147.93382092640462</v>
      </c>
      <c r="BC22" s="45">
        <f t="shared" si="14"/>
        <v>-795.73040336946838</v>
      </c>
      <c r="BD22" s="45">
        <f t="shared" si="15"/>
        <v>-1494.1374756119565</v>
      </c>
      <c r="BE22" s="64">
        <f t="shared" si="16"/>
        <v>533233031.7554521</v>
      </c>
      <c r="BF22" s="65">
        <f t="shared" si="17"/>
        <v>636350326.902228</v>
      </c>
      <c r="BG22" s="66">
        <f t="shared" si="18"/>
        <v>134100476.99948514</v>
      </c>
    </row>
    <row r="23" spans="2:59" ht="18" x14ac:dyDescent="0.35">
      <c r="B23" s="31" t="s">
        <v>11</v>
      </c>
      <c r="C23" s="31"/>
      <c r="D23" s="31"/>
      <c r="E23" s="31"/>
      <c r="F23" s="31"/>
      <c r="G23" s="32" t="s">
        <v>17</v>
      </c>
      <c r="H23" s="33">
        <v>20000</v>
      </c>
      <c r="I23" s="33">
        <v>7500</v>
      </c>
      <c r="J23" s="34" t="s">
        <v>6</v>
      </c>
      <c r="K23" s="34"/>
      <c r="V23" s="52"/>
      <c r="W23" s="52"/>
      <c r="X23" s="52">
        <v>11</v>
      </c>
      <c r="Y23" s="52">
        <f t="shared" si="6"/>
        <v>4.6076692252650302</v>
      </c>
      <c r="Z23" s="52">
        <f t="shared" si="0"/>
        <v>19477.357683661732</v>
      </c>
      <c r="AA23" s="52">
        <f t="shared" si="1"/>
        <v>2527.3905231586332</v>
      </c>
      <c r="AC23" s="54"/>
      <c r="AD23" s="54"/>
      <c r="AE23" s="54">
        <v>11</v>
      </c>
      <c r="AF23" s="54">
        <f t="shared" si="7"/>
        <v>4.6076692252650302</v>
      </c>
      <c r="AG23" s="54">
        <f t="shared" si="2"/>
        <v>-20365.849621436788</v>
      </c>
      <c r="AH23" s="54">
        <f t="shared" si="3"/>
        <v>6519.1733662110437</v>
      </c>
      <c r="AJ23" s="56"/>
      <c r="AK23" s="56"/>
      <c r="AL23" s="56">
        <v>11</v>
      </c>
      <c r="AM23" s="56">
        <f t="shared" si="8"/>
        <v>4.6076692252650302</v>
      </c>
      <c r="AN23" s="56">
        <f t="shared" si="4"/>
        <v>-5522.6423163382669</v>
      </c>
      <c r="AO23" s="56">
        <f t="shared" si="5"/>
        <v>-19972.609476841368</v>
      </c>
      <c r="AQ23" s="7">
        <v>8</v>
      </c>
      <c r="AR23" s="58">
        <f t="shared" si="19"/>
        <v>4</v>
      </c>
      <c r="AS23" s="58">
        <f t="shared" si="20"/>
        <v>422.25807997629948</v>
      </c>
      <c r="AT23" s="58">
        <f t="shared" si="21"/>
        <v>-6304.6130457349136</v>
      </c>
      <c r="AU23" s="58">
        <f t="shared" si="22"/>
        <v>-131.73597418995271</v>
      </c>
      <c r="AV23" s="58">
        <f t="shared" si="23"/>
        <v>-3287.0026767987447</v>
      </c>
      <c r="AW23" s="58">
        <f t="shared" si="9"/>
        <v>-566.40680704753731</v>
      </c>
      <c r="AX23" s="58">
        <f t="shared" si="24"/>
        <v>-989.94508802537348</v>
      </c>
      <c r="AY23" s="33">
        <f t="shared" si="10"/>
        <v>586.01836897302167</v>
      </c>
      <c r="AZ23" s="33">
        <f t="shared" si="11"/>
        <v>413.21194519840094</v>
      </c>
      <c r="BA23" s="39">
        <f t="shared" si="12"/>
        <v>-185.22979369488772</v>
      </c>
      <c r="BB23" s="39">
        <f t="shared" si="13"/>
        <v>147.88277079397079</v>
      </c>
      <c r="BC23" s="45">
        <f t="shared" si="14"/>
        <v>-967.19538232567129</v>
      </c>
      <c r="BD23" s="45">
        <f t="shared" si="15"/>
        <v>-1551.0398040177452</v>
      </c>
      <c r="BE23" s="64">
        <f t="shared" si="16"/>
        <v>573855320.0295279</v>
      </c>
      <c r="BF23" s="65">
        <f t="shared" si="17"/>
        <v>682909031.65630639</v>
      </c>
      <c r="BG23" s="66">
        <f t="shared" si="18"/>
        <v>105010636.97027172</v>
      </c>
    </row>
    <row r="24" spans="2:59" ht="18" x14ac:dyDescent="0.35">
      <c r="B24" s="31" t="s">
        <v>12</v>
      </c>
      <c r="C24" s="31"/>
      <c r="D24" s="31"/>
      <c r="E24" s="31"/>
      <c r="F24" s="31"/>
      <c r="G24" s="32" t="s">
        <v>18</v>
      </c>
      <c r="H24" s="35">
        <v>5000</v>
      </c>
      <c r="I24" s="35"/>
      <c r="J24" s="34" t="s">
        <v>6</v>
      </c>
      <c r="K24" s="34"/>
      <c r="V24" s="52"/>
      <c r="W24" s="52"/>
      <c r="X24" s="52">
        <v>12</v>
      </c>
      <c r="Y24" s="52">
        <f t="shared" si="6"/>
        <v>5.026548245743669</v>
      </c>
      <c r="Z24" s="52">
        <f t="shared" si="0"/>
        <v>21545.084971874738</v>
      </c>
      <c r="AA24" s="52">
        <f t="shared" si="1"/>
        <v>2744.717418524232</v>
      </c>
      <c r="AC24" s="54"/>
      <c r="AD24" s="54"/>
      <c r="AE24" s="54">
        <v>12</v>
      </c>
      <c r="AF24" s="54">
        <f t="shared" si="7"/>
        <v>5.026548245743669</v>
      </c>
      <c r="AG24" s="54">
        <f t="shared" si="2"/>
        <v>-18918.440519687683</v>
      </c>
      <c r="AH24" s="54">
        <f t="shared" si="3"/>
        <v>6671.3021929669621</v>
      </c>
      <c r="AJ24" s="56"/>
      <c r="AK24" s="56"/>
      <c r="AL24" s="56">
        <v>12</v>
      </c>
      <c r="AM24" s="56">
        <f t="shared" si="8"/>
        <v>5.026548245743669</v>
      </c>
      <c r="AN24" s="56">
        <f t="shared" si="4"/>
        <v>-3454.9150281252641</v>
      </c>
      <c r="AO24" s="56">
        <f t="shared" si="5"/>
        <v>-19755.282581475767</v>
      </c>
      <c r="AQ24" s="7">
        <v>9</v>
      </c>
      <c r="AR24" s="58">
        <f t="shared" si="19"/>
        <v>4.5</v>
      </c>
      <c r="AS24" s="58">
        <f t="shared" si="20"/>
        <v>285.58924200038098</v>
      </c>
      <c r="AT24" s="58">
        <f t="shared" si="21"/>
        <v>-8071.857520137457</v>
      </c>
      <c r="AU24" s="58">
        <f t="shared" si="22"/>
        <v>-414.93937771372134</v>
      </c>
      <c r="AV24" s="58">
        <f t="shared" si="23"/>
        <v>-3781.9752208114314</v>
      </c>
      <c r="AW24" s="58">
        <f t="shared" si="9"/>
        <v>-828.77600778486465</v>
      </c>
      <c r="AX24" s="58">
        <f t="shared" si="24"/>
        <v>-995.06934178179381</v>
      </c>
      <c r="AY24" s="33">
        <f t="shared" si="10"/>
        <v>522.13276740854087</v>
      </c>
      <c r="AZ24" s="33">
        <f t="shared" si="11"/>
        <v>412.417959658352</v>
      </c>
      <c r="BA24" s="39">
        <f t="shared" si="12"/>
        <v>-164.98248751021697</v>
      </c>
      <c r="BB24" s="39">
        <f t="shared" si="13"/>
        <v>146.97823031087293</v>
      </c>
      <c r="BC24" s="45">
        <f t="shared" si="14"/>
        <v>-1185.9262876831885</v>
      </c>
      <c r="BD24" s="45">
        <f t="shared" si="15"/>
        <v>-1554.4655317510187</v>
      </c>
      <c r="BE24" s="64">
        <f t="shared" si="16"/>
        <v>631140738.16259265</v>
      </c>
      <c r="BF24" s="65">
        <f t="shared" si="17"/>
        <v>738097165.12331033</v>
      </c>
      <c r="BG24" s="66">
        <f t="shared" si="18"/>
        <v>75936611.856426075</v>
      </c>
    </row>
    <row r="25" spans="2:59" ht="18.75" x14ac:dyDescent="0.35">
      <c r="B25" s="31" t="s">
        <v>13</v>
      </c>
      <c r="C25" s="31"/>
      <c r="D25" s="31"/>
      <c r="E25" s="31"/>
      <c r="F25" s="31"/>
      <c r="G25" s="32" t="s">
        <v>19</v>
      </c>
      <c r="H25" s="35">
        <v>1</v>
      </c>
      <c r="I25" s="35"/>
      <c r="J25" s="34" t="s">
        <v>7</v>
      </c>
      <c r="K25" s="34"/>
      <c r="V25" s="52"/>
      <c r="W25" s="52"/>
      <c r="X25" s="52">
        <v>13</v>
      </c>
      <c r="Y25" s="52">
        <f t="shared" si="6"/>
        <v>5.4454272662223078</v>
      </c>
      <c r="Z25" s="52">
        <f t="shared" si="0"/>
        <v>23345.653031794289</v>
      </c>
      <c r="AA25" s="52">
        <f t="shared" si="1"/>
        <v>3784.2758726130273</v>
      </c>
      <c r="AC25" s="54"/>
      <c r="AD25" s="54"/>
      <c r="AE25" s="54">
        <v>13</v>
      </c>
      <c r="AF25" s="54">
        <f t="shared" si="7"/>
        <v>5.4454272662223078</v>
      </c>
      <c r="AG25" s="54">
        <f t="shared" si="2"/>
        <v>-17658.042877743999</v>
      </c>
      <c r="AH25" s="54">
        <f t="shared" si="3"/>
        <v>7398.9931108291185</v>
      </c>
      <c r="AJ25" s="56"/>
      <c r="AK25" s="56"/>
      <c r="AL25" s="56">
        <v>13</v>
      </c>
      <c r="AM25" s="56">
        <f t="shared" si="8"/>
        <v>5.4454272662223078</v>
      </c>
      <c r="AN25" s="56">
        <f t="shared" si="4"/>
        <v>-1654.3469682057112</v>
      </c>
      <c r="AO25" s="56">
        <f t="shared" si="5"/>
        <v>-18715.724127386973</v>
      </c>
      <c r="AQ25" s="7">
        <v>10</v>
      </c>
      <c r="AR25" s="58">
        <f t="shared" si="19"/>
        <v>5</v>
      </c>
      <c r="AS25" s="58">
        <f t="shared" si="20"/>
        <v>-25.477447829587774</v>
      </c>
      <c r="AT25" s="58">
        <f t="shared" si="21"/>
        <v>-10087.228798265898</v>
      </c>
      <c r="AU25" s="58">
        <f t="shared" si="22"/>
        <v>-829.32738160615372</v>
      </c>
      <c r="AV25" s="58">
        <f t="shared" si="23"/>
        <v>-4279.5098917023279</v>
      </c>
      <c r="AW25" s="58">
        <f t="shared" si="9"/>
        <v>-1123.6291357065465</v>
      </c>
      <c r="AX25" s="58">
        <f t="shared" si="24"/>
        <v>-871.60038634060788</v>
      </c>
      <c r="AY25" s="33">
        <f t="shared" si="10"/>
        <v>454.55698178624539</v>
      </c>
      <c r="AZ25" s="33">
        <f t="shared" si="11"/>
        <v>399.21133772470102</v>
      </c>
      <c r="BA25" s="39">
        <f t="shared" si="12"/>
        <v>-144.38057391759932</v>
      </c>
      <c r="BB25" s="39">
        <f t="shared" si="13"/>
        <v>145.19524132468564</v>
      </c>
      <c r="BC25" s="45">
        <f t="shared" si="14"/>
        <v>-1433.8055435751926</v>
      </c>
      <c r="BD25" s="45">
        <f t="shared" si="15"/>
        <v>-1416.0069653899945</v>
      </c>
      <c r="BE25" s="64">
        <f t="shared" si="16"/>
        <v>710330363.81608462</v>
      </c>
      <c r="BF25" s="65">
        <f t="shared" si="17"/>
        <v>802478311.98104715</v>
      </c>
      <c r="BG25" s="66">
        <f t="shared" si="18"/>
        <v>48881195.502639964</v>
      </c>
    </row>
    <row r="26" spans="2:59" ht="18.75" x14ac:dyDescent="0.35">
      <c r="B26" s="31" t="s">
        <v>14</v>
      </c>
      <c r="C26" s="31"/>
      <c r="D26" s="31"/>
      <c r="E26" s="31"/>
      <c r="F26" s="31"/>
      <c r="G26" s="32" t="s">
        <v>20</v>
      </c>
      <c r="H26" s="35">
        <f>(4/3)*PI()*H24^3</f>
        <v>523598775598.29883</v>
      </c>
      <c r="I26" s="35"/>
      <c r="J26" s="34" t="s">
        <v>9</v>
      </c>
      <c r="K26" s="34"/>
      <c r="V26" s="52"/>
      <c r="W26" s="52"/>
      <c r="X26" s="52">
        <v>14</v>
      </c>
      <c r="Y26" s="52">
        <f t="shared" si="6"/>
        <v>5.8643062867009466</v>
      </c>
      <c r="Z26" s="52">
        <f t="shared" si="0"/>
        <v>24567.727288213002</v>
      </c>
      <c r="AA26" s="52">
        <f t="shared" si="1"/>
        <v>5466.3167846209953</v>
      </c>
      <c r="AC26" s="54"/>
      <c r="AD26" s="54"/>
      <c r="AE26" s="54">
        <v>14</v>
      </c>
      <c r="AF26" s="54">
        <f t="shared" si="7"/>
        <v>5.8643062867009466</v>
      </c>
      <c r="AG26" s="54">
        <f t="shared" si="2"/>
        <v>-16802.590898250899</v>
      </c>
      <c r="AH26" s="54">
        <f t="shared" si="3"/>
        <v>8576.4217492346961</v>
      </c>
      <c r="AJ26" s="56"/>
      <c r="AK26" s="56"/>
      <c r="AL26" s="56">
        <v>14</v>
      </c>
      <c r="AM26" s="56">
        <f t="shared" si="8"/>
        <v>5.8643062867009466</v>
      </c>
      <c r="AN26" s="56">
        <f t="shared" si="4"/>
        <v>-432.27271178699721</v>
      </c>
      <c r="AO26" s="56">
        <f t="shared" si="5"/>
        <v>-17033.683215379006</v>
      </c>
      <c r="AQ26" s="7">
        <v>11</v>
      </c>
      <c r="AR26" s="58">
        <f t="shared" si="19"/>
        <v>5.5</v>
      </c>
      <c r="AS26" s="58">
        <f t="shared" si="20"/>
        <v>-580.59478059598291</v>
      </c>
      <c r="AT26" s="58">
        <f t="shared" si="21"/>
        <v>-12335.933792409638</v>
      </c>
      <c r="AU26" s="58">
        <f t="shared" si="22"/>
        <v>-1391.141949459427</v>
      </c>
      <c r="AV26" s="58">
        <f t="shared" si="23"/>
        <v>-4715.3100848726317</v>
      </c>
      <c r="AW26" s="58">
        <f t="shared" si="9"/>
        <v>-1359.8455053048287</v>
      </c>
      <c r="AX26" s="58">
        <f t="shared" si="24"/>
        <v>-462.32608673715208</v>
      </c>
      <c r="AY26" s="33">
        <f t="shared" si="10"/>
        <v>388.04730664497805</v>
      </c>
      <c r="AZ26" s="33">
        <f t="shared" si="11"/>
        <v>374.00671676359411</v>
      </c>
      <c r="BA26" s="39">
        <f t="shared" si="12"/>
        <v>-123.96839267233051</v>
      </c>
      <c r="BB26" s="39">
        <f t="shared" si="13"/>
        <v>142.58674659684527</v>
      </c>
      <c r="BC26" s="45">
        <f t="shared" si="14"/>
        <v>-1623.9244192774763</v>
      </c>
      <c r="BD26" s="45">
        <f t="shared" si="15"/>
        <v>-978.91955009759147</v>
      </c>
      <c r="BE26" s="64">
        <f t="shared" si="16"/>
        <v>817025150.93995333</v>
      </c>
      <c r="BF26" s="65">
        <f t="shared" si="17"/>
        <v>876007237.45432281</v>
      </c>
      <c r="BG26" s="66">
        <f t="shared" si="18"/>
        <v>26628391.251720358</v>
      </c>
    </row>
    <row r="27" spans="2:59" ht="18" x14ac:dyDescent="0.35">
      <c r="B27" s="31" t="s">
        <v>15</v>
      </c>
      <c r="C27" s="31"/>
      <c r="D27" s="31"/>
      <c r="E27" s="31"/>
      <c r="F27" s="31"/>
      <c r="G27" s="32" t="s">
        <v>21</v>
      </c>
      <c r="H27" s="35">
        <f>H25*H26</f>
        <v>523598775598.29883</v>
      </c>
      <c r="I27" s="35"/>
      <c r="J27" s="34" t="s">
        <v>8</v>
      </c>
      <c r="K27" s="34"/>
      <c r="V27" s="52"/>
      <c r="W27" s="52"/>
      <c r="X27" s="52">
        <v>15</v>
      </c>
      <c r="Y27" s="52">
        <f t="shared" si="6"/>
        <v>6.2831853071795853</v>
      </c>
      <c r="Z27" s="52">
        <f t="shared" si="0"/>
        <v>25000</v>
      </c>
      <c r="AA27" s="52">
        <f t="shared" si="1"/>
        <v>7499.9999999999945</v>
      </c>
      <c r="AC27" s="54"/>
      <c r="AD27" s="54"/>
      <c r="AE27" s="54">
        <v>15</v>
      </c>
      <c r="AF27" s="54">
        <f t="shared" si="7"/>
        <v>6.2831853071795853</v>
      </c>
      <c r="AG27" s="54">
        <f t="shared" si="2"/>
        <v>-16500</v>
      </c>
      <c r="AH27" s="54">
        <f t="shared" si="3"/>
        <v>9999.9999999999964</v>
      </c>
      <c r="AJ27" s="56"/>
      <c r="AK27" s="56"/>
      <c r="AL27" s="56">
        <v>15</v>
      </c>
      <c r="AM27" s="56">
        <f t="shared" si="8"/>
        <v>6.2831853071795853</v>
      </c>
      <c r="AN27" s="56">
        <f t="shared" si="4"/>
        <v>0</v>
      </c>
      <c r="AO27" s="56">
        <f t="shared" si="5"/>
        <v>-15000.000000000005</v>
      </c>
      <c r="AQ27" s="7">
        <v>12</v>
      </c>
      <c r="AR27" s="58">
        <f t="shared" si="19"/>
        <v>6</v>
      </c>
      <c r="AS27" s="58">
        <f t="shared" si="20"/>
        <v>-1446.1464434888001</v>
      </c>
      <c r="AT27" s="58">
        <f t="shared" si="21"/>
        <v>-14751.379595688099</v>
      </c>
      <c r="AU27" s="58">
        <f t="shared" si="22"/>
        <v>-2071.0647021118411</v>
      </c>
      <c r="AV27" s="58">
        <f t="shared" si="23"/>
        <v>-4946.4731282412076</v>
      </c>
      <c r="AW27" s="58">
        <f t="shared" si="9"/>
        <v>-1332.2496091808102</v>
      </c>
      <c r="AX27" s="58">
        <f t="shared" si="24"/>
        <v>370.49150591336121</v>
      </c>
      <c r="AY27" s="33">
        <f t="shared" si="10"/>
        <v>327.66607473698099</v>
      </c>
      <c r="AZ27" s="33">
        <f t="shared" si="11"/>
        <v>339.9688717417705</v>
      </c>
      <c r="BA27" s="39">
        <f t="shared" si="12"/>
        <v>-104.45037905727233</v>
      </c>
      <c r="BB27" s="39">
        <f t="shared" si="13"/>
        <v>139.33983973118018</v>
      </c>
      <c r="BC27" s="45">
        <f t="shared" si="14"/>
        <v>-1555.4653048605189</v>
      </c>
      <c r="BD27" s="45">
        <f t="shared" si="15"/>
        <v>-108.81720555958945</v>
      </c>
      <c r="BE27" s="64">
        <f t="shared" si="16"/>
        <v>955061091.18697202</v>
      </c>
      <c r="BF27" s="65">
        <f t="shared" si="17"/>
        <v>956876273.68630862</v>
      </c>
      <c r="BG27" s="66">
        <f t="shared" si="18"/>
        <v>12691687.206567515</v>
      </c>
    </row>
    <row r="28" spans="2:59" ht="18" x14ac:dyDescent="0.35">
      <c r="B28" s="31" t="s">
        <v>16</v>
      </c>
      <c r="C28" s="31"/>
      <c r="D28" s="31"/>
      <c r="E28" s="31"/>
      <c r="F28" s="31"/>
      <c r="G28" s="36" t="s">
        <v>22</v>
      </c>
      <c r="H28" s="34">
        <f>$H$11*H24</f>
        <v>10000</v>
      </c>
      <c r="I28" s="34"/>
      <c r="J28" s="34" t="s">
        <v>6</v>
      </c>
      <c r="K28" s="34"/>
      <c r="AQ28" s="7">
        <v>13</v>
      </c>
      <c r="AR28" s="58">
        <f t="shared" si="19"/>
        <v>6.5</v>
      </c>
      <c r="AS28" s="58">
        <f t="shared" si="20"/>
        <v>-2648.2099956923216</v>
      </c>
      <c r="AT28" s="58">
        <f t="shared" si="21"/>
        <v>-17178.304721569533</v>
      </c>
      <c r="AU28" s="58">
        <f t="shared" si="22"/>
        <v>-2737.189506702246</v>
      </c>
      <c r="AV28" s="58">
        <f t="shared" si="23"/>
        <v>-4761.2273752845267</v>
      </c>
      <c r="AW28" s="58">
        <f t="shared" si="9"/>
        <v>-872.47773551196713</v>
      </c>
      <c r="AX28" s="58">
        <f t="shared" si="24"/>
        <v>1423.2819869014561</v>
      </c>
      <c r="AY28" s="33">
        <f t="shared" si="10"/>
        <v>277.61756850883444</v>
      </c>
      <c r="AZ28" s="33">
        <f t="shared" si="11"/>
        <v>302.50209411804741</v>
      </c>
      <c r="BA28" s="39">
        <f t="shared" si="12"/>
        <v>-86.745678154182173</v>
      </c>
      <c r="BB28" s="39">
        <f t="shared" si="13"/>
        <v>135.87073573206416</v>
      </c>
      <c r="BC28" s="45">
        <f t="shared" si="14"/>
        <v>-1063.3496258666194</v>
      </c>
      <c r="BD28" s="45">
        <f t="shared" si="15"/>
        <v>984.90915705134466</v>
      </c>
      <c r="BE28" s="64">
        <f t="shared" si="16"/>
        <v>1121960139.9396188</v>
      </c>
      <c r="BF28" s="65">
        <f t="shared" si="17"/>
        <v>1039744863.8920805</v>
      </c>
      <c r="BG28" s="66">
        <f t="shared" si="18"/>
        <v>10275927.684373632</v>
      </c>
    </row>
    <row r="29" spans="2:59" ht="18" x14ac:dyDescent="0.35">
      <c r="B29" s="19"/>
      <c r="C29" s="19"/>
      <c r="D29" s="19"/>
      <c r="E29" s="19"/>
      <c r="F29" s="19"/>
      <c r="G29" s="2"/>
      <c r="H29" s="21"/>
      <c r="I29" s="21"/>
      <c r="J29" s="19"/>
      <c r="K29" s="19"/>
      <c r="AQ29" s="7">
        <v>14</v>
      </c>
      <c r="AR29" s="58">
        <f t="shared" si="19"/>
        <v>7</v>
      </c>
      <c r="AS29" s="58">
        <f t="shared" si="20"/>
        <v>-4125.8644659824404</v>
      </c>
      <c r="AT29" s="58">
        <f t="shared" si="21"/>
        <v>-19381.008160849116</v>
      </c>
      <c r="AU29" s="58">
        <f t="shared" si="22"/>
        <v>-3173.4283744582294</v>
      </c>
      <c r="AV29" s="58">
        <f t="shared" si="23"/>
        <v>-4049.5863818337984</v>
      </c>
      <c r="AW29" s="58">
        <f t="shared" si="9"/>
        <v>-180.17812858232082</v>
      </c>
      <c r="AX29" s="58">
        <f t="shared" si="24"/>
        <v>2146.14213028827</v>
      </c>
      <c r="AY29" s="33">
        <f t="shared" si="10"/>
        <v>239.95577445043651</v>
      </c>
      <c r="AZ29" s="33">
        <f t="shared" si="11"/>
        <v>267.35842524274869</v>
      </c>
      <c r="BA29" s="39">
        <f t="shared" si="12"/>
        <v>-71.766807806764248</v>
      </c>
      <c r="BB29" s="39">
        <f t="shared" si="13"/>
        <v>132.83124371277012</v>
      </c>
      <c r="BC29" s="45">
        <f t="shared" si="14"/>
        <v>-348.36709522599307</v>
      </c>
      <c r="BD29" s="45">
        <f t="shared" si="15"/>
        <v>1745.9524613327512</v>
      </c>
      <c r="BE29" s="64">
        <f t="shared" si="16"/>
        <v>1304645935.9745913</v>
      </c>
      <c r="BF29" s="65">
        <f t="shared" si="17"/>
        <v>1115231819.5002413</v>
      </c>
      <c r="BG29" s="66">
        <f t="shared" si="18"/>
        <v>19957345.43725872</v>
      </c>
    </row>
    <row r="30" spans="2:59" x14ac:dyDescent="0.25">
      <c r="B30" s="20" t="s">
        <v>4</v>
      </c>
      <c r="C30" s="20"/>
      <c r="D30" s="20"/>
      <c r="E30" s="20"/>
      <c r="F30" s="20"/>
      <c r="G30" s="20"/>
      <c r="H30" s="20"/>
      <c r="I30" s="20"/>
      <c r="J30" s="20"/>
      <c r="K30" s="20"/>
      <c r="AQ30" s="7">
        <v>15</v>
      </c>
      <c r="AR30" s="58">
        <f t="shared" si="19"/>
        <v>7.5</v>
      </c>
      <c r="AS30" s="58">
        <f t="shared" si="20"/>
        <v>-5735.1009192843458</v>
      </c>
      <c r="AT30" s="58">
        <f t="shared" si="21"/>
        <v>-21137.533585479981</v>
      </c>
      <c r="AU30" s="58">
        <f t="shared" si="22"/>
        <v>-3263.5174387493898</v>
      </c>
      <c r="AV30" s="58">
        <f t="shared" si="23"/>
        <v>-2976.5153166896635</v>
      </c>
      <c r="AW30" s="58">
        <f t="shared" si="9"/>
        <v>390.98118215131086</v>
      </c>
      <c r="AX30" s="58">
        <f t="shared" si="24"/>
        <v>2346.9237498752987</v>
      </c>
      <c r="AY30" s="33">
        <f t="shared" si="10"/>
        <v>214.0664185468635</v>
      </c>
      <c r="AZ30" s="33">
        <f t="shared" si="11"/>
        <v>238.20906200781644</v>
      </c>
      <c r="BA30" s="39">
        <f t="shared" si="12"/>
        <v>-59.970388456142494</v>
      </c>
      <c r="BB30" s="39">
        <f t="shared" si="13"/>
        <v>130.90383423825355</v>
      </c>
      <c r="BC30" s="45">
        <f t="shared" si="14"/>
        <v>236.88515206058986</v>
      </c>
      <c r="BD30" s="45">
        <f t="shared" si="15"/>
        <v>1977.8108536292286</v>
      </c>
      <c r="BE30" s="64">
        <f t="shared" si="16"/>
        <v>1482403749.1852438</v>
      </c>
      <c r="BF30" s="65">
        <f t="shared" si="17"/>
        <v>1173033343.5698962</v>
      </c>
      <c r="BG30" s="66">
        <f t="shared" si="18"/>
        <v>38209691.874427445</v>
      </c>
    </row>
    <row r="31" spans="2:59" ht="18" x14ac:dyDescent="0.35">
      <c r="B31" s="37" t="s">
        <v>11</v>
      </c>
      <c r="C31" s="37"/>
      <c r="D31" s="37"/>
      <c r="E31" s="37"/>
      <c r="F31" s="37"/>
      <c r="G31" s="38" t="s">
        <v>17</v>
      </c>
      <c r="H31" s="39">
        <v>-20000</v>
      </c>
      <c r="I31" s="39">
        <v>10000</v>
      </c>
      <c r="J31" s="40" t="s">
        <v>6</v>
      </c>
      <c r="K31" s="40"/>
      <c r="AQ31" s="7">
        <v>16</v>
      </c>
      <c r="AR31" s="58">
        <f t="shared" si="19"/>
        <v>8</v>
      </c>
      <c r="AS31" s="58">
        <f t="shared" si="20"/>
        <v>-7317.9869908901264</v>
      </c>
      <c r="AT31" s="58">
        <f t="shared" si="21"/>
        <v>-22332.4257750904</v>
      </c>
      <c r="AU31" s="58">
        <f t="shared" si="22"/>
        <v>-3068.0268476737342</v>
      </c>
      <c r="AV31" s="58">
        <f t="shared" si="23"/>
        <v>-1803.0534417520141</v>
      </c>
      <c r="AW31" s="58">
        <f t="shared" si="9"/>
        <v>751.07099628410379</v>
      </c>
      <c r="AX31" s="58">
        <f t="shared" si="24"/>
        <v>2258.9192906209232</v>
      </c>
      <c r="AY31" s="33">
        <f t="shared" si="10"/>
        <v>197.71080916798957</v>
      </c>
      <c r="AZ31" s="33">
        <f t="shared" si="11"/>
        <v>215.90877253891412</v>
      </c>
      <c r="BA31" s="39">
        <f t="shared" si="12"/>
        <v>-51.215518141821811</v>
      </c>
      <c r="BB31" s="39">
        <f t="shared" si="13"/>
        <v>130.5724838528198</v>
      </c>
      <c r="BC31" s="45">
        <f t="shared" si="14"/>
        <v>604.57570525793608</v>
      </c>
      <c r="BD31" s="45">
        <f t="shared" si="15"/>
        <v>1912.4380342291893</v>
      </c>
      <c r="BE31" s="64">
        <f t="shared" si="16"/>
        <v>1636246040.8607202</v>
      </c>
      <c r="BF31" s="65">
        <f t="shared" si="17"/>
        <v>1206219210.464962</v>
      </c>
      <c r="BG31" s="66">
        <f t="shared" si="18"/>
        <v>59137531.437145911</v>
      </c>
    </row>
    <row r="32" spans="2:59" ht="18" x14ac:dyDescent="0.35">
      <c r="B32" s="37" t="s">
        <v>12</v>
      </c>
      <c r="C32" s="37"/>
      <c r="D32" s="37"/>
      <c r="E32" s="37"/>
      <c r="F32" s="37"/>
      <c r="G32" s="38" t="s">
        <v>18</v>
      </c>
      <c r="H32" s="41">
        <v>3500</v>
      </c>
      <c r="I32" s="41"/>
      <c r="J32" s="40" t="s">
        <v>6</v>
      </c>
      <c r="K32" s="40"/>
      <c r="AQ32" s="7">
        <v>17</v>
      </c>
      <c r="AR32" s="58">
        <f t="shared" si="19"/>
        <v>8.5</v>
      </c>
      <c r="AS32" s="58">
        <f t="shared" si="20"/>
        <v>-8758.1165401914805</v>
      </c>
      <c r="AT32" s="58">
        <f t="shared" si="21"/>
        <v>-22951.587584638793</v>
      </c>
      <c r="AU32" s="58">
        <f t="shared" si="22"/>
        <v>-2692.4913495316823</v>
      </c>
      <c r="AV32" s="58">
        <f t="shared" si="23"/>
        <v>-673.59379644155251</v>
      </c>
      <c r="AW32" s="58">
        <f t="shared" si="9"/>
        <v>976.63452112088919</v>
      </c>
      <c r="AX32" s="58">
        <f t="shared" si="24"/>
        <v>2094.599790931808</v>
      </c>
      <c r="AY32" s="33">
        <f t="shared" si="10"/>
        <v>188.5728080296347</v>
      </c>
      <c r="AZ32" s="33">
        <f t="shared" si="11"/>
        <v>199.67724144139876</v>
      </c>
      <c r="BA32" s="39">
        <f t="shared" si="12"/>
        <v>-45.077783953265161</v>
      </c>
      <c r="BB32" s="39">
        <f t="shared" si="13"/>
        <v>132.12950938051642</v>
      </c>
      <c r="BC32" s="45">
        <f t="shared" si="14"/>
        <v>833.13949704451966</v>
      </c>
      <c r="BD32" s="45">
        <f t="shared" si="15"/>
        <v>1762.7930401098927</v>
      </c>
      <c r="BE32" s="64">
        <f t="shared" si="16"/>
        <v>1754328453.3641624</v>
      </c>
      <c r="BF32" s="65">
        <f t="shared" si="17"/>
        <v>1212187068.0720377</v>
      </c>
      <c r="BG32" s="66">
        <f t="shared" si="18"/>
        <v>77351185.045842588</v>
      </c>
    </row>
    <row r="33" spans="2:59" ht="18.75" x14ac:dyDescent="0.35">
      <c r="B33" s="37" t="s">
        <v>13</v>
      </c>
      <c r="C33" s="37"/>
      <c r="D33" s="37"/>
      <c r="E33" s="37"/>
      <c r="F33" s="37"/>
      <c r="G33" s="38" t="s">
        <v>19</v>
      </c>
      <c r="H33" s="41">
        <v>1</v>
      </c>
      <c r="I33" s="41"/>
      <c r="J33" s="40" t="s">
        <v>7</v>
      </c>
      <c r="K33" s="40"/>
      <c r="AQ33" s="7">
        <v>18</v>
      </c>
      <c r="AR33" s="58">
        <f t="shared" si="19"/>
        <v>9</v>
      </c>
      <c r="AS33" s="58">
        <f t="shared" si="20"/>
        <v>-9982.2828998172117</v>
      </c>
      <c r="AT33" s="58">
        <f t="shared" si="21"/>
        <v>-23026.559508993094</v>
      </c>
      <c r="AU33" s="58">
        <f t="shared" si="22"/>
        <v>-2204.1740889712378</v>
      </c>
      <c r="AV33" s="58">
        <f t="shared" si="23"/>
        <v>373.70609902435149</v>
      </c>
      <c r="AW33" s="58">
        <f t="shared" si="9"/>
        <v>1145.8598133399046</v>
      </c>
      <c r="AX33" s="58">
        <f t="shared" si="24"/>
        <v>1938.4933166347432</v>
      </c>
      <c r="AY33" s="33">
        <f t="shared" si="10"/>
        <v>185.03532360529621</v>
      </c>
      <c r="AZ33" s="33">
        <f t="shared" si="11"/>
        <v>188.3943206118339</v>
      </c>
      <c r="BA33" s="39">
        <f t="shared" si="12"/>
        <v>-41.19761644224095</v>
      </c>
      <c r="BB33" s="39">
        <f t="shared" si="13"/>
        <v>135.8209178250319</v>
      </c>
      <c r="BC33" s="45">
        <f t="shared" si="14"/>
        <v>1002.0221061768492</v>
      </c>
      <c r="BD33" s="45">
        <f t="shared" si="15"/>
        <v>1614.2780781978774</v>
      </c>
      <c r="BE33" s="64">
        <f t="shared" si="16"/>
        <v>1830808123.3407683</v>
      </c>
      <c r="BF33" s="65">
        <f t="shared" si="17"/>
        <v>1191108288.9003568</v>
      </c>
      <c r="BG33" s="66">
        <f t="shared" si="18"/>
        <v>89248800.445218459</v>
      </c>
    </row>
    <row r="34" spans="2:59" ht="18.75" x14ac:dyDescent="0.35">
      <c r="B34" s="37" t="s">
        <v>14</v>
      </c>
      <c r="C34" s="37"/>
      <c r="D34" s="37"/>
      <c r="E34" s="37"/>
      <c r="F34" s="37"/>
      <c r="G34" s="38" t="s">
        <v>20</v>
      </c>
      <c r="H34" s="41">
        <f>(4/3)*PI()*H32^3</f>
        <v>179594380030.21649</v>
      </c>
      <c r="I34" s="41"/>
      <c r="J34" s="40" t="s">
        <v>9</v>
      </c>
      <c r="K34" s="40"/>
      <c r="AQ34" s="7">
        <v>19</v>
      </c>
      <c r="AR34" s="58">
        <f t="shared" si="19"/>
        <v>9.5</v>
      </c>
      <c r="AS34" s="58">
        <f t="shared" si="20"/>
        <v>-10941.137467635343</v>
      </c>
      <c r="AT34" s="58">
        <f t="shared" si="21"/>
        <v>-22597.394794901578</v>
      </c>
      <c r="AU34" s="58">
        <f t="shared" si="22"/>
        <v>-1631.2441823012855</v>
      </c>
      <c r="AV34" s="58">
        <f t="shared" si="23"/>
        <v>1342.9527573417231</v>
      </c>
      <c r="AW34" s="58">
        <f t="shared" si="9"/>
        <v>1306.8356790349101</v>
      </c>
      <c r="AX34" s="58">
        <f t="shared" si="24"/>
        <v>1806.5581552857032</v>
      </c>
      <c r="AY34" s="33">
        <f t="shared" si="10"/>
        <v>186.24546355077959</v>
      </c>
      <c r="AZ34" s="33">
        <f t="shared" si="11"/>
        <v>181.16668306427525</v>
      </c>
      <c r="BA34" s="39">
        <f t="shared" si="12"/>
        <v>-39.450198759995232</v>
      </c>
      <c r="BB34" s="39">
        <f t="shared" si="13"/>
        <v>141.95752492352042</v>
      </c>
      <c r="BC34" s="45">
        <f t="shared" si="14"/>
        <v>1160.0404142441257</v>
      </c>
      <c r="BD34" s="45">
        <f t="shared" si="15"/>
        <v>1483.4339472979075</v>
      </c>
      <c r="BE34" s="64">
        <f t="shared" si="16"/>
        <v>1863207161.2312765</v>
      </c>
      <c r="BF34" s="65">
        <f t="shared" si="17"/>
        <v>1144653137.7949567</v>
      </c>
      <c r="BG34" s="66">
        <f t="shared" si="18"/>
        <v>93017522.078938097</v>
      </c>
    </row>
    <row r="35" spans="2:59" ht="18" x14ac:dyDescent="0.35">
      <c r="B35" s="37" t="s">
        <v>15</v>
      </c>
      <c r="C35" s="37"/>
      <c r="D35" s="37"/>
      <c r="E35" s="37"/>
      <c r="F35" s="37"/>
      <c r="G35" s="38" t="s">
        <v>21</v>
      </c>
      <c r="H35" s="41">
        <f>H33*H34</f>
        <v>179594380030.21649</v>
      </c>
      <c r="I35" s="41"/>
      <c r="J35" s="40" t="s">
        <v>8</v>
      </c>
      <c r="K35" s="40"/>
      <c r="AQ35" s="7">
        <v>20</v>
      </c>
      <c r="AR35" s="58">
        <f t="shared" si="19"/>
        <v>10</v>
      </c>
      <c r="AS35" s="58">
        <f t="shared" si="20"/>
        <v>-11593.405098906622</v>
      </c>
      <c r="AT35" s="58">
        <f t="shared" si="21"/>
        <v>-21700.098646820006</v>
      </c>
      <c r="AU35" s="58">
        <f t="shared" si="22"/>
        <v>-977.82634278383046</v>
      </c>
      <c r="AV35" s="58">
        <f t="shared" si="23"/>
        <v>2246.2318349845746</v>
      </c>
      <c r="AW35" s="58">
        <f t="shared" si="9"/>
        <v>1487.3530527875905</v>
      </c>
      <c r="AX35" s="58">
        <f t="shared" si="24"/>
        <v>1685.4175391133938</v>
      </c>
      <c r="AY35" s="33">
        <f t="shared" si="10"/>
        <v>191.99044231157399</v>
      </c>
      <c r="AZ35" s="33">
        <f t="shared" si="11"/>
        <v>177.44652205718026</v>
      </c>
      <c r="BA35" s="39">
        <f t="shared" si="12"/>
        <v>-40.034536640023397</v>
      </c>
      <c r="BB35" s="39">
        <f t="shared" si="13"/>
        <v>150.96466235138917</v>
      </c>
      <c r="BC35" s="45">
        <f t="shared" si="14"/>
        <v>1335.3971471160398</v>
      </c>
      <c r="BD35" s="45">
        <f t="shared" si="15"/>
        <v>1357.0063547048244</v>
      </c>
      <c r="BE35" s="64">
        <f t="shared" si="16"/>
        <v>1850789006.7276387</v>
      </c>
      <c r="BF35" s="65">
        <f t="shared" si="17"/>
        <v>1075567092.0492089</v>
      </c>
      <c r="BG35" s="66">
        <f t="shared" si="18"/>
        <v>88364312.675407112</v>
      </c>
    </row>
    <row r="36" spans="2:59" ht="18" x14ac:dyDescent="0.35">
      <c r="B36" s="37" t="s">
        <v>16</v>
      </c>
      <c r="C36" s="37"/>
      <c r="D36" s="37"/>
      <c r="E36" s="37"/>
      <c r="F36" s="37"/>
      <c r="G36" s="42" t="s">
        <v>22</v>
      </c>
      <c r="H36" s="40">
        <f>$H$11*H32</f>
        <v>7000</v>
      </c>
      <c r="I36" s="40"/>
      <c r="J36" s="40" t="s">
        <v>6</v>
      </c>
      <c r="K36" s="40"/>
      <c r="AQ36" s="7">
        <v>21</v>
      </c>
      <c r="AR36" s="58">
        <f t="shared" si="19"/>
        <v>10.5</v>
      </c>
      <c r="AS36" s="58">
        <f t="shared" si="20"/>
        <v>-11896.39913870009</v>
      </c>
      <c r="AT36" s="58">
        <f t="shared" si="21"/>
        <v>-20366.305536938544</v>
      </c>
      <c r="AU36" s="58">
        <f t="shared" si="22"/>
        <v>-234.1498163900352</v>
      </c>
      <c r="AV36" s="58">
        <f t="shared" si="23"/>
        <v>3088.9406045412716</v>
      </c>
      <c r="AW36" s="58">
        <f t="shared" si="9"/>
        <v>1700.8398880258594</v>
      </c>
      <c r="AX36" s="58">
        <f t="shared" si="24"/>
        <v>1540.1181431492944</v>
      </c>
      <c r="AY36" s="33">
        <f t="shared" si="10"/>
        <v>202.62864471486998</v>
      </c>
      <c r="AZ36" s="33">
        <f t="shared" si="11"/>
        <v>177.0266198264803</v>
      </c>
      <c r="BA36" s="39">
        <f t="shared" si="12"/>
        <v>-43.59536602562509</v>
      </c>
      <c r="BB36" s="39">
        <f t="shared" si="13"/>
        <v>163.36320450467548</v>
      </c>
      <c r="BC36" s="45">
        <f t="shared" si="14"/>
        <v>1541.8066093366144</v>
      </c>
      <c r="BD36" s="45">
        <f t="shared" si="15"/>
        <v>1199.7283188181386</v>
      </c>
      <c r="BE36" s="64">
        <f t="shared" si="16"/>
        <v>1793911262.2932796</v>
      </c>
      <c r="BF36" s="65">
        <f t="shared" si="17"/>
        <v>987780858.88196504</v>
      </c>
      <c r="BG36" s="66">
        <f t="shared" si="18"/>
        <v>76357556.196040615</v>
      </c>
    </row>
    <row r="37" spans="2:59" ht="18" x14ac:dyDescent="0.35">
      <c r="B37" s="19"/>
      <c r="C37" s="19"/>
      <c r="D37" s="19"/>
      <c r="E37" s="19"/>
      <c r="F37" s="19"/>
      <c r="G37" s="2"/>
      <c r="H37" s="21"/>
      <c r="I37" s="21"/>
      <c r="J37" s="19"/>
      <c r="K37" s="19"/>
      <c r="AQ37" s="7">
        <v>22</v>
      </c>
      <c r="AR37" s="58">
        <f t="shared" si="19"/>
        <v>11</v>
      </c>
      <c r="AS37" s="58">
        <f t="shared" si="20"/>
        <v>-11800.869060891875</v>
      </c>
      <c r="AT37" s="58">
        <f t="shared" si="21"/>
        <v>-18629.320466774247</v>
      </c>
      <c r="AU37" s="58">
        <f t="shared" si="22"/>
        <v>616.27012762289451</v>
      </c>
      <c r="AV37" s="58">
        <f t="shared" si="23"/>
        <v>3858.9996761159186</v>
      </c>
      <c r="AW37" s="58">
        <f t="shared" si="9"/>
        <v>1936.7138635855022</v>
      </c>
      <c r="AX37" s="58">
        <f t="shared" si="24"/>
        <v>1303.6839737957966</v>
      </c>
      <c r="AY37" s="33">
        <f t="shared" si="10"/>
        <v>219.12434986171945</v>
      </c>
      <c r="AZ37" s="33">
        <f t="shared" si="11"/>
        <v>180.04446194999204</v>
      </c>
      <c r="BA37" s="39">
        <f t="shared" si="12"/>
        <v>-51.432973639756554</v>
      </c>
      <c r="BB37" s="39">
        <f t="shared" si="13"/>
        <v>179.59111713514307</v>
      </c>
      <c r="BC37" s="45">
        <f t="shared" si="14"/>
        <v>1769.0224873635393</v>
      </c>
      <c r="BD37" s="45">
        <f t="shared" si="15"/>
        <v>944.04839471066157</v>
      </c>
      <c r="BE37" s="64">
        <f t="shared" si="16"/>
        <v>1694036661.0833778</v>
      </c>
      <c r="BF37" s="65">
        <f t="shared" si="17"/>
        <v>886863738.5458988</v>
      </c>
      <c r="BG37" s="66">
        <f t="shared" si="18"/>
        <v>59423787.033942774</v>
      </c>
    </row>
    <row r="38" spans="2:59" x14ac:dyDescent="0.25">
      <c r="B38" s="29" t="s">
        <v>5</v>
      </c>
      <c r="C38" s="29"/>
      <c r="D38" s="29"/>
      <c r="E38" s="29"/>
      <c r="F38" s="29"/>
      <c r="G38" s="29"/>
      <c r="H38" s="29"/>
      <c r="I38" s="29"/>
      <c r="J38" s="29"/>
      <c r="K38" s="29"/>
      <c r="AQ38" s="7">
        <v>23</v>
      </c>
      <c r="AR38" s="58">
        <f t="shared" si="19"/>
        <v>11.5</v>
      </c>
      <c r="AS38" s="58">
        <f t="shared" si="20"/>
        <v>-11250.644764132239</v>
      </c>
      <c r="AT38" s="58">
        <f t="shared" si="21"/>
        <v>-16536.860131991813</v>
      </c>
      <c r="AU38" s="58">
        <f t="shared" si="22"/>
        <v>1584.6270594156456</v>
      </c>
      <c r="AV38" s="58">
        <f t="shared" si="23"/>
        <v>4510.8416630138172</v>
      </c>
      <c r="AW38" s="58">
        <f t="shared" si="9"/>
        <v>2123.2328115318419</v>
      </c>
      <c r="AX38" s="58">
        <f t="shared" si="24"/>
        <v>864.85220399511343</v>
      </c>
      <c r="AY38" s="33">
        <f t="shared" si="10"/>
        <v>243.16847967313575</v>
      </c>
      <c r="AZ38" s="33">
        <f t="shared" si="11"/>
        <v>187.03635648250159</v>
      </c>
      <c r="BA38" s="39">
        <f t="shared" si="12"/>
        <v>-65.742022733859557</v>
      </c>
      <c r="BB38" s="39">
        <f t="shared" si="13"/>
        <v>199.39604862890548</v>
      </c>
      <c r="BC38" s="45">
        <f t="shared" si="14"/>
        <v>1945.8063545925656</v>
      </c>
      <c r="BD38" s="45">
        <f t="shared" si="15"/>
        <v>478.41979888370633</v>
      </c>
      <c r="BE38" s="64">
        <f t="shared" si="16"/>
        <v>1554373443.1789231</v>
      </c>
      <c r="BF38" s="65">
        <f t="shared" si="17"/>
        <v>780756162.70830309</v>
      </c>
      <c r="BG38" s="66">
        <f t="shared" si="18"/>
        <v>41432499.03267967</v>
      </c>
    </row>
    <row r="39" spans="2:59" ht="18" x14ac:dyDescent="0.35">
      <c r="B39" s="43" t="s">
        <v>11</v>
      </c>
      <c r="C39" s="43"/>
      <c r="D39" s="43"/>
      <c r="E39" s="43"/>
      <c r="F39" s="43"/>
      <c r="G39" s="44" t="s">
        <v>17</v>
      </c>
      <c r="H39" s="45">
        <v>-5000</v>
      </c>
      <c r="I39" s="45">
        <v>-15000</v>
      </c>
      <c r="J39" s="46" t="s">
        <v>6</v>
      </c>
      <c r="K39" s="46"/>
      <c r="AC39" s="4"/>
      <c r="AQ39" s="7">
        <v>24</v>
      </c>
      <c r="AR39" s="58">
        <f t="shared" si="19"/>
        <v>12</v>
      </c>
      <c r="AS39" s="58">
        <f t="shared" si="20"/>
        <v>-10192.927132982937</v>
      </c>
      <c r="AT39" s="58">
        <f t="shared" si="21"/>
        <v>-14173.332774985514</v>
      </c>
      <c r="AU39" s="58">
        <f t="shared" si="22"/>
        <v>2646.2434651815665</v>
      </c>
      <c r="AV39" s="58">
        <f t="shared" si="23"/>
        <v>4943.2677650113737</v>
      </c>
      <c r="AW39" s="58">
        <f t="shared" si="9"/>
        <v>2073.1936642192472</v>
      </c>
      <c r="AX39" s="58">
        <f t="shared" si="24"/>
        <v>119.24291736552686</v>
      </c>
      <c r="AY39" s="33">
        <f t="shared" si="10"/>
        <v>277.28028291677629</v>
      </c>
      <c r="AZ39" s="33">
        <f t="shared" si="11"/>
        <v>199.03959020364456</v>
      </c>
      <c r="BA39" s="39">
        <f t="shared" si="12"/>
        <v>-89.385809070763202</v>
      </c>
      <c r="BB39" s="39">
        <f t="shared" si="13"/>
        <v>220.32597670359678</v>
      </c>
      <c r="BC39" s="45">
        <f t="shared" si="14"/>
        <v>1885.2991903732343</v>
      </c>
      <c r="BD39" s="45">
        <f t="shared" si="15"/>
        <v>-300.12264954171451</v>
      </c>
      <c r="BE39" s="64">
        <f t="shared" si="16"/>
        <v>1381346202.4328785</v>
      </c>
      <c r="BF39" s="65">
        <f t="shared" si="17"/>
        <v>680528695.66917133</v>
      </c>
      <c r="BG39" s="66">
        <f t="shared" si="18"/>
        <v>27649870.909383535</v>
      </c>
    </row>
    <row r="40" spans="2:59" ht="18" x14ac:dyDescent="0.35">
      <c r="B40" s="43" t="s">
        <v>12</v>
      </c>
      <c r="C40" s="43"/>
      <c r="D40" s="43"/>
      <c r="E40" s="43"/>
      <c r="F40" s="43"/>
      <c r="G40" s="44" t="s">
        <v>18</v>
      </c>
      <c r="H40" s="47">
        <v>5000</v>
      </c>
      <c r="I40" s="47"/>
      <c r="J40" s="46" t="s">
        <v>6</v>
      </c>
      <c r="K40" s="46"/>
      <c r="AD40" s="3"/>
      <c r="AE40" s="19"/>
      <c r="AF40" s="19"/>
      <c r="AQ40" s="7">
        <v>25</v>
      </c>
      <c r="AR40" s="58">
        <f t="shared" si="19"/>
        <v>12.5</v>
      </c>
      <c r="AS40" s="58">
        <f t="shared" si="20"/>
        <v>-8610.6561923647478</v>
      </c>
      <c r="AT40" s="58">
        <f t="shared" si="21"/>
        <v>-11686.793527809137</v>
      </c>
      <c r="AU40" s="58">
        <f t="shared" si="22"/>
        <v>3682.8402972911899</v>
      </c>
      <c r="AV40" s="58">
        <f t="shared" si="23"/>
        <v>5002.8892236941374</v>
      </c>
      <c r="AW40" s="58">
        <f t="shared" si="9"/>
        <v>1569.7837907732294</v>
      </c>
      <c r="AX40" s="58">
        <f t="shared" si="24"/>
        <v>-802.93150514278875</v>
      </c>
      <c r="AY40" s="33">
        <f t="shared" si="10"/>
        <v>324.57056064158627</v>
      </c>
      <c r="AZ40" s="33">
        <f t="shared" si="11"/>
        <v>217.66254819060322</v>
      </c>
      <c r="BA40" s="39">
        <f t="shared" si="12"/>
        <v>-123.70581268623712</v>
      </c>
      <c r="BB40" s="39">
        <f t="shared" si="13"/>
        <v>235.55197412846192</v>
      </c>
      <c r="BC40" s="45">
        <f t="shared" si="14"/>
        <v>1368.9190428178802</v>
      </c>
      <c r="BD40" s="45">
        <f t="shared" si="15"/>
        <v>-1256.1460274618539</v>
      </c>
      <c r="BE40" s="64">
        <f t="shared" si="16"/>
        <v>1186702693.6364779</v>
      </c>
      <c r="BF40" s="65">
        <f t="shared" si="17"/>
        <v>600034165.88634384</v>
      </c>
      <c r="BG40" s="66">
        <f t="shared" si="18"/>
        <v>24014175.266829319</v>
      </c>
    </row>
    <row r="41" spans="2:59" ht="18.75" x14ac:dyDescent="0.35">
      <c r="B41" s="43" t="s">
        <v>13</v>
      </c>
      <c r="C41" s="43"/>
      <c r="D41" s="43"/>
      <c r="E41" s="43"/>
      <c r="F41" s="43"/>
      <c r="G41" s="44" t="s">
        <v>19</v>
      </c>
      <c r="H41" s="47">
        <v>1</v>
      </c>
      <c r="I41" s="47"/>
      <c r="J41" s="46" t="s">
        <v>7</v>
      </c>
      <c r="K41" s="46"/>
      <c r="AD41" s="3"/>
      <c r="AE41" s="19"/>
      <c r="AF41" s="19"/>
      <c r="AQ41" s="7">
        <v>26</v>
      </c>
      <c r="AR41" s="58">
        <f t="shared" si="19"/>
        <v>13</v>
      </c>
      <c r="AS41" s="58">
        <f t="shared" si="20"/>
        <v>-6573.0130698724988</v>
      </c>
      <c r="AT41" s="58">
        <f t="shared" si="21"/>
        <v>-9285.7153541049174</v>
      </c>
      <c r="AU41" s="58">
        <f t="shared" si="22"/>
        <v>4467.732192677805</v>
      </c>
      <c r="AV41" s="58">
        <f t="shared" si="23"/>
        <v>4601.4234711227427</v>
      </c>
      <c r="AW41" s="58">
        <f t="shared" si="9"/>
        <v>748.52943409548834</v>
      </c>
      <c r="AX41" s="58">
        <f t="shared" si="24"/>
        <v>-1424.8896959374429</v>
      </c>
      <c r="AY41" s="33">
        <f t="shared" si="10"/>
        <v>387.7615856458354</v>
      </c>
      <c r="AZ41" s="33">
        <f t="shared" si="11"/>
        <v>244.94232493668059</v>
      </c>
      <c r="BA41" s="39">
        <f t="shared" si="12"/>
        <v>-163.57546044041376</v>
      </c>
      <c r="BB41" s="39">
        <f t="shared" si="13"/>
        <v>234.94993965414645</v>
      </c>
      <c r="BC41" s="45">
        <f t="shared" si="14"/>
        <v>524.34330889006674</v>
      </c>
      <c r="BD41" s="45">
        <f t="shared" si="15"/>
        <v>-1904.78196052827</v>
      </c>
      <c r="BE41" s="64">
        <f t="shared" si="16"/>
        <v>987885263.5606482</v>
      </c>
      <c r="BF41" s="65">
        <f t="shared" si="17"/>
        <v>552222794.74137294</v>
      </c>
      <c r="BG41" s="66">
        <f t="shared" si="18"/>
        <v>35127419.132301994</v>
      </c>
    </row>
    <row r="42" spans="2:59" ht="18.75" x14ac:dyDescent="0.35">
      <c r="B42" s="43" t="s">
        <v>14</v>
      </c>
      <c r="C42" s="43"/>
      <c r="D42" s="43"/>
      <c r="E42" s="43"/>
      <c r="F42" s="43"/>
      <c r="G42" s="44" t="s">
        <v>20</v>
      </c>
      <c r="H42" s="47">
        <f>(4/3)*PI()*H40^3</f>
        <v>523598775598.29883</v>
      </c>
      <c r="I42" s="47"/>
      <c r="J42" s="46" t="s">
        <v>9</v>
      </c>
      <c r="K42" s="46"/>
      <c r="AQ42" s="7">
        <v>27</v>
      </c>
      <c r="AR42" s="58">
        <f t="shared" si="19"/>
        <v>13.5</v>
      </c>
      <c r="AS42" s="58">
        <f t="shared" si="20"/>
        <v>-4245.5807942716601</v>
      </c>
      <c r="AT42" s="58">
        <f t="shared" si="21"/>
        <v>-7163.1148305357256</v>
      </c>
      <c r="AU42" s="58">
        <f t="shared" si="22"/>
        <v>4841.9969097255489</v>
      </c>
      <c r="AV42" s="58">
        <f t="shared" si="23"/>
        <v>3888.9786231540211</v>
      </c>
      <c r="AW42" s="58">
        <f t="shared" si="9"/>
        <v>79.81046415227857</v>
      </c>
      <c r="AX42" s="58">
        <f t="shared" si="24"/>
        <v>-1493.2089989348378</v>
      </c>
      <c r="AY42" s="33">
        <f t="shared" si="10"/>
        <v>467.9550227629137</v>
      </c>
      <c r="AZ42" s="33">
        <f t="shared" si="11"/>
        <v>283.00737740709127</v>
      </c>
      <c r="BA42" s="39">
        <f t="shared" si="12"/>
        <v>-196.54457476120638</v>
      </c>
      <c r="BB42" s="39">
        <f t="shared" si="13"/>
        <v>214.11878545918432</v>
      </c>
      <c r="BC42" s="45">
        <f t="shared" si="14"/>
        <v>-191.59998384942875</v>
      </c>
      <c r="BD42" s="45">
        <f t="shared" si="15"/>
        <v>-1990.3351618011134</v>
      </c>
      <c r="BE42" s="64">
        <f t="shared" si="16"/>
        <v>802855124.58503151</v>
      </c>
      <c r="BF42" s="65">
        <f t="shared" si="17"/>
        <v>542774235.19597745</v>
      </c>
      <c r="BG42" s="66">
        <f t="shared" si="18"/>
        <v>61985917.497340865</v>
      </c>
    </row>
    <row r="43" spans="2:59" ht="18" x14ac:dyDescent="0.35">
      <c r="B43" s="43" t="s">
        <v>15</v>
      </c>
      <c r="C43" s="43"/>
      <c r="D43" s="43"/>
      <c r="E43" s="43"/>
      <c r="F43" s="43"/>
      <c r="G43" s="44" t="s">
        <v>21</v>
      </c>
      <c r="H43" s="47">
        <f>H41*H42</f>
        <v>523598775598.29883</v>
      </c>
      <c r="I43" s="47"/>
      <c r="J43" s="46" t="s">
        <v>8</v>
      </c>
      <c r="K43" s="46"/>
      <c r="AQ43" s="7">
        <v>28</v>
      </c>
      <c r="AR43" s="58">
        <f t="shared" si="19"/>
        <v>14</v>
      </c>
      <c r="AS43" s="58">
        <f t="shared" si="20"/>
        <v>-1814.6060313898508</v>
      </c>
      <c r="AT43" s="58">
        <f t="shared" si="21"/>
        <v>-5405.2766438255703</v>
      </c>
      <c r="AU43" s="58">
        <f t="shared" si="22"/>
        <v>4881.9021418016882</v>
      </c>
      <c r="AV43" s="58">
        <f t="shared" si="23"/>
        <v>3142.3741236866022</v>
      </c>
      <c r="AW43" s="58">
        <f t="shared" si="9"/>
        <v>-228.50923531087994</v>
      </c>
      <c r="AX43" s="58">
        <f t="shared" si="24"/>
        <v>-1232.6540634206726</v>
      </c>
      <c r="AY43" s="33">
        <f t="shared" si="10"/>
        <v>564.63616719073718</v>
      </c>
      <c r="AZ43" s="33">
        <f t="shared" si="11"/>
        <v>334.03243360070684</v>
      </c>
      <c r="BA43" s="39">
        <f t="shared" si="12"/>
        <v>-213.08597829159876</v>
      </c>
      <c r="BB43" s="39">
        <f t="shared" si="13"/>
        <v>180.51016382534667</v>
      </c>
      <c r="BC43" s="45">
        <f t="shared" si="14"/>
        <v>-580.05942421001839</v>
      </c>
      <c r="BD43" s="45">
        <f t="shared" si="15"/>
        <v>-1747.1966608467262</v>
      </c>
      <c r="BE43" s="64">
        <f t="shared" si="16"/>
        <v>642423201.5584203</v>
      </c>
      <c r="BF43" s="65">
        <f t="shared" si="17"/>
        <v>568031102.26636004</v>
      </c>
      <c r="BG43" s="66">
        <f t="shared" si="18"/>
        <v>102205451.01677702</v>
      </c>
    </row>
    <row r="44" spans="2:59" ht="18" x14ac:dyDescent="0.35">
      <c r="B44" s="43" t="s">
        <v>16</v>
      </c>
      <c r="C44" s="43"/>
      <c r="D44" s="43"/>
      <c r="E44" s="43"/>
      <c r="F44" s="43"/>
      <c r="G44" s="48" t="s">
        <v>22</v>
      </c>
      <c r="H44" s="46">
        <f>$H$11*H40</f>
        <v>10000</v>
      </c>
      <c r="I44" s="46"/>
      <c r="J44" s="46" t="s">
        <v>6</v>
      </c>
      <c r="K44" s="46"/>
      <c r="AQ44" s="7">
        <v>29</v>
      </c>
      <c r="AR44" s="58">
        <f t="shared" si="19"/>
        <v>14.5</v>
      </c>
      <c r="AS44" s="58">
        <f t="shared" si="20"/>
        <v>597.78138509713324</v>
      </c>
      <c r="AT44" s="58">
        <f t="shared" si="21"/>
        <v>-3988.171339909853</v>
      </c>
      <c r="AU44" s="58">
        <f t="shared" si="22"/>
        <v>4767.6475241462485</v>
      </c>
      <c r="AV44" s="58">
        <f t="shared" si="23"/>
        <v>2526.0470919762656</v>
      </c>
      <c r="AW44" s="58">
        <f t="shared" si="9"/>
        <v>-266.97815697482451</v>
      </c>
      <c r="AX44" s="58">
        <f t="shared" si="24"/>
        <v>-890.20130821415455</v>
      </c>
      <c r="AY44" s="33">
        <f t="shared" si="10"/>
        <v>676.92465261180587</v>
      </c>
      <c r="AZ44" s="33">
        <f t="shared" si="11"/>
        <v>400.81119318180174</v>
      </c>
      <c r="BA44" s="39">
        <f t="shared" si="12"/>
        <v>-213.81335989715012</v>
      </c>
      <c r="BB44" s="39">
        <f t="shared" si="13"/>
        <v>145.20291564833707</v>
      </c>
      <c r="BC44" s="45">
        <f t="shared" si="14"/>
        <v>-730.08944968948026</v>
      </c>
      <c r="BD44" s="45">
        <f t="shared" si="15"/>
        <v>-1436.2154170442934</v>
      </c>
      <c r="BE44" s="64">
        <f t="shared" si="16"/>
        <v>508424167.91560948</v>
      </c>
      <c r="BF44" s="65">
        <f t="shared" si="17"/>
        <v>619937535.42292941</v>
      </c>
      <c r="BG44" s="66">
        <f t="shared" si="18"/>
        <v>152595526.87452275</v>
      </c>
    </row>
    <row r="45" spans="2:59" x14ac:dyDescent="0.25">
      <c r="B45" s="19"/>
      <c r="C45" s="19"/>
      <c r="D45" s="19"/>
      <c r="E45" s="19"/>
      <c r="F45" s="19"/>
      <c r="G45" s="1"/>
      <c r="H45" s="19"/>
      <c r="I45" s="19"/>
      <c r="J45" s="19"/>
      <c r="K45" s="19"/>
      <c r="AQ45" s="7">
        <v>30</v>
      </c>
      <c r="AR45" s="58">
        <f t="shared" si="19"/>
        <v>15</v>
      </c>
      <c r="AS45" s="58">
        <f t="shared" si="20"/>
        <v>2948.2328775484048</v>
      </c>
      <c r="AT45" s="58">
        <f t="shared" si="21"/>
        <v>-2836.4229574484893</v>
      </c>
      <c r="AU45" s="58">
        <f t="shared" si="22"/>
        <v>4634.1584456588362</v>
      </c>
      <c r="AV45" s="58">
        <f t="shared" si="23"/>
        <v>2080.9464378691882</v>
      </c>
      <c r="AW45" s="58">
        <f t="shared" si="9"/>
        <v>-158.56612339967705</v>
      </c>
      <c r="AX45" s="58">
        <f t="shared" si="24"/>
        <v>-558.51525269642525</v>
      </c>
      <c r="AY45" s="33">
        <f t="shared" si="10"/>
        <v>804.34375684142583</v>
      </c>
      <c r="AZ45" s="33">
        <f t="shared" si="11"/>
        <v>487.57628544839866</v>
      </c>
      <c r="BA45" s="39">
        <f t="shared" si="12"/>
        <v>-204.5722142908329</v>
      </c>
      <c r="BB45" s="39">
        <f t="shared" si="13"/>
        <v>114.4304000221326</v>
      </c>
      <c r="BC45" s="45">
        <f t="shared" si="14"/>
        <v>-758.33766595026998</v>
      </c>
      <c r="BD45" s="45">
        <f t="shared" si="15"/>
        <v>-1160.5219381669565</v>
      </c>
      <c r="BE45" s="64">
        <f t="shared" si="16"/>
        <v>397604401.55358928</v>
      </c>
      <c r="BF45" s="65">
        <f t="shared" si="17"/>
        <v>691395146.5447042</v>
      </c>
      <c r="BG45" s="66">
        <f t="shared" si="18"/>
        <v>211127012.34582755</v>
      </c>
    </row>
    <row r="46" spans="2:59" x14ac:dyDescent="0.25">
      <c r="AQ46" s="7">
        <v>31</v>
      </c>
      <c r="AR46" s="58">
        <f t="shared" si="19"/>
        <v>15.5</v>
      </c>
      <c r="AS46" s="58">
        <f t="shared" si="20"/>
        <v>5245.4913349528633</v>
      </c>
      <c r="AT46" s="58">
        <f t="shared" si="21"/>
        <v>-1865.7641451009483</v>
      </c>
      <c r="AU46" s="58">
        <f t="shared" si="22"/>
        <v>4554.8753839589972</v>
      </c>
      <c r="AV46" s="58">
        <f t="shared" si="23"/>
        <v>1801.6888115209756</v>
      </c>
      <c r="AW46" s="58">
        <f t="shared" si="9"/>
        <v>24.342955029084237</v>
      </c>
      <c r="AX46" s="58">
        <f t="shared" si="24"/>
        <v>-247.36824862864501</v>
      </c>
      <c r="AY46" s="33">
        <f t="shared" si="10"/>
        <v>946.40443165068541</v>
      </c>
      <c r="AZ46" s="33">
        <f t="shared" si="11"/>
        <v>600.7520069927258</v>
      </c>
      <c r="BA46" s="39">
        <f t="shared" si="12"/>
        <v>-190.59652225736627</v>
      </c>
      <c r="BB46" s="39">
        <f t="shared" si="13"/>
        <v>89.583258649087966</v>
      </c>
      <c r="BC46" s="45">
        <f t="shared" si="14"/>
        <v>-731.46495436423493</v>
      </c>
      <c r="BD46" s="45">
        <f t="shared" si="15"/>
        <v>-937.70351427045875</v>
      </c>
      <c r="BE46" s="64">
        <f t="shared" si="16"/>
        <v>305413063.96860951</v>
      </c>
      <c r="BF46" s="65">
        <f t="shared" si="17"/>
        <v>778131191.49034333</v>
      </c>
      <c r="BG46" s="66">
        <f t="shared" si="18"/>
        <v>277478244.18671006</v>
      </c>
    </row>
    <row r="47" spans="2:59" x14ac:dyDescent="0.25">
      <c r="AQ47" s="7">
        <v>32</v>
      </c>
      <c r="AR47" s="58">
        <f t="shared" si="19"/>
        <v>16</v>
      </c>
      <c r="AS47" s="58">
        <f t="shared" si="20"/>
        <v>7525.9718963109972</v>
      </c>
      <c r="AT47" s="58">
        <f t="shared" si="21"/>
        <v>-995.84077041904118</v>
      </c>
      <c r="AU47" s="58">
        <f t="shared" si="22"/>
        <v>4567.0468614735391</v>
      </c>
      <c r="AV47" s="58">
        <f t="shared" si="23"/>
        <v>1678.0046872066532</v>
      </c>
      <c r="AW47" s="58">
        <f t="shared" si="9"/>
        <v>245.41226128463563</v>
      </c>
      <c r="AX47" s="58">
        <f t="shared" si="24"/>
        <v>59.027905486398026</v>
      </c>
      <c r="AY47" s="33">
        <f t="shared" si="10"/>
        <v>1100.6020001216402</v>
      </c>
      <c r="AZ47" s="33">
        <f t="shared" si="11"/>
        <v>749.60063156125921</v>
      </c>
      <c r="BA47" s="39">
        <f t="shared" si="12"/>
        <v>-174.9858666172787</v>
      </c>
      <c r="BB47" s="39">
        <f t="shared" si="13"/>
        <v>69.901863361825548</v>
      </c>
      <c r="BC47" s="45">
        <f t="shared" si="14"/>
        <v>-680.20387221972589</v>
      </c>
      <c r="BD47" s="45">
        <f t="shared" si="15"/>
        <v>-760.47458943668676</v>
      </c>
      <c r="BE47" s="64">
        <f t="shared" si="16"/>
        <v>227780687.52793747</v>
      </c>
      <c r="BF47" s="65">
        <f t="shared" si="17"/>
        <v>878587643.08491254</v>
      </c>
      <c r="BG47" s="66">
        <f t="shared" si="18"/>
        <v>353016447.67463046</v>
      </c>
    </row>
    <row r="48" spans="2:59" x14ac:dyDescent="0.25">
      <c r="AQ48" s="7">
        <v>33</v>
      </c>
      <c r="AR48" s="58">
        <f t="shared" si="19"/>
        <v>16.5</v>
      </c>
      <c r="AS48" s="58">
        <f t="shared" si="20"/>
        <v>9840.1718597083473</v>
      </c>
      <c r="AT48" s="58">
        <f t="shared" si="21"/>
        <v>-149.4599386299148</v>
      </c>
      <c r="AU48" s="58">
        <f t="shared" si="22"/>
        <v>4689.7529921158566</v>
      </c>
      <c r="AV48" s="58">
        <f t="shared" si="23"/>
        <v>1707.5186399498523</v>
      </c>
      <c r="AW48" s="58">
        <f t="shared" si="9"/>
        <v>479.15964287297641</v>
      </c>
      <c r="AX48" s="58">
        <f t="shared" si="24"/>
        <v>381.69743479746853</v>
      </c>
      <c r="AY48" s="33">
        <f t="shared" si="10"/>
        <v>1256.287195497915</v>
      </c>
      <c r="AZ48" s="33">
        <f t="shared" si="11"/>
        <v>945.87412706955115</v>
      </c>
      <c r="BA48" s="39">
        <f t="shared" si="12"/>
        <v>-159.2255804042899</v>
      </c>
      <c r="BB48" s="39">
        <f t="shared" si="13"/>
        <v>54.15698197437365</v>
      </c>
      <c r="BC48" s="45">
        <f t="shared" si="14"/>
        <v>-617.90197222064864</v>
      </c>
      <c r="BD48" s="45">
        <f t="shared" si="15"/>
        <v>-618.33367424645621</v>
      </c>
      <c r="BE48" s="64">
        <f t="shared" si="16"/>
        <v>161736345.19296613</v>
      </c>
      <c r="BF48" s="65">
        <f t="shared" si="17"/>
        <v>993447393.66278327</v>
      </c>
      <c r="BG48" s="66">
        <f t="shared" si="18"/>
        <v>440769240.94003737</v>
      </c>
    </row>
    <row r="49" spans="43:59" x14ac:dyDescent="0.25">
      <c r="AQ49" s="7">
        <v>34</v>
      </c>
      <c r="AR49" s="58">
        <f t="shared" si="19"/>
        <v>17</v>
      </c>
      <c r="AS49" s="58">
        <f t="shared" si="20"/>
        <v>12244.943311125398</v>
      </c>
      <c r="AT49" s="58">
        <f t="shared" si="21"/>
        <v>752.01156069469494</v>
      </c>
      <c r="AU49" s="58">
        <f t="shared" si="22"/>
        <v>4929.3328135523452</v>
      </c>
      <c r="AV49" s="58">
        <f t="shared" si="23"/>
        <v>1898.3673573485867</v>
      </c>
      <c r="AW49" s="58">
        <f t="shared" si="9"/>
        <v>682.12685643872453</v>
      </c>
      <c r="AX49" s="58">
        <f t="shared" si="24"/>
        <v>736.21606923396394</v>
      </c>
      <c r="AY49" s="33">
        <f t="shared" si="10"/>
        <v>1376.5987598174645</v>
      </c>
      <c r="AZ49" s="33">
        <f t="shared" si="11"/>
        <v>1197.8342505396063</v>
      </c>
      <c r="BA49" s="39">
        <f t="shared" si="12"/>
        <v>-143.91532361151005</v>
      </c>
      <c r="BB49" s="39">
        <f t="shared" si="13"/>
        <v>41.275533845919966</v>
      </c>
      <c r="BC49" s="45">
        <f t="shared" si="14"/>
        <v>-550.55657976722989</v>
      </c>
      <c r="BD49" s="45">
        <f t="shared" si="15"/>
        <v>-502.89371515156228</v>
      </c>
      <c r="BE49" s="64">
        <f t="shared" si="16"/>
        <v>105676252.22465676</v>
      </c>
      <c r="BF49" s="65">
        <f t="shared" si="17"/>
        <v>1125261659.3112149</v>
      </c>
      <c r="BG49" s="66">
        <f t="shared" si="18"/>
        <v>545513938.01218784</v>
      </c>
    </row>
    <row r="50" spans="43:59" x14ac:dyDescent="0.25">
      <c r="AQ50" s="7">
        <v>35</v>
      </c>
      <c r="AR50" s="58">
        <f t="shared" si="19"/>
        <v>17.5</v>
      </c>
      <c r="AS50" s="58">
        <f t="shared" si="20"/>
        <v>14794.875574956412</v>
      </c>
      <c r="AT50" s="58">
        <f t="shared" si="21"/>
        <v>1793.2222480232338</v>
      </c>
      <c r="AU50" s="58">
        <f t="shared" si="22"/>
        <v>5270.3962417717075</v>
      </c>
      <c r="AV50" s="58">
        <f t="shared" si="23"/>
        <v>2266.4753919655686</v>
      </c>
      <c r="AW50" s="58">
        <f t="shared" si="9"/>
        <v>740.19706682645347</v>
      </c>
      <c r="AX50" s="58">
        <f t="shared" si="24"/>
        <v>1103.1591436843385</v>
      </c>
      <c r="AY50" s="33">
        <f t="shared" si="10"/>
        <v>1350.9303831870322</v>
      </c>
      <c r="AZ50" s="33">
        <f t="shared" si="11"/>
        <v>1481.1287542231312</v>
      </c>
      <c r="BA50" s="39">
        <f t="shared" si="12"/>
        <v>-129.26610902667744</v>
      </c>
      <c r="BB50" s="39">
        <f t="shared" si="13"/>
        <v>30.488921432105688</v>
      </c>
      <c r="BC50" s="45">
        <f t="shared" si="14"/>
        <v>-481.46720733390134</v>
      </c>
      <c r="BD50" s="45">
        <f t="shared" si="15"/>
        <v>-408.45853197089826</v>
      </c>
      <c r="BE50" s="64">
        <f t="shared" si="16"/>
        <v>59660632.590642333</v>
      </c>
      <c r="BF50" s="65">
        <f t="shared" si="17"/>
        <v>1278034567.3470395</v>
      </c>
      <c r="BG50" s="66">
        <f t="shared" si="18"/>
        <v>673849412.49950838</v>
      </c>
    </row>
    <row r="51" spans="43:59" x14ac:dyDescent="0.25">
      <c r="AQ51" s="7">
        <v>36</v>
      </c>
      <c r="AR51" s="58">
        <f t="shared" si="19"/>
        <v>18</v>
      </c>
      <c r="AS51" s="58">
        <f t="shared" si="20"/>
        <v>17522.598329195571</v>
      </c>
      <c r="AT51" s="58">
        <f t="shared" si="21"/>
        <v>3064.3548369665605</v>
      </c>
      <c r="AU51" s="58">
        <f t="shared" si="22"/>
        <v>5640.494775184934</v>
      </c>
      <c r="AV51" s="58">
        <f t="shared" si="23"/>
        <v>2818.0549638077377</v>
      </c>
      <c r="AW51" s="58">
        <f t="shared" si="9"/>
        <v>390.37174960737849</v>
      </c>
      <c r="AX51" s="58">
        <f t="shared" si="24"/>
        <v>1335.5262674229307</v>
      </c>
      <c r="AY51" s="33">
        <f t="shared" si="10"/>
        <v>919.19897357015793</v>
      </c>
      <c r="AZ51" s="33">
        <f t="shared" si="11"/>
        <v>1645.7728793158783</v>
      </c>
      <c r="BA51" s="39">
        <f t="shared" si="12"/>
        <v>-115.41436812639624</v>
      </c>
      <c r="BB51" s="39">
        <f t="shared" si="13"/>
        <v>21.333093647130752</v>
      </c>
      <c r="BC51" s="45">
        <f t="shared" si="14"/>
        <v>-413.41285583638324</v>
      </c>
      <c r="BD51" s="45">
        <f t="shared" si="15"/>
        <v>-331.57970554007835</v>
      </c>
      <c r="BE51" s="64">
        <f t="shared" si="16"/>
        <v>25812467.050846528</v>
      </c>
      <c r="BF51" s="65">
        <f t="shared" si="17"/>
        <v>1456048559.2016594</v>
      </c>
      <c r="BG51" s="66">
        <f t="shared" si="18"/>
        <v>833588351.17412019</v>
      </c>
    </row>
    <row r="52" spans="43:59" x14ac:dyDescent="0.25">
      <c r="AQ52" s="7">
        <v>37</v>
      </c>
      <c r="AR52" s="58">
        <f t="shared" si="19"/>
        <v>18.5</v>
      </c>
      <c r="AS52" s="58">
        <f t="shared" si="20"/>
        <v>20391.64218548896</v>
      </c>
      <c r="AT52" s="58">
        <f t="shared" si="21"/>
        <v>4640.3231022982955</v>
      </c>
      <c r="AU52" s="58">
        <f t="shared" si="22"/>
        <v>5835.6806499886234</v>
      </c>
      <c r="AV52" s="58">
        <f t="shared" si="23"/>
        <v>3485.8180975192031</v>
      </c>
      <c r="AW52" s="58">
        <f t="shared" si="9"/>
        <v>-634.30741702951104</v>
      </c>
      <c r="AX52" s="58">
        <f t="shared" si="24"/>
        <v>1071.0297485877893</v>
      </c>
      <c r="AY52" s="33">
        <f t="shared" si="10"/>
        <v>-181.86877616465861</v>
      </c>
      <c r="AZ52" s="33">
        <f t="shared" si="11"/>
        <v>1327.9619940891632</v>
      </c>
      <c r="BA52" s="39">
        <f t="shared" si="12"/>
        <v>-102.65752136464455</v>
      </c>
      <c r="BB52" s="39">
        <f t="shared" si="13"/>
        <v>13.621905816720483</v>
      </c>
      <c r="BC52" s="45">
        <f t="shared" si="14"/>
        <v>-349.78111950020786</v>
      </c>
      <c r="BD52" s="45">
        <f t="shared" si="15"/>
        <v>-270.55415131809451</v>
      </c>
      <c r="BE52" s="64">
        <f t="shared" si="16"/>
        <v>8331135.5607034136</v>
      </c>
      <c r="BF52" s="65">
        <f t="shared" si="17"/>
        <v>1660210894.888329</v>
      </c>
      <c r="BG52" s="66">
        <f t="shared" si="18"/>
        <v>1030477784.4385746</v>
      </c>
    </row>
    <row r="53" spans="43:59" x14ac:dyDescent="0.25">
      <c r="AQ53" s="7">
        <v>38</v>
      </c>
      <c r="AR53" s="58">
        <f t="shared" si="19"/>
        <v>19</v>
      </c>
      <c r="AS53" s="58">
        <f t="shared" si="20"/>
        <v>23230.194083354581</v>
      </c>
      <c r="AT53" s="58">
        <f t="shared" si="21"/>
        <v>6517.1108696313704</v>
      </c>
      <c r="AU53" s="58">
        <f t="shared" si="22"/>
        <v>5518.5269414738677</v>
      </c>
      <c r="AV53" s="58">
        <f t="shared" si="23"/>
        <v>4021.3329718130976</v>
      </c>
      <c r="AW53" s="58">
        <f t="shared" si="9"/>
        <v>-1824.7696737955414</v>
      </c>
      <c r="AX53" s="58">
        <f t="shared" si="24"/>
        <v>220.42417767982812</v>
      </c>
      <c r="AY53" s="33">
        <f t="shared" si="10"/>
        <v>-1438.4611549708338</v>
      </c>
      <c r="AZ53" s="33">
        <f t="shared" si="11"/>
        <v>437.69748726988115</v>
      </c>
      <c r="BA53" s="39">
        <f t="shared" si="12"/>
        <v>-91.569458996502959</v>
      </c>
      <c r="BB53" s="39">
        <f t="shared" si="13"/>
        <v>7.3773962892166596</v>
      </c>
      <c r="BC53" s="45">
        <f t="shared" si="14"/>
        <v>-294.73905982820446</v>
      </c>
      <c r="BD53" s="45">
        <f t="shared" si="15"/>
        <v>-224.65070587926971</v>
      </c>
      <c r="BE53" s="64">
        <f t="shared" si="16"/>
        <v>11400224.858735744</v>
      </c>
      <c r="BF53" s="65">
        <f t="shared" si="17"/>
        <v>1880980197.1789453</v>
      </c>
      <c r="BG53" s="66">
        <f t="shared" si="18"/>
        <v>1259929918.1598766</v>
      </c>
    </row>
    <row r="54" spans="43:59" x14ac:dyDescent="0.25">
      <c r="AQ54" s="7">
        <v>39</v>
      </c>
      <c r="AR54" s="58">
        <f t="shared" si="19"/>
        <v>19.5</v>
      </c>
      <c r="AS54" s="58">
        <f t="shared" si="20"/>
        <v>25761.361344867069</v>
      </c>
      <c r="AT54" s="58">
        <f t="shared" si="21"/>
        <v>8555.3303777478977</v>
      </c>
      <c r="AU54" s="58">
        <f t="shared" si="22"/>
        <v>4606.1421045760972</v>
      </c>
      <c r="AV54" s="58">
        <f t="shared" si="23"/>
        <v>4131.5450606530121</v>
      </c>
      <c r="AW54" s="58">
        <f t="shared" si="9"/>
        <v>-2272.2176742244528</v>
      </c>
      <c r="AX54" s="58">
        <f t="shared" si="24"/>
        <v>-544.90775074931469</v>
      </c>
      <c r="AY54" s="33">
        <f t="shared" si="10"/>
        <v>-1938.097990996466</v>
      </c>
      <c r="AZ54" s="33">
        <f t="shared" si="11"/>
        <v>-355.00874923822954</v>
      </c>
      <c r="BA54" s="39">
        <f t="shared" si="12"/>
        <v>-82.716710765593049</v>
      </c>
      <c r="BB54" s="39">
        <f t="shared" si="13"/>
        <v>2.6113366338711321</v>
      </c>
      <c r="BC54" s="45">
        <f t="shared" si="14"/>
        <v>-251.40297246239396</v>
      </c>
      <c r="BD54" s="45">
        <f t="shared" si="15"/>
        <v>-192.51033814495628</v>
      </c>
      <c r="BE54" s="64">
        <f t="shared" si="16"/>
        <v>34307006.752326004</v>
      </c>
      <c r="BF54" s="65">
        <f t="shared" si="17"/>
        <v>2096189262.4529517</v>
      </c>
      <c r="BG54" s="66">
        <f t="shared" si="18"/>
        <v>1501114940.9943349</v>
      </c>
    </row>
    <row r="55" spans="43:59" x14ac:dyDescent="0.25">
      <c r="AQ55" s="7">
        <v>40</v>
      </c>
      <c r="AR55" s="58">
        <f t="shared" si="19"/>
        <v>20</v>
      </c>
      <c r="AS55" s="58">
        <f t="shared" si="20"/>
        <v>27780.405187877059</v>
      </c>
      <c r="AT55" s="58">
        <f t="shared" si="21"/>
        <v>10552.98943923074</v>
      </c>
      <c r="AU55" s="58">
        <f t="shared" si="22"/>
        <v>3470.0332674638707</v>
      </c>
      <c r="AV55" s="58">
        <f t="shared" si="23"/>
        <v>3859.0911852783547</v>
      </c>
      <c r="AW55" s="58">
        <f t="shared" si="9"/>
        <v>-2136.1525173752766</v>
      </c>
      <c r="AX55" s="58">
        <f t="shared" si="24"/>
        <v>-894.2518634761152</v>
      </c>
      <c r="AY55" s="33">
        <f t="shared" si="10"/>
        <v>-1840.2702697486163</v>
      </c>
      <c r="AZ55" s="33">
        <f t="shared" si="11"/>
        <v>-722.11222464698301</v>
      </c>
      <c r="BA55" s="39">
        <f t="shared" si="12"/>
        <v>-76.185709586549095</v>
      </c>
      <c r="BB55" s="39">
        <f t="shared" si="13"/>
        <v>-0.88173996549428713</v>
      </c>
      <c r="BC55" s="45">
        <f t="shared" si="14"/>
        <v>-219.69653804011134</v>
      </c>
      <c r="BD55" s="45">
        <f t="shared" si="15"/>
        <v>-171.25789886363788</v>
      </c>
      <c r="BE55" s="64">
        <f t="shared" si="16"/>
        <v>69855449.403598681</v>
      </c>
      <c r="BF55" s="65">
        <f t="shared" si="17"/>
        <v>2283272917.2376089</v>
      </c>
      <c r="BG55" s="66">
        <f t="shared" si="18"/>
        <v>1727510233.5628347</v>
      </c>
    </row>
    <row r="56" spans="43:59" x14ac:dyDescent="0.25">
      <c r="AQ56" s="7">
        <v>41</v>
      </c>
      <c r="AR56" s="58">
        <f t="shared" si="19"/>
        <v>20.5</v>
      </c>
      <c r="AS56" s="58">
        <f t="shared" si="20"/>
        <v>29248.402756937085</v>
      </c>
      <c r="AT56" s="58">
        <f t="shared" si="21"/>
        <v>12370.753548935401</v>
      </c>
      <c r="AU56" s="58">
        <f t="shared" si="22"/>
        <v>2401.9570087762322</v>
      </c>
      <c r="AV56" s="58">
        <f t="shared" si="23"/>
        <v>3411.965253540297</v>
      </c>
      <c r="AW56" s="58">
        <f t="shared" si="9"/>
        <v>-1868.5484558918326</v>
      </c>
      <c r="AX56" s="58">
        <f t="shared" si="24"/>
        <v>-1003.5635532241386</v>
      </c>
      <c r="AY56" s="33">
        <f t="shared" si="10"/>
        <v>-1599.7228995425185</v>
      </c>
      <c r="AZ56" s="33">
        <f t="shared" si="11"/>
        <v>-842.50828981419534</v>
      </c>
      <c r="BA56" s="39">
        <f t="shared" si="12"/>
        <v>-71.61444560498532</v>
      </c>
      <c r="BB56" s="39">
        <f t="shared" si="13"/>
        <v>-3.4474255319710876</v>
      </c>
      <c r="BC56" s="45">
        <f t="shared" si="14"/>
        <v>-197.21111074432886</v>
      </c>
      <c r="BD56" s="45">
        <f t="shared" si="15"/>
        <v>-157.60783787797209</v>
      </c>
      <c r="BE56" s="64">
        <f t="shared" si="16"/>
        <v>109257193.68898828</v>
      </c>
      <c r="BF56" s="65">
        <f t="shared" si="17"/>
        <v>2431025646.4992776</v>
      </c>
      <c r="BG56" s="66">
        <f t="shared" si="18"/>
        <v>1922111241.2379355</v>
      </c>
    </row>
    <row r="57" spans="43:59" x14ac:dyDescent="0.25">
      <c r="AQ57" s="7">
        <v>42</v>
      </c>
      <c r="AR57" s="58">
        <f t="shared" si="19"/>
        <v>21</v>
      </c>
      <c r="AS57" s="58">
        <f t="shared" si="20"/>
        <v>30215.812704338721</v>
      </c>
      <c r="AT57" s="58">
        <f t="shared" si="21"/>
        <v>13951.290731552532</v>
      </c>
      <c r="AU57" s="58">
        <f t="shared" si="22"/>
        <v>1467.682780830316</v>
      </c>
      <c r="AV57" s="58">
        <f t="shared" si="23"/>
        <v>2910.1834769282277</v>
      </c>
      <c r="AW57" s="58">
        <f t="shared" si="9"/>
        <v>-1636.4226811863673</v>
      </c>
      <c r="AX57" s="58">
        <f t="shared" si="24"/>
        <v>-1030.0653862048111</v>
      </c>
      <c r="AY57" s="33">
        <f t="shared" si="10"/>
        <v>-1386.4895523431719</v>
      </c>
      <c r="AZ57" s="33">
        <f t="shared" si="11"/>
        <v>-875.56883209370847</v>
      </c>
      <c r="BA57" s="39">
        <f t="shared" si="12"/>
        <v>-68.569323456643247</v>
      </c>
      <c r="BB57" s="39">
        <f t="shared" si="13"/>
        <v>-5.3954584751677768</v>
      </c>
      <c r="BC57" s="45">
        <f t="shared" si="14"/>
        <v>-181.36380538655214</v>
      </c>
      <c r="BD57" s="45">
        <f t="shared" si="15"/>
        <v>-149.10109563593502</v>
      </c>
      <c r="BE57" s="64">
        <f t="shared" si="16"/>
        <v>145981981.31314403</v>
      </c>
      <c r="BF57" s="65">
        <f t="shared" si="17"/>
        <v>2537240544.0024791</v>
      </c>
      <c r="BG57" s="66">
        <f t="shared" si="18"/>
        <v>2078330699.449944</v>
      </c>
    </row>
    <row r="58" spans="43:59" x14ac:dyDescent="0.25">
      <c r="AQ58" s="7">
        <v>43</v>
      </c>
      <c r="AR58" s="58">
        <f t="shared" si="19"/>
        <v>21.5</v>
      </c>
      <c r="AS58" s="58">
        <f t="shared" si="20"/>
        <v>30745.101259605581</v>
      </c>
      <c r="AT58" s="58">
        <f t="shared" si="21"/>
        <v>15277.624296741045</v>
      </c>
      <c r="AU58" s="58">
        <f t="shared" si="22"/>
        <v>649.47144023713236</v>
      </c>
      <c r="AV58" s="58">
        <f t="shared" si="23"/>
        <v>2395.1507838258221</v>
      </c>
      <c r="AW58" s="58">
        <f t="shared" si="9"/>
        <v>-1464.3726975207805</v>
      </c>
      <c r="AX58" s="58">
        <f t="shared" si="24"/>
        <v>-1039.5754306294698</v>
      </c>
      <c r="AY58" s="33">
        <f t="shared" si="10"/>
        <v>-1227.3452495501838</v>
      </c>
      <c r="AZ58" s="33">
        <f t="shared" si="11"/>
        <v>-888.38904378474035</v>
      </c>
      <c r="BA58" s="39">
        <f t="shared" si="12"/>
        <v>-66.733910848600303</v>
      </c>
      <c r="BB58" s="39">
        <f t="shared" si="13"/>
        <v>-6.9405026410200783</v>
      </c>
      <c r="BC58" s="45">
        <f t="shared" si="14"/>
        <v>-170.29353712199637</v>
      </c>
      <c r="BD58" s="45">
        <f t="shared" si="15"/>
        <v>-144.24588420370929</v>
      </c>
      <c r="BE58" s="64">
        <f t="shared" si="16"/>
        <v>175948640.78043407</v>
      </c>
      <c r="BF58" s="65">
        <f t="shared" si="17"/>
        <v>2602918620.0651751</v>
      </c>
      <c r="BG58" s="66">
        <f t="shared" si="18"/>
        <v>2194446797.1140604</v>
      </c>
    </row>
    <row r="59" spans="43:59" x14ac:dyDescent="0.25">
      <c r="AQ59" s="7">
        <v>44</v>
      </c>
      <c r="AR59" s="58">
        <f t="shared" si="19"/>
        <v>22</v>
      </c>
      <c r="AS59" s="58">
        <f t="shared" si="20"/>
        <v>30886.790392534051</v>
      </c>
      <c r="AT59" s="58">
        <f t="shared" si="21"/>
        <v>16345.252759825273</v>
      </c>
      <c r="AU59" s="58">
        <f t="shared" si="22"/>
        <v>-82.714908523257918</v>
      </c>
      <c r="AV59" s="58">
        <f t="shared" si="23"/>
        <v>1875.3630685110872</v>
      </c>
      <c r="AW59" s="58">
        <f t="shared" si="9"/>
        <v>-1343.7729390806758</v>
      </c>
      <c r="AX59" s="58">
        <f t="shared" si="24"/>
        <v>-1056.3730161911642</v>
      </c>
      <c r="AY59" s="33">
        <f t="shared" si="10"/>
        <v>-1115.0360284066771</v>
      </c>
      <c r="AZ59" s="33">
        <f t="shared" si="11"/>
        <v>-905.93968947289306</v>
      </c>
      <c r="BA59" s="39">
        <f t="shared" si="12"/>
        <v>-65.918141783745838</v>
      </c>
      <c r="BB59" s="39">
        <f t="shared" si="13"/>
        <v>-8.219564799615144</v>
      </c>
      <c r="BC59" s="45">
        <f t="shared" si="14"/>
        <v>-162.8187688902529</v>
      </c>
      <c r="BD59" s="45">
        <f t="shared" si="15"/>
        <v>-142.21376191865608</v>
      </c>
      <c r="BE59" s="64">
        <f t="shared" si="16"/>
        <v>196760701.43616831</v>
      </c>
      <c r="BF59" s="65">
        <f t="shared" si="17"/>
        <v>2629727669.0397658</v>
      </c>
      <c r="BG59" s="66">
        <f t="shared" si="18"/>
        <v>2270386595.2550082</v>
      </c>
    </row>
    <row r="60" spans="43:59" x14ac:dyDescent="0.25">
      <c r="AQ60" s="7">
        <v>45</v>
      </c>
      <c r="AR60" s="58">
        <f t="shared" si="19"/>
        <v>22.5</v>
      </c>
      <c r="AS60" s="58">
        <f t="shared" si="20"/>
        <v>30677.461320887338</v>
      </c>
      <c r="AT60" s="58">
        <f t="shared" si="21"/>
        <v>17150.887667056923</v>
      </c>
      <c r="AU60" s="58">
        <f t="shared" si="22"/>
        <v>-754.6013780635958</v>
      </c>
      <c r="AV60" s="58">
        <f t="shared" si="23"/>
        <v>1347.1765604155053</v>
      </c>
      <c r="AW60" s="58">
        <f t="shared" si="9"/>
        <v>-1262.8570001649864</v>
      </c>
      <c r="AX60" s="58">
        <f t="shared" si="24"/>
        <v>-1090.6484423916388</v>
      </c>
      <c r="AY60" s="33">
        <f t="shared" si="10"/>
        <v>-1038.5932318641508</v>
      </c>
      <c r="AZ60" s="33">
        <f t="shared" si="11"/>
        <v>-938.73874240862574</v>
      </c>
      <c r="BA60" s="39">
        <f t="shared" si="12"/>
        <v>-66.030680775164384</v>
      </c>
      <c r="BB60" s="39">
        <f t="shared" si="13"/>
        <v>-9.3173171760259752</v>
      </c>
      <c r="BC60" s="45">
        <f t="shared" si="14"/>
        <v>-158.23308752567115</v>
      </c>
      <c r="BD60" s="45">
        <f t="shared" si="15"/>
        <v>-142.59238280698699</v>
      </c>
      <c r="BE60" s="64">
        <f t="shared" si="16"/>
        <v>207147813.02119657</v>
      </c>
      <c r="BF60" s="65">
        <f t="shared" si="17"/>
        <v>2619340280.3568988</v>
      </c>
      <c r="BG60" s="66">
        <f t="shared" si="18"/>
        <v>2306560824.0831246</v>
      </c>
    </row>
    <row r="61" spans="43:59" x14ac:dyDescent="0.25">
      <c r="AQ61" s="7">
        <v>46</v>
      </c>
      <c r="AR61" s="58">
        <f t="shared" si="19"/>
        <v>23</v>
      </c>
      <c r="AS61" s="58">
        <f t="shared" si="20"/>
        <v>30142.303506834916</v>
      </c>
      <c r="AT61" s="58">
        <f t="shared" si="21"/>
        <v>17688.144891965723</v>
      </c>
      <c r="AU61" s="58">
        <f t="shared" si="22"/>
        <v>-1386.029878146089</v>
      </c>
      <c r="AV61" s="58">
        <f t="shared" si="23"/>
        <v>801.85233921968586</v>
      </c>
      <c r="AW61" s="58">
        <f t="shared" si="9"/>
        <v>-1212.0882718131147</v>
      </c>
      <c r="AX61" s="58">
        <f t="shared" si="24"/>
        <v>-1148.8752004014307</v>
      </c>
      <c r="AY61" s="33">
        <f t="shared" si="10"/>
        <v>-988.87118153957613</v>
      </c>
      <c r="AZ61" s="33">
        <f t="shared" si="11"/>
        <v>-993.34070117554086</v>
      </c>
      <c r="BA61" s="39">
        <f t="shared" si="12"/>
        <v>-67.059299095091149</v>
      </c>
      <c r="BB61" s="39">
        <f t="shared" si="13"/>
        <v>-10.281968951156189</v>
      </c>
      <c r="BC61" s="45">
        <f t="shared" si="14"/>
        <v>-156.15779117844744</v>
      </c>
      <c r="BD61" s="45">
        <f t="shared" si="15"/>
        <v>-145.25253027473369</v>
      </c>
      <c r="BE61" s="64">
        <f t="shared" si="16"/>
        <v>206664616.7644431</v>
      </c>
      <c r="BF61" s="65">
        <f t="shared" si="17"/>
        <v>2573358172.8514071</v>
      </c>
      <c r="BG61" s="66">
        <f t="shared" si="18"/>
        <v>2303496312.2446461</v>
      </c>
    </row>
    <row r="62" spans="43:59" x14ac:dyDescent="0.25">
      <c r="AQ62" s="7">
        <v>47</v>
      </c>
      <c r="AR62" s="58">
        <f t="shared" si="19"/>
        <v>23.5</v>
      </c>
      <c r="AS62" s="58">
        <f t="shared" si="20"/>
        <v>29297.777533785233</v>
      </c>
      <c r="AT62" s="58">
        <f t="shared" si="21"/>
        <v>17945.461661525387</v>
      </c>
      <c r="AU62" s="58">
        <f t="shared" si="22"/>
        <v>-1992.0740140526464</v>
      </c>
      <c r="AV62" s="58">
        <f t="shared" si="23"/>
        <v>227.41473901897052</v>
      </c>
      <c r="AW62" s="58">
        <f t="shared" si="9"/>
        <v>-1183.6433776649328</v>
      </c>
      <c r="AX62" s="58">
        <f t="shared" si="24"/>
        <v>-1237.807312325866</v>
      </c>
      <c r="AY62" s="33">
        <f t="shared" si="10"/>
        <v>-958.11438610475068</v>
      </c>
      <c r="AZ62" s="33">
        <f t="shared" si="11"/>
        <v>-1076.3805706307057</v>
      </c>
      <c r="BA62" s="39">
        <f t="shared" si="12"/>
        <v>-69.064353027683069</v>
      </c>
      <c r="BB62" s="39">
        <f t="shared" si="13"/>
        <v>-11.131296310131571</v>
      </c>
      <c r="BC62" s="45">
        <f t="shared" si="14"/>
        <v>-156.46463853249912</v>
      </c>
      <c r="BD62" s="45">
        <f t="shared" si="15"/>
        <v>-150.29544538502853</v>
      </c>
      <c r="BE62" s="64">
        <f t="shared" si="16"/>
        <v>195556336.39015812</v>
      </c>
      <c r="BF62" s="65">
        <f t="shared" si="17"/>
        <v>2493401230.7853498</v>
      </c>
      <c r="BG62" s="66">
        <f t="shared" si="18"/>
        <v>2261740987.8480625</v>
      </c>
    </row>
    <row r="63" spans="43:59" x14ac:dyDescent="0.25">
      <c r="AQ63" s="7">
        <v>48</v>
      </c>
      <c r="AR63" s="58">
        <f t="shared" si="19"/>
        <v>24</v>
      </c>
      <c r="AS63" s="58">
        <f t="shared" si="20"/>
        <v>28153.785104550792</v>
      </c>
      <c r="AT63" s="58">
        <f t="shared" si="21"/>
        <v>17904.443116994138</v>
      </c>
      <c r="AU63" s="58">
        <f t="shared" si="22"/>
        <v>-2583.8957028851128</v>
      </c>
      <c r="AV63" s="58">
        <f t="shared" si="23"/>
        <v>-391.48891714396245</v>
      </c>
      <c r="AW63" s="58">
        <f t="shared" si="9"/>
        <v>-1168.9647208663832</v>
      </c>
      <c r="AX63" s="58">
        <f t="shared" si="24"/>
        <v>-1366.2133449431801</v>
      </c>
      <c r="AY63" s="33">
        <f t="shared" si="10"/>
        <v>-937.52528735267902</v>
      </c>
      <c r="AZ63" s="33">
        <f t="shared" si="11"/>
        <v>-1196.306794688566</v>
      </c>
      <c r="BA63" s="39">
        <f t="shared" si="12"/>
        <v>-72.184195978184064</v>
      </c>
      <c r="BB63" s="39">
        <f t="shared" si="13"/>
        <v>-11.849034708625439</v>
      </c>
      <c r="BC63" s="45">
        <f t="shared" si="14"/>
        <v>-159.25523753552002</v>
      </c>
      <c r="BD63" s="45">
        <f t="shared" si="15"/>
        <v>-158.05751554598879</v>
      </c>
      <c r="BE63" s="64">
        <f t="shared" si="16"/>
        <v>174736648.10596108</v>
      </c>
      <c r="BF63" s="65">
        <f t="shared" si="17"/>
        <v>2381267240.8850541</v>
      </c>
      <c r="BG63" s="66">
        <f t="shared" si="18"/>
        <v>2181875843.598237</v>
      </c>
    </row>
    <row r="64" spans="43:59" x14ac:dyDescent="0.25">
      <c r="AQ64" s="7">
        <v>49</v>
      </c>
      <c r="AR64" s="58">
        <f t="shared" si="19"/>
        <v>24.5</v>
      </c>
      <c r="AS64" s="58">
        <f t="shared" si="20"/>
        <v>26715.716662999937</v>
      </c>
      <c r="AT64" s="58">
        <f t="shared" si="21"/>
        <v>17537.921990304258</v>
      </c>
      <c r="AU64" s="58">
        <f t="shared" si="22"/>
        <v>-3168.3780633183042</v>
      </c>
      <c r="AV64" s="58">
        <f t="shared" si="23"/>
        <v>-1074.5955896155524</v>
      </c>
      <c r="AW64" s="58">
        <f t="shared" si="9"/>
        <v>-1153.6769420010378</v>
      </c>
      <c r="AX64" s="58">
        <f t="shared" si="24"/>
        <v>-1544.8915632891133</v>
      </c>
      <c r="AY64" s="33">
        <f t="shared" si="10"/>
        <v>-912.1310542129396</v>
      </c>
      <c r="AZ64" s="33">
        <f t="shared" si="11"/>
        <v>-1363.3541774577332</v>
      </c>
      <c r="BA64" s="39">
        <f t="shared" si="12"/>
        <v>-76.651546422651364</v>
      </c>
      <c r="BB64" s="39">
        <f t="shared" si="13"/>
        <v>-12.368286706126007</v>
      </c>
      <c r="BC64" s="45">
        <f t="shared" si="14"/>
        <v>-164.89434136544691</v>
      </c>
      <c r="BD64" s="45">
        <f t="shared" si="15"/>
        <v>-169.16909912525418</v>
      </c>
      <c r="BE64" s="64">
        <f t="shared" si="16"/>
        <v>145860728.1811288</v>
      </c>
      <c r="BF64" s="65">
        <f t="shared" si="17"/>
        <v>2239178451.2696028</v>
      </c>
      <c r="BG64" s="66">
        <f t="shared" si="18"/>
        <v>2064603050.8948174</v>
      </c>
    </row>
    <row r="65" spans="43:59" x14ac:dyDescent="0.25">
      <c r="AQ65" s="7">
        <v>50</v>
      </c>
      <c r="AR65" s="58">
        <f t="shared" si="19"/>
        <v>25</v>
      </c>
      <c r="AS65" s="58">
        <f t="shared" si="20"/>
        <v>24987.318013590655</v>
      </c>
      <c r="AT65" s="58">
        <f t="shared" si="21"/>
        <v>16807.512750085345</v>
      </c>
      <c r="AU65" s="58">
        <f t="shared" si="22"/>
        <v>-3745.2165343188231</v>
      </c>
      <c r="AV65" s="58">
        <f t="shared" si="23"/>
        <v>-1847.0413712601089</v>
      </c>
      <c r="AW65" s="58">
        <f t="shared" si="9"/>
        <v>-1105.8976526476895</v>
      </c>
      <c r="AX65" s="58">
        <f t="shared" si="24"/>
        <v>-1781.5854870516582</v>
      </c>
      <c r="AY65" s="33">
        <f t="shared" si="10"/>
        <v>-848.96634021372768</v>
      </c>
      <c r="AZ65" s="33">
        <f t="shared" si="11"/>
        <v>-1584.3716030138676</v>
      </c>
      <c r="BA65" s="39">
        <f t="shared" si="12"/>
        <v>-82.817976699817763</v>
      </c>
      <c r="BB65" s="39">
        <f t="shared" si="13"/>
        <v>-12.532074753821984</v>
      </c>
      <c r="BC65" s="45">
        <f t="shared" si="14"/>
        <v>-174.1133357341439</v>
      </c>
      <c r="BD65" s="45">
        <f t="shared" si="15"/>
        <v>-184.68180928396885</v>
      </c>
      <c r="BE65" s="64">
        <f t="shared" si="16"/>
        <v>111503134.5616871</v>
      </c>
      <c r="BF65" s="65">
        <f t="shared" si="17"/>
        <v>2070201011.8985131</v>
      </c>
      <c r="BG65" s="66">
        <f t="shared" si="18"/>
        <v>1910957108.9950604</v>
      </c>
    </row>
    <row r="66" spans="43:59" x14ac:dyDescent="0.25">
      <c r="AQ66" s="7">
        <v>51</v>
      </c>
      <c r="AR66" s="58">
        <f t="shared" si="19"/>
        <v>25.5</v>
      </c>
      <c r="AS66" s="58">
        <f t="shared" si="20"/>
        <v>22976.472539850281</v>
      </c>
      <c r="AT66" s="58">
        <f t="shared" si="21"/>
        <v>15661.293878573833</v>
      </c>
      <c r="AU66" s="58">
        <f t="shared" si="22"/>
        <v>-4298.165360642668</v>
      </c>
      <c r="AV66" s="58">
        <f t="shared" si="23"/>
        <v>-2737.8341147859383</v>
      </c>
      <c r="AW66" s="58">
        <f t="shared" si="9"/>
        <v>-949.9164817638291</v>
      </c>
      <c r="AX66" s="58">
        <f t="shared" si="24"/>
        <v>-2056.8189113471653</v>
      </c>
      <c r="AY66" s="33">
        <f t="shared" si="10"/>
        <v>-670.51831226301169</v>
      </c>
      <c r="AZ66" s="33">
        <f t="shared" si="11"/>
        <v>-1838.5175485674179</v>
      </c>
      <c r="BA66" s="39">
        <f t="shared" si="12"/>
        <v>-91.170364814428908</v>
      </c>
      <c r="BB66" s="39">
        <f t="shared" si="13"/>
        <v>-12.009878841328183</v>
      </c>
      <c r="BC66" s="45">
        <f t="shared" si="14"/>
        <v>-188.22780468638842</v>
      </c>
      <c r="BD66" s="45">
        <f t="shared" si="15"/>
        <v>-206.2914839384193</v>
      </c>
      <c r="BE66" s="64">
        <f t="shared" si="16"/>
        <v>75466106.552929506</v>
      </c>
      <c r="BF66" s="65">
        <f t="shared" si="17"/>
        <v>1879027440.3480825</v>
      </c>
      <c r="BG66" s="66">
        <f t="shared" si="18"/>
        <v>1722797958.0812662</v>
      </c>
    </row>
    <row r="67" spans="43:59" x14ac:dyDescent="0.25">
      <c r="AQ67" s="7">
        <v>52</v>
      </c>
      <c r="AR67" s="58">
        <f t="shared" si="19"/>
        <v>26</v>
      </c>
      <c r="AS67" s="58">
        <f t="shared" si="20"/>
        <v>20708.650299308469</v>
      </c>
      <c r="AT67" s="58">
        <f t="shared" si="21"/>
        <v>14035.274457262469</v>
      </c>
      <c r="AU67" s="58">
        <f t="shared" si="22"/>
        <v>-4773.1236015245822</v>
      </c>
      <c r="AV67" s="58">
        <f t="shared" si="23"/>
        <v>-3766.2435704595209</v>
      </c>
      <c r="AW67" s="58">
        <f t="shared" si="9"/>
        <v>-528.31766259608753</v>
      </c>
      <c r="AX67" s="58">
        <f t="shared" si="24"/>
        <v>-2243.4083858149447</v>
      </c>
      <c r="AY67" s="33">
        <f t="shared" si="10"/>
        <v>-216.50179126372544</v>
      </c>
      <c r="AZ67" s="33">
        <f t="shared" si="11"/>
        <v>-1996.6104971353493</v>
      </c>
      <c r="BA67" s="39">
        <f t="shared" si="12"/>
        <v>-102.27018770854079</v>
      </c>
      <c r="BB67" s="39">
        <f t="shared" si="13"/>
        <v>-10.137606458711877</v>
      </c>
      <c r="BC67" s="45">
        <f t="shared" si="14"/>
        <v>-209.54568362382133</v>
      </c>
      <c r="BD67" s="45">
        <f t="shared" si="15"/>
        <v>-236.66028222088346</v>
      </c>
      <c r="BE67" s="64">
        <f t="shared" si="16"/>
        <v>43211997.478457235</v>
      </c>
      <c r="BF67" s="65">
        <f t="shared" si="17"/>
        <v>1673477649.1368225</v>
      </c>
      <c r="BG67" s="66">
        <f t="shared" si="18"/>
        <v>1503981863.0206919</v>
      </c>
    </row>
    <row r="68" spans="43:59" x14ac:dyDescent="0.25">
      <c r="AQ68" s="7">
        <v>53</v>
      </c>
      <c r="AR68" s="58">
        <f t="shared" si="19"/>
        <v>26.5</v>
      </c>
      <c r="AS68" s="58">
        <f t="shared" si="20"/>
        <v>18256.048790721667</v>
      </c>
      <c r="AT68" s="58">
        <f t="shared" si="21"/>
        <v>11871.726623805842</v>
      </c>
      <c r="AU68" s="58">
        <f t="shared" si="22"/>
        <v>-5037.2824328226261</v>
      </c>
      <c r="AV68" s="58">
        <f t="shared" si="23"/>
        <v>-4887.9477633669931</v>
      </c>
      <c r="AW68" s="58">
        <f t="shared" si="9"/>
        <v>317.95687831413568</v>
      </c>
      <c r="AX68" s="58">
        <f t="shared" si="24"/>
        <v>-1980.8069518318039</v>
      </c>
      <c r="AY68" s="33">
        <f t="shared" si="10"/>
        <v>676.3551939141305</v>
      </c>
      <c r="AZ68" s="33">
        <f t="shared" si="11"/>
        <v>-1695.4832180238236</v>
      </c>
      <c r="BA68" s="39">
        <f t="shared" si="12"/>
        <v>-116.39431016403569</v>
      </c>
      <c r="BB68" s="39">
        <f t="shared" si="13"/>
        <v>-5.6947420363594432</v>
      </c>
      <c r="BC68" s="45">
        <f t="shared" si="14"/>
        <v>-242.00400543595916</v>
      </c>
      <c r="BD68" s="45">
        <f t="shared" si="15"/>
        <v>-279.62899177162069</v>
      </c>
      <c r="BE68" s="64">
        <f t="shared" si="16"/>
        <v>22153359.493636183</v>
      </c>
      <c r="BF68" s="65">
        <f t="shared" si="17"/>
        <v>1467028629.6323402</v>
      </c>
      <c r="BG68" s="66">
        <f t="shared" si="18"/>
        <v>1262933497.1009827</v>
      </c>
    </row>
    <row r="69" spans="43:59" x14ac:dyDescent="0.25">
      <c r="AQ69" s="7">
        <v>54</v>
      </c>
      <c r="AR69" s="58">
        <f t="shared" si="19"/>
        <v>27</v>
      </c>
      <c r="AS69" s="58">
        <f t="shared" si="20"/>
        <v>15777.152184099619</v>
      </c>
      <c r="AT69" s="58">
        <f t="shared" si="21"/>
        <v>9180.1518731433698</v>
      </c>
      <c r="AU69" s="58">
        <f t="shared" si="22"/>
        <v>-4878.3039936655587</v>
      </c>
      <c r="AV69" s="58">
        <f t="shared" si="23"/>
        <v>-5878.3512392828952</v>
      </c>
      <c r="AW69" s="58">
        <f t="shared" si="9"/>
        <v>1244.1619772247161</v>
      </c>
      <c r="AX69" s="58">
        <f t="shared" si="24"/>
        <v>-1000.1743367203408</v>
      </c>
      <c r="AY69" s="33">
        <f t="shared" si="10"/>
        <v>1668.3384365333231</v>
      </c>
      <c r="AZ69" s="33">
        <f t="shared" si="11"/>
        <v>-663.78474228318476</v>
      </c>
      <c r="BA69" s="39">
        <f t="shared" si="12"/>
        <v>-132.51937797599203</v>
      </c>
      <c r="BB69" s="39">
        <f t="shared" si="13"/>
        <v>3.036735938253579</v>
      </c>
      <c r="BC69" s="45">
        <f t="shared" si="14"/>
        <v>-291.65708133261506</v>
      </c>
      <c r="BD69" s="45">
        <f t="shared" si="15"/>
        <v>-339.42633037540958</v>
      </c>
      <c r="BE69" s="64">
        <f t="shared" si="16"/>
        <v>20655353.993081789</v>
      </c>
      <c r="BF69" s="65">
        <f t="shared" si="17"/>
        <v>1280676769.3553348</v>
      </c>
      <c r="BG69" s="66">
        <f t="shared" si="18"/>
        <v>1016369797.4895144</v>
      </c>
    </row>
    <row r="70" spans="43:59" x14ac:dyDescent="0.25">
      <c r="AQ70" s="7">
        <v>55</v>
      </c>
      <c r="AR70" s="58">
        <f t="shared" si="19"/>
        <v>27.5</v>
      </c>
      <c r="AS70" s="58">
        <f t="shared" si="20"/>
        <v>13493.52043441993</v>
      </c>
      <c r="AT70" s="58">
        <f t="shared" si="21"/>
        <v>6115.9544614118795</v>
      </c>
      <c r="AU70" s="58">
        <f t="shared" si="22"/>
        <v>-4256.2230050532007</v>
      </c>
      <c r="AV70" s="58">
        <f t="shared" si="23"/>
        <v>-6378.4384076430651</v>
      </c>
      <c r="AW70" s="58">
        <f t="shared" si="9"/>
        <v>1453.1100753541937</v>
      </c>
      <c r="AX70" s="58">
        <f t="shared" si="24"/>
        <v>17.473536062935466</v>
      </c>
      <c r="AY70" s="33">
        <f t="shared" si="10"/>
        <v>1966.3987943048139</v>
      </c>
      <c r="AZ70" s="33">
        <f t="shared" si="11"/>
        <v>418.28848471915563</v>
      </c>
      <c r="BA70" s="39">
        <f t="shared" si="12"/>
        <v>-147.29245172831378</v>
      </c>
      <c r="BB70" s="39">
        <f t="shared" si="13"/>
        <v>17.080634778992923</v>
      </c>
      <c r="BC70" s="45">
        <f t="shared" si="14"/>
        <v>-365.9962672223063</v>
      </c>
      <c r="BD70" s="45">
        <f t="shared" si="15"/>
        <v>-417.8955834352131</v>
      </c>
      <c r="BE70" s="64">
        <f t="shared" si="16"/>
        <v>44249858.390196696</v>
      </c>
      <c r="BF70" s="65">
        <f t="shared" si="17"/>
        <v>1136901720.8367317</v>
      </c>
      <c r="BG70" s="66">
        <f t="shared" si="18"/>
        <v>787893830.87472773</v>
      </c>
    </row>
    <row r="71" spans="43:59" x14ac:dyDescent="0.25">
      <c r="AQ71" s="7">
        <v>56</v>
      </c>
      <c r="AR71" s="58">
        <f t="shared" si="19"/>
        <v>28</v>
      </c>
      <c r="AS71" s="58">
        <f t="shared" si="20"/>
        <v>11547.047691312604</v>
      </c>
      <c r="AT71" s="58">
        <f t="shared" si="21"/>
        <v>2928.9194495982138</v>
      </c>
      <c r="AU71" s="58">
        <f t="shared" si="22"/>
        <v>-3529.6679673761037</v>
      </c>
      <c r="AV71" s="58">
        <f t="shared" si="23"/>
        <v>-6369.7016396115978</v>
      </c>
      <c r="AW71" s="58">
        <f t="shared" si="9"/>
        <v>1029.9780802799694</v>
      </c>
      <c r="AX71" s="58">
        <f t="shared" si="24"/>
        <v>420.20113474218488</v>
      </c>
      <c r="AY71" s="33">
        <f t="shared" si="10"/>
        <v>1659.1219358202197</v>
      </c>
      <c r="AZ71" s="33">
        <f t="shared" si="11"/>
        <v>897.1989589694532</v>
      </c>
      <c r="BA71" s="39">
        <f t="shared" si="12"/>
        <v>-156.52965797514742</v>
      </c>
      <c r="BB71" s="39">
        <f t="shared" si="13"/>
        <v>35.085179155256029</v>
      </c>
      <c r="BC71" s="45">
        <f t="shared" si="14"/>
        <v>-472.61419756510281</v>
      </c>
      <c r="BD71" s="45">
        <f t="shared" si="15"/>
        <v>-512.08300338252434</v>
      </c>
      <c r="BE71" s="64">
        <f t="shared" si="16"/>
        <v>92347180.131205082</v>
      </c>
      <c r="BF71" s="65">
        <f t="shared" si="17"/>
        <v>1045216398.1882224</v>
      </c>
      <c r="BG71" s="66">
        <f t="shared" si="18"/>
        <v>595250939.92875504</v>
      </c>
    </row>
    <row r="72" spans="43:59" x14ac:dyDescent="0.25">
      <c r="AQ72" s="7">
        <v>57</v>
      </c>
      <c r="AR72" s="58">
        <f t="shared" si="19"/>
        <v>28.5</v>
      </c>
      <c r="AS72" s="58">
        <f t="shared" si="20"/>
        <v>9910.9609676595483</v>
      </c>
      <c r="AT72" s="58">
        <f t="shared" si="21"/>
        <v>-203.40622836481202</v>
      </c>
      <c r="AU72" s="58">
        <f t="shared" si="22"/>
        <v>-3014.6789272361189</v>
      </c>
      <c r="AV72" s="58">
        <f t="shared" si="23"/>
        <v>-6159.6010722405053</v>
      </c>
      <c r="AW72" s="58">
        <f t="shared" si="9"/>
        <v>473.50780885045492</v>
      </c>
      <c r="AX72" s="58">
        <f t="shared" si="24"/>
        <v>394.66540550178604</v>
      </c>
      <c r="AY72" s="33">
        <f t="shared" si="10"/>
        <v>1251.873186117439</v>
      </c>
      <c r="AZ72" s="33">
        <f t="shared" si="11"/>
        <v>955.85790362660941</v>
      </c>
      <c r="BA72" s="39">
        <f t="shared" si="12"/>
        <v>-158.38753792368814</v>
      </c>
      <c r="BB72" s="39">
        <f t="shared" si="13"/>
        <v>54.030105976644656</v>
      </c>
      <c r="BC72" s="45">
        <f t="shared" si="14"/>
        <v>-619.97783934329595</v>
      </c>
      <c r="BD72" s="45">
        <f t="shared" si="15"/>
        <v>-615.22260410146805</v>
      </c>
      <c r="BE72" s="64">
        <f t="shared" si="16"/>
        <v>161131176.11529893</v>
      </c>
      <c r="BF72" s="65">
        <f t="shared" si="17"/>
        <v>998775084.66988695</v>
      </c>
      <c r="BG72" s="66">
        <f t="shared" si="18"/>
        <v>441275944.22185981</v>
      </c>
    </row>
    <row r="73" spans="43:59" x14ac:dyDescent="0.25">
      <c r="AQ73" s="7">
        <v>58</v>
      </c>
      <c r="AR73" s="58">
        <f t="shared" si="19"/>
        <v>29</v>
      </c>
      <c r="AS73" s="58">
        <f t="shared" si="20"/>
        <v>8462.8099801477947</v>
      </c>
      <c r="AT73" s="58">
        <f t="shared" si="21"/>
        <v>-3233.8735887973417</v>
      </c>
      <c r="AU73" s="58">
        <f t="shared" si="22"/>
        <v>-2777.9250228108913</v>
      </c>
      <c r="AV73" s="58">
        <f t="shared" si="23"/>
        <v>-5962.2683694896123</v>
      </c>
      <c r="AW73" s="58">
        <f t="shared" si="9"/>
        <v>-44.312123668620075</v>
      </c>
      <c r="AX73" s="58">
        <f t="shared" si="24"/>
        <v>219.44847950684425</v>
      </c>
      <c r="AY73" s="33">
        <f t="shared" si="10"/>
        <v>929.23556126694587</v>
      </c>
      <c r="AZ73" s="33">
        <f t="shared" si="11"/>
        <v>864.53434776506504</v>
      </c>
      <c r="BA73" s="39">
        <f t="shared" si="12"/>
        <v>-153.68148117982474</v>
      </c>
      <c r="BB73" s="39">
        <f t="shared" si="13"/>
        <v>71.454691096608926</v>
      </c>
      <c r="BC73" s="45">
        <f t="shared" si="14"/>
        <v>-819.86620375574114</v>
      </c>
      <c r="BD73" s="45">
        <f t="shared" si="15"/>
        <v>-716.54055935482972</v>
      </c>
      <c r="BE73" s="64">
        <f t="shared" si="16"/>
        <v>248322795.77445847</v>
      </c>
      <c r="BF73" s="65">
        <f t="shared" si="17"/>
        <v>985266962.13026881</v>
      </c>
      <c r="BG73" s="66">
        <f t="shared" si="18"/>
        <v>319688983.28596783</v>
      </c>
    </row>
    <row r="74" spans="43:59" x14ac:dyDescent="0.25">
      <c r="AQ74" s="7">
        <v>59</v>
      </c>
      <c r="AR74" s="58">
        <f t="shared" si="19"/>
        <v>29.5</v>
      </c>
      <c r="AS74" s="58">
        <f t="shared" si="20"/>
        <v>7068.308453283772</v>
      </c>
      <c r="AT74" s="58">
        <f t="shared" si="21"/>
        <v>-6187.5767136037921</v>
      </c>
      <c r="AU74" s="58">
        <f t="shared" si="22"/>
        <v>-2800.0810846452014</v>
      </c>
      <c r="AV74" s="58">
        <f t="shared" si="23"/>
        <v>-5852.5441297361904</v>
      </c>
      <c r="AW74" s="58">
        <f t="shared" si="9"/>
        <v>-532.5519524244454</v>
      </c>
      <c r="AX74" s="58">
        <f t="shared" si="24"/>
        <v>31.929694395017691</v>
      </c>
      <c r="AY74" s="33">
        <f t="shared" si="10"/>
        <v>698.6195942232938</v>
      </c>
      <c r="AZ74" s="33">
        <f t="shared" si="11"/>
        <v>739.45541115124172</v>
      </c>
      <c r="BA74" s="39">
        <f t="shared" si="12"/>
        <v>-144.16870870408187</v>
      </c>
      <c r="BB74" s="39">
        <f t="shared" si="13"/>
        <v>86.216766587991486</v>
      </c>
      <c r="BC74" s="45">
        <f t="shared" si="14"/>
        <v>-1087.0028379436574</v>
      </c>
      <c r="BD74" s="45">
        <f t="shared" si="15"/>
        <v>-793.74248334421554</v>
      </c>
      <c r="BE74" s="64">
        <f t="shared" si="16"/>
        <v>354578402.55020076</v>
      </c>
      <c r="BF74" s="65">
        <f t="shared" si="17"/>
        <v>994730962.38092136</v>
      </c>
      <c r="BG74" s="66">
        <f t="shared" si="18"/>
        <v>223302873.10221869</v>
      </c>
    </row>
    <row r="75" spans="43:59" x14ac:dyDescent="0.25">
      <c r="AQ75" s="7">
        <v>60</v>
      </c>
      <c r="AR75" s="58">
        <f t="shared" si="19"/>
        <v>30</v>
      </c>
      <c r="AS75" s="58">
        <f t="shared" si="20"/>
        <v>5601.6989169081153</v>
      </c>
      <c r="AT75" s="58">
        <f t="shared" si="21"/>
        <v>-9109.8575666725101</v>
      </c>
      <c r="AU75" s="58">
        <f t="shared" si="22"/>
        <v>-3066.3570608574241</v>
      </c>
      <c r="AV75" s="58">
        <f t="shared" si="23"/>
        <v>-5836.5792825386816</v>
      </c>
      <c r="AW75" s="58">
        <f t="shared" si="9"/>
        <v>-1025.3452898656637</v>
      </c>
      <c r="AX75" s="58">
        <f t="shared" si="24"/>
        <v>-78.428889021309601</v>
      </c>
      <c r="AY75" s="33">
        <f t="shared" si="10"/>
        <v>535.28532839769616</v>
      </c>
      <c r="AZ75" s="33">
        <f t="shared" si="11"/>
        <v>617.5043160235125</v>
      </c>
      <c r="BA75" s="39">
        <f t="shared" si="12"/>
        <v>-131.43436958483633</v>
      </c>
      <c r="BB75" s="39">
        <f t="shared" si="13"/>
        <v>98.106461226790699</v>
      </c>
      <c r="BC75" s="45">
        <f t="shared" si="14"/>
        <v>-1429.1962486785235</v>
      </c>
      <c r="BD75" s="45">
        <f t="shared" si="15"/>
        <v>-794.03966627161276</v>
      </c>
      <c r="BE75" s="64">
        <f t="shared" si="16"/>
        <v>483198442.46451294</v>
      </c>
      <c r="BF75" s="65">
        <f t="shared" si="17"/>
        <v>1020633643.6505246</v>
      </c>
      <c r="BG75" s="66">
        <f t="shared" si="18"/>
        <v>147089797.80965579</v>
      </c>
    </row>
    <row r="76" spans="43:59" x14ac:dyDescent="0.25">
      <c r="AQ76" s="7">
        <v>61</v>
      </c>
      <c r="AR76" s="58">
        <f t="shared" si="19"/>
        <v>30.5</v>
      </c>
      <c r="AS76" s="58">
        <f t="shared" si="20"/>
        <v>3940.3522252461948</v>
      </c>
      <c r="AT76" s="58">
        <f t="shared" si="21"/>
        <v>-12037.950819069514</v>
      </c>
      <c r="AU76" s="58">
        <f t="shared" si="22"/>
        <v>-3579.0297057902562</v>
      </c>
      <c r="AV76" s="58">
        <f t="shared" si="23"/>
        <v>-5875.7937270493367</v>
      </c>
      <c r="AW76" s="58">
        <f t="shared" si="9"/>
        <v>-1504.4383474840447</v>
      </c>
      <c r="AX76" s="58">
        <f t="shared" si="24"/>
        <v>17.60054170615922</v>
      </c>
      <c r="AY76" s="33">
        <f t="shared" si="10"/>
        <v>418.02350149935916</v>
      </c>
      <c r="AZ76" s="33">
        <f t="shared" si="11"/>
        <v>508.56175229128985</v>
      </c>
      <c r="BA76" s="39">
        <f t="shared" si="12"/>
        <v>-116.60692224682266</v>
      </c>
      <c r="BB76" s="39">
        <f t="shared" si="13"/>
        <v>107.34084417223372</v>
      </c>
      <c r="BC76" s="45">
        <f t="shared" si="14"/>
        <v>-1805.8549267365811</v>
      </c>
      <c r="BD76" s="45">
        <f t="shared" si="15"/>
        <v>-598.30205475736432</v>
      </c>
      <c r="BE76" s="64">
        <f t="shared" si="16"/>
        <v>639643808.85753393</v>
      </c>
      <c r="BF76" s="65">
        <f t="shared" si="17"/>
        <v>1058811740.9725771</v>
      </c>
      <c r="BG76" s="66">
        <f t="shared" si="18"/>
        <v>88703633.261715561</v>
      </c>
    </row>
    <row r="77" spans="43:59" x14ac:dyDescent="0.25">
      <c r="AQ77" s="7">
        <v>62</v>
      </c>
      <c r="AR77" s="58">
        <f t="shared" si="19"/>
        <v>31</v>
      </c>
      <c r="AS77" s="58">
        <f t="shared" si="20"/>
        <v>1962.7825789155611</v>
      </c>
      <c r="AT77" s="58">
        <f t="shared" si="21"/>
        <v>-14973.647614880914</v>
      </c>
      <c r="AU77" s="58">
        <f t="shared" si="22"/>
        <v>-4331.2488795322788</v>
      </c>
      <c r="AV77" s="58">
        <f t="shared" si="23"/>
        <v>-5866.9934561962573</v>
      </c>
      <c r="AW77" s="58">
        <f t="shared" si="9"/>
        <v>-1782.6982363465841</v>
      </c>
      <c r="AX77" s="58">
        <f t="shared" si="24"/>
        <v>521.26131153611186</v>
      </c>
      <c r="AY77" s="33">
        <f t="shared" si="10"/>
        <v>332.78165281799465</v>
      </c>
      <c r="AZ77" s="33">
        <f t="shared" si="11"/>
        <v>414.63255797909045</v>
      </c>
      <c r="BA77" s="39">
        <f t="shared" si="12"/>
        <v>-100.48024373159437</v>
      </c>
      <c r="BB77" s="39">
        <f t="shared" si="13"/>
        <v>114.25502165737359</v>
      </c>
      <c r="BC77" s="45">
        <f t="shared" si="14"/>
        <v>-2014.9996454329844</v>
      </c>
      <c r="BD77" s="45">
        <f t="shared" si="15"/>
        <v>-7.62626810035212</v>
      </c>
      <c r="BE77" s="64">
        <f t="shared" si="16"/>
        <v>830406049.41331458</v>
      </c>
      <c r="BF77" s="65">
        <f t="shared" si="17"/>
        <v>1106046893.8009641</v>
      </c>
      <c r="BG77" s="66">
        <f t="shared" si="18"/>
        <v>48481035.689451501</v>
      </c>
    </row>
    <row r="78" spans="43:59" x14ac:dyDescent="0.25">
      <c r="AQ78" s="7">
        <v>63</v>
      </c>
      <c r="AR78" s="58">
        <f t="shared" si="19"/>
        <v>31.5</v>
      </c>
      <c r="AS78" s="58">
        <f t="shared" si="20"/>
        <v>-425.67914039390132</v>
      </c>
      <c r="AT78" s="58">
        <f t="shared" si="21"/>
        <v>-17841.986679037029</v>
      </c>
      <c r="AU78" s="58">
        <f t="shared" si="22"/>
        <v>-5222.5979977055704</v>
      </c>
      <c r="AV78" s="58">
        <f t="shared" si="23"/>
        <v>-5606.3628004282018</v>
      </c>
      <c r="AW78" s="58">
        <f t="shared" si="9"/>
        <v>-1447.5829892571826</v>
      </c>
      <c r="AX78" s="58">
        <f t="shared" si="24"/>
        <v>1470.9152354642963</v>
      </c>
      <c r="AY78" s="33">
        <f t="shared" si="10"/>
        <v>270.9014499480723</v>
      </c>
      <c r="AZ78" s="33">
        <f t="shared" si="11"/>
        <v>336.10539403506323</v>
      </c>
      <c r="BA78" s="39">
        <f t="shared" si="12"/>
        <v>-83.799285755930526</v>
      </c>
      <c r="BB78" s="39">
        <f t="shared" si="13"/>
        <v>119.19384659439908</v>
      </c>
      <c r="BC78" s="45">
        <f t="shared" si="14"/>
        <v>-1634.6851534493244</v>
      </c>
      <c r="BD78" s="45">
        <f t="shared" si="15"/>
        <v>1015.6159948348341</v>
      </c>
      <c r="BE78" s="64">
        <f t="shared" si="16"/>
        <v>1059424657.1868129</v>
      </c>
      <c r="BF78" s="65">
        <f t="shared" si="17"/>
        <v>1158330259.3504858</v>
      </c>
      <c r="BG78" s="66">
        <f t="shared" si="18"/>
        <v>29001299.610451397</v>
      </c>
    </row>
    <row r="79" spans="43:59" x14ac:dyDescent="0.25">
      <c r="AQ79" s="7">
        <v>64</v>
      </c>
      <c r="AR79" s="58">
        <f t="shared" si="19"/>
        <v>32</v>
      </c>
      <c r="AS79" s="58">
        <f t="shared" si="20"/>
        <v>-3217.9260129038344</v>
      </c>
      <c r="AT79" s="58">
        <f t="shared" si="21"/>
        <v>-20461.303674818093</v>
      </c>
      <c r="AU79" s="58">
        <f t="shared" si="22"/>
        <v>-5946.3894923341613</v>
      </c>
      <c r="AV79" s="58">
        <f t="shared" si="23"/>
        <v>-4870.905182696054</v>
      </c>
      <c r="AW79" s="58">
        <f t="shared" si="9"/>
        <v>-448.86298423603273</v>
      </c>
      <c r="AX79" s="58">
        <f t="shared" si="24"/>
        <v>2260.1470438328215</v>
      </c>
      <c r="AY79" s="33">
        <f t="shared" si="10"/>
        <v>226.9727668453057</v>
      </c>
      <c r="AZ79" s="33">
        <f t="shared" si="11"/>
        <v>273.3428668929389</v>
      </c>
      <c r="BA79" s="39">
        <f t="shared" si="12"/>
        <v>-67.506177626500175</v>
      </c>
      <c r="BB79" s="39">
        <f t="shared" si="13"/>
        <v>122.53111136252609</v>
      </c>
      <c r="BC79" s="45">
        <f t="shared" si="14"/>
        <v>-608.32957345483828</v>
      </c>
      <c r="BD79" s="45">
        <f t="shared" si="15"/>
        <v>1864.2730655773564</v>
      </c>
      <c r="BE79" s="64">
        <f t="shared" si="16"/>
        <v>1320906591.5360723</v>
      </c>
      <c r="BF79" s="65">
        <f t="shared" si="17"/>
        <v>1209529028.877856</v>
      </c>
      <c r="BG79" s="66">
        <f t="shared" si="18"/>
        <v>33001625.52406643</v>
      </c>
    </row>
    <row r="80" spans="43:59" x14ac:dyDescent="0.25">
      <c r="AQ80" s="7">
        <v>65</v>
      </c>
      <c r="AR80" s="58">
        <f t="shared" si="19"/>
        <v>32.5</v>
      </c>
      <c r="AS80" s="58">
        <f t="shared" si="20"/>
        <v>-6247.2286321004185</v>
      </c>
      <c r="AT80" s="58">
        <f t="shared" si="21"/>
        <v>-22614.23788568702</v>
      </c>
      <c r="AU80" s="58">
        <f t="shared" si="22"/>
        <v>-6170.820984452178</v>
      </c>
      <c r="AV80" s="58">
        <f t="shared" si="23"/>
        <v>-3740.8316607796432</v>
      </c>
      <c r="AW80" s="58">
        <f t="shared" ref="AW80:AW143" si="25">(AY80+BA80+BC80)</f>
        <v>468.31144157511767</v>
      </c>
      <c r="AX80" s="58">
        <f t="shared" si="24"/>
        <v>2329.0712400285115</v>
      </c>
      <c r="AY80" s="33">
        <f t="shared" ref="AY80:AY143" si="26">$H$27*(($H$23-AS80)/(BE80+$H$28^2)^(3/2))</f>
        <v>196.80047766972183</v>
      </c>
      <c r="AZ80" s="33">
        <f t="shared" ref="AZ80:AZ143" si="27">$H$27*(($I$23-AT80)/(BE80+$H$28^2)^(3/2))</f>
        <v>225.79512997858834</v>
      </c>
      <c r="BA80" s="39">
        <f t="shared" ref="BA80:BA143" si="28">$H$35*(($H$31-AS80)/(BF80+$H$36^2)^(3/2))</f>
        <v>-52.583917381694185</v>
      </c>
      <c r="BB80" s="39">
        <f t="shared" ref="BB80:BB143" si="29">$H$35*(($I$31-AT80)/(BF80+$H$36^2)^(3/2))</f>
        <v>124.70100349743623</v>
      </c>
      <c r="BC80" s="45">
        <f t="shared" ref="BC80:BC143" si="30">$H$43*(($H$39-AS80)/(BG80+$H$44^2)^(3/2))</f>
        <v>324.09488128709</v>
      </c>
      <c r="BD80" s="45">
        <f t="shared" ref="BD80:BD143" si="31">$H$43*(($I$39-AT80)/(BG80+$H$44^2)^(3/2))</f>
        <v>1978.5751065524869</v>
      </c>
      <c r="BE80" s="64">
        <f t="shared" ref="BE80:BE143" si="32">($H$23-AS80)^2+($I$23-AT80)^2</f>
        <v>1595784334.3014994</v>
      </c>
      <c r="BF80" s="65">
        <f t="shared" ref="BF80:BF143" si="33">($H$31-AS80)^2+($I$31-AT80)^2</f>
        <v>1252827233.1619012</v>
      </c>
      <c r="BG80" s="66">
        <f t="shared" ref="BG80:BG143" si="34">($H$39-AS80)^2+($I$39-AT80)^2</f>
        <v>59532197.840562619</v>
      </c>
    </row>
    <row r="81" spans="43:59" x14ac:dyDescent="0.25">
      <c r="AQ81" s="7">
        <v>66</v>
      </c>
      <c r="AR81" s="58">
        <f t="shared" ref="AR81:AR144" si="35">AR80+$H$9</f>
        <v>33</v>
      </c>
      <c r="AS81" s="58">
        <f t="shared" ref="AS81:AS144" si="36">AS80+(AU80*$H$9)+(AW80*$H$9^2)*(1/2)</f>
        <v>-9274.1001941296181</v>
      </c>
      <c r="AT81" s="58">
        <f t="shared" ref="AT81:AT144" si="37">AT80+(AV80*$H$9)+(AX80*$H$9^2)*(1/2)</f>
        <v>-24193.519811073278</v>
      </c>
      <c r="AU81" s="58">
        <f t="shared" ref="AU81:AU144" si="38">AU80+AW80*$H$9</f>
        <v>-5936.6652636646195</v>
      </c>
      <c r="AV81" s="58">
        <f t="shared" ref="AV81:AV144" si="39">AV80+AX80*$H$9</f>
        <v>-2576.2960407653873</v>
      </c>
      <c r="AW81" s="58">
        <f t="shared" si="25"/>
        <v>911.83473911862154</v>
      </c>
      <c r="AX81" s="58">
        <f t="shared" ref="AX81:AX144" si="40">(AZ81+BB81+BD81)</f>
        <v>1984.0960643035655</v>
      </c>
      <c r="AY81" s="33">
        <f t="shared" si="26"/>
        <v>176.44753827845412</v>
      </c>
      <c r="AZ81" s="33">
        <f t="shared" si="27"/>
        <v>191.03041640763109</v>
      </c>
      <c r="BA81" s="39">
        <f t="shared" si="28"/>
        <v>-39.569734243219379</v>
      </c>
      <c r="BB81" s="39">
        <f t="shared" si="29"/>
        <v>126.14591934038967</v>
      </c>
      <c r="BC81" s="45">
        <f t="shared" si="30"/>
        <v>774.95693508338684</v>
      </c>
      <c r="BD81" s="45">
        <f t="shared" si="31"/>
        <v>1666.9197285555449</v>
      </c>
      <c r="BE81" s="64">
        <f t="shared" si="32"/>
        <v>1861452140.190834</v>
      </c>
      <c r="BF81" s="65">
        <f t="shared" si="33"/>
        <v>1284241723.7158308</v>
      </c>
      <c r="BG81" s="66">
        <f t="shared" si="34"/>
        <v>102788738.98605567</v>
      </c>
    </row>
    <row r="82" spans="43:59" x14ac:dyDescent="0.25">
      <c r="AQ82" s="7">
        <v>67</v>
      </c>
      <c r="AR82" s="58">
        <f t="shared" si="35"/>
        <v>33.5</v>
      </c>
      <c r="AS82" s="58">
        <f t="shared" si="36"/>
        <v>-12128.453483572101</v>
      </c>
      <c r="AT82" s="58">
        <f t="shared" si="37"/>
        <v>-25233.655823418027</v>
      </c>
      <c r="AU82" s="58">
        <f t="shared" si="38"/>
        <v>-5480.7478941053087</v>
      </c>
      <c r="AV82" s="58">
        <f t="shared" si="39"/>
        <v>-1584.2480086136045</v>
      </c>
      <c r="AW82" s="58">
        <f t="shared" si="25"/>
        <v>1047.8762818831908</v>
      </c>
      <c r="AX82" s="58">
        <f t="shared" si="40"/>
        <v>1604.6095477424788</v>
      </c>
      <c r="AY82" s="33">
        <f t="shared" si="26"/>
        <v>162.61138261507355</v>
      </c>
      <c r="AZ82" s="33">
        <f t="shared" si="27"/>
        <v>165.67448645524263</v>
      </c>
      <c r="BA82" s="39">
        <f t="shared" si="28"/>
        <v>-28.425536793626698</v>
      </c>
      <c r="BB82" s="39">
        <f t="shared" si="29"/>
        <v>127.23491856299729</v>
      </c>
      <c r="BC82" s="45">
        <f t="shared" si="30"/>
        <v>913.69043606174387</v>
      </c>
      <c r="BD82" s="45">
        <f t="shared" si="31"/>
        <v>1311.7001427242387</v>
      </c>
      <c r="BE82" s="64">
        <f t="shared" si="32"/>
        <v>2103729746.8120451</v>
      </c>
      <c r="BF82" s="65">
        <f t="shared" si="33"/>
        <v>1303371747.2433672</v>
      </c>
      <c r="BG82" s="66">
        <f t="shared" si="34"/>
        <v>155542560.57962891</v>
      </c>
    </row>
    <row r="83" spans="43:59" x14ac:dyDescent="0.25">
      <c r="AQ83" s="7">
        <v>68</v>
      </c>
      <c r="AR83" s="58">
        <f t="shared" si="35"/>
        <v>34</v>
      </c>
      <c r="AS83" s="58">
        <f t="shared" si="36"/>
        <v>-14737.842895389356</v>
      </c>
      <c r="AT83" s="58">
        <f t="shared" si="37"/>
        <v>-25825.203634257021</v>
      </c>
      <c r="AU83" s="58">
        <f t="shared" si="38"/>
        <v>-4956.8097531637131</v>
      </c>
      <c r="AV83" s="58">
        <f t="shared" si="39"/>
        <v>-781.94323474236512</v>
      </c>
      <c r="AW83" s="58">
        <f t="shared" si="25"/>
        <v>1059.3410949880481</v>
      </c>
      <c r="AX83" s="58">
        <f t="shared" si="40"/>
        <v>1303.5269042653317</v>
      </c>
      <c r="AY83" s="33">
        <f t="shared" si="26"/>
        <v>153.04148256873964</v>
      </c>
      <c r="AZ83" s="33">
        <f t="shared" si="27"/>
        <v>146.81794106935666</v>
      </c>
      <c r="BA83" s="39">
        <f t="shared" si="28"/>
        <v>-18.840103411330933</v>
      </c>
      <c r="BB83" s="39">
        <f t="shared" si="29"/>
        <v>128.26499243247733</v>
      </c>
      <c r="BC83" s="45">
        <f t="shared" si="30"/>
        <v>925.13971583063937</v>
      </c>
      <c r="BD83" s="45">
        <f t="shared" si="31"/>
        <v>1028.4439707634976</v>
      </c>
      <c r="BE83" s="64">
        <f t="shared" si="32"/>
        <v>2317286926.2894506</v>
      </c>
      <c r="BF83" s="65">
        <f t="shared" si="33"/>
        <v>1311135512.8295867</v>
      </c>
      <c r="BG83" s="66">
        <f t="shared" si="34"/>
        <v>212010617.97841638</v>
      </c>
    </row>
    <row r="84" spans="43:59" x14ac:dyDescent="0.25">
      <c r="AQ84" s="7">
        <v>69</v>
      </c>
      <c r="AR84" s="58">
        <f t="shared" si="35"/>
        <v>34.5</v>
      </c>
      <c r="AS84" s="58">
        <f t="shared" si="36"/>
        <v>-17083.830135097705</v>
      </c>
      <c r="AT84" s="58">
        <f t="shared" si="37"/>
        <v>-26053.234388595036</v>
      </c>
      <c r="AU84" s="58">
        <f t="shared" si="38"/>
        <v>-4427.1392056696895</v>
      </c>
      <c r="AV84" s="58">
        <f t="shared" si="39"/>
        <v>-130.17978260969926</v>
      </c>
      <c r="AW84" s="58">
        <f t="shared" si="25"/>
        <v>1031.4518037136352</v>
      </c>
      <c r="AX84" s="58">
        <f t="shared" si="40"/>
        <v>1081.0906081467378</v>
      </c>
      <c r="AY84" s="33">
        <f t="shared" si="26"/>
        <v>146.37441236190782</v>
      </c>
      <c r="AZ84" s="33">
        <f t="shared" si="27"/>
        <v>132.43871920941794</v>
      </c>
      <c r="BA84" s="39">
        <f t="shared" si="28"/>
        <v>-10.473038629230512</v>
      </c>
      <c r="BB84" s="39">
        <f t="shared" si="29"/>
        <v>129.48042602213391</v>
      </c>
      <c r="BC84" s="45">
        <f t="shared" si="30"/>
        <v>895.5504299809578</v>
      </c>
      <c r="BD84" s="45">
        <f t="shared" si="31"/>
        <v>819.17146291518588</v>
      </c>
      <c r="BE84" s="64">
        <f t="shared" si="32"/>
        <v>2501029995.4247775</v>
      </c>
      <c r="BF84" s="65">
        <f t="shared" si="33"/>
        <v>1308339756.559936</v>
      </c>
      <c r="BG84" s="66">
        <f t="shared" si="34"/>
        <v>268192941.1831153</v>
      </c>
    </row>
    <row r="85" spans="43:59" x14ac:dyDescent="0.25">
      <c r="AQ85" s="7">
        <v>70</v>
      </c>
      <c r="AR85" s="58">
        <f t="shared" si="35"/>
        <v>35</v>
      </c>
      <c r="AS85" s="58">
        <f t="shared" si="36"/>
        <v>-19168.468262468348</v>
      </c>
      <c r="AT85" s="58">
        <f t="shared" si="37"/>
        <v>-25983.187953881545</v>
      </c>
      <c r="AU85" s="58">
        <f t="shared" si="38"/>
        <v>-3911.4133038128721</v>
      </c>
      <c r="AV85" s="58">
        <f t="shared" si="39"/>
        <v>410.36552146366967</v>
      </c>
      <c r="AW85" s="58">
        <f t="shared" si="25"/>
        <v>996.43669808538584</v>
      </c>
      <c r="AX85" s="58">
        <f t="shared" si="40"/>
        <v>917.15522905394482</v>
      </c>
      <c r="AY85" s="33">
        <f t="shared" si="26"/>
        <v>141.80239919341165</v>
      </c>
      <c r="AZ85" s="33">
        <f t="shared" si="27"/>
        <v>121.21986370996092</v>
      </c>
      <c r="BA85" s="39">
        <f t="shared" si="28"/>
        <v>-3.0292801719621156</v>
      </c>
      <c r="BB85" s="39">
        <f t="shared" si="29"/>
        <v>131.08718870580722</v>
      </c>
      <c r="BC85" s="45">
        <f t="shared" si="30"/>
        <v>857.66357906393637</v>
      </c>
      <c r="BD85" s="45">
        <f t="shared" si="31"/>
        <v>664.84817663817671</v>
      </c>
      <c r="BE85" s="64">
        <f t="shared" si="32"/>
        <v>2655292781.5829482</v>
      </c>
      <c r="BF85" s="65">
        <f t="shared" si="33"/>
        <v>1295481260.354888</v>
      </c>
      <c r="BG85" s="66">
        <f t="shared" si="34"/>
        <v>321375910.53486151</v>
      </c>
    </row>
    <row r="86" spans="43:59" x14ac:dyDescent="0.25">
      <c r="AQ86" s="7">
        <v>71</v>
      </c>
      <c r="AR86" s="58">
        <f t="shared" si="35"/>
        <v>35.5</v>
      </c>
      <c r="AS86" s="58">
        <f t="shared" si="36"/>
        <v>-20999.620327114109</v>
      </c>
      <c r="AT86" s="58">
        <f t="shared" si="37"/>
        <v>-25663.360789517967</v>
      </c>
      <c r="AU86" s="58">
        <f t="shared" si="38"/>
        <v>-3413.1949547701793</v>
      </c>
      <c r="AV86" s="58">
        <f t="shared" si="39"/>
        <v>868.94313599064208</v>
      </c>
      <c r="AW86" s="58">
        <f t="shared" si="25"/>
        <v>965.54566368216877</v>
      </c>
      <c r="AX86" s="58">
        <f t="shared" si="40"/>
        <v>794.06241656198199</v>
      </c>
      <c r="AY86" s="33">
        <f t="shared" si="26"/>
        <v>138.83977880632605</v>
      </c>
      <c r="AZ86" s="33">
        <f t="shared" si="27"/>
        <v>112.30332475654797</v>
      </c>
      <c r="BA86" s="39">
        <f t="shared" si="28"/>
        <v>3.7354459996389009</v>
      </c>
      <c r="BB86" s="39">
        <f t="shared" si="29"/>
        <v>133.26915708035261</v>
      </c>
      <c r="BC86" s="45">
        <f t="shared" si="30"/>
        <v>822.97043887620384</v>
      </c>
      <c r="BD86" s="45">
        <f t="shared" si="31"/>
        <v>548.48993472508141</v>
      </c>
      <c r="BE86" s="64">
        <f t="shared" si="32"/>
        <v>2780777365.8232465</v>
      </c>
      <c r="BF86" s="65">
        <f t="shared" si="33"/>
        <v>1272874543.6017072</v>
      </c>
      <c r="BG86" s="66">
        <f t="shared" si="34"/>
        <v>369695113.93923223</v>
      </c>
    </row>
    <row r="87" spans="43:59" x14ac:dyDescent="0.25">
      <c r="AQ87" s="7">
        <v>72</v>
      </c>
      <c r="AR87" s="58">
        <f t="shared" si="35"/>
        <v>36</v>
      </c>
      <c r="AS87" s="58">
        <f t="shared" si="36"/>
        <v>-22585.524596538929</v>
      </c>
      <c r="AT87" s="58">
        <f t="shared" si="37"/>
        <v>-25129.631419452395</v>
      </c>
      <c r="AU87" s="58">
        <f t="shared" si="38"/>
        <v>-2930.4221229290947</v>
      </c>
      <c r="AV87" s="58">
        <f t="shared" si="39"/>
        <v>1265.9743442716331</v>
      </c>
      <c r="AW87" s="58">
        <f t="shared" si="25"/>
        <v>942.32528487011507</v>
      </c>
      <c r="AX87" s="58">
        <f t="shared" si="40"/>
        <v>699.32310202263091</v>
      </c>
      <c r="AY87" s="33">
        <f t="shared" si="26"/>
        <v>137.19096612530254</v>
      </c>
      <c r="AZ87" s="33">
        <f t="shared" si="27"/>
        <v>105.11765913788977</v>
      </c>
      <c r="BA87" s="39">
        <f t="shared" si="28"/>
        <v>10.024668236540331</v>
      </c>
      <c r="BB87" s="39">
        <f t="shared" si="29"/>
        <v>136.20558888643751</v>
      </c>
      <c r="BC87" s="45">
        <f t="shared" si="30"/>
        <v>795.10965050827224</v>
      </c>
      <c r="BD87" s="45">
        <f t="shared" si="31"/>
        <v>457.99985399830365</v>
      </c>
      <c r="BE87" s="64">
        <f t="shared" si="32"/>
        <v>2878219751.7317371</v>
      </c>
      <c r="BF87" s="65">
        <f t="shared" si="33"/>
        <v>1240775941.1058846</v>
      </c>
      <c r="BG87" s="66">
        <f t="shared" si="34"/>
        <v>411860108.02943283</v>
      </c>
    </row>
    <row r="88" spans="43:59" x14ac:dyDescent="0.25">
      <c r="AQ88" s="7">
        <v>73</v>
      </c>
      <c r="AR88" s="58">
        <f t="shared" si="35"/>
        <v>36.5</v>
      </c>
      <c r="AS88" s="58">
        <f t="shared" si="36"/>
        <v>-23932.944997394712</v>
      </c>
      <c r="AT88" s="58">
        <f t="shared" si="37"/>
        <v>-24409.228859563747</v>
      </c>
      <c r="AU88" s="58">
        <f t="shared" si="38"/>
        <v>-2459.2594804940372</v>
      </c>
      <c r="AV88" s="58">
        <f t="shared" si="39"/>
        <v>1615.6358952829485</v>
      </c>
      <c r="AW88" s="58">
        <f t="shared" si="25"/>
        <v>927.59474687263355</v>
      </c>
      <c r="AX88" s="58">
        <f t="shared" si="40"/>
        <v>624.47019291753452</v>
      </c>
      <c r="AY88" s="33">
        <f t="shared" si="26"/>
        <v>136.67901380487783</v>
      </c>
      <c r="AZ88" s="33">
        <f t="shared" si="27"/>
        <v>99.272241641391261</v>
      </c>
      <c r="BA88" s="39">
        <f t="shared" si="28"/>
        <v>16.012054359425314</v>
      </c>
      <c r="BB88" s="39">
        <f t="shared" si="29"/>
        <v>140.08902828038873</v>
      </c>
      <c r="BC88" s="45">
        <f t="shared" si="30"/>
        <v>774.9036787083304</v>
      </c>
      <c r="BD88" s="45">
        <f t="shared" si="31"/>
        <v>385.10892299575454</v>
      </c>
      <c r="BE88" s="64">
        <f t="shared" si="32"/>
        <v>2948302542.5561247</v>
      </c>
      <c r="BF88" s="65">
        <f t="shared" si="33"/>
        <v>1199463087.062367</v>
      </c>
      <c r="BG88" s="66">
        <f t="shared" si="34"/>
        <v>446989994.00602078</v>
      </c>
    </row>
    <row r="89" spans="43:59" x14ac:dyDescent="0.25">
      <c r="AQ89" s="7">
        <v>74</v>
      </c>
      <c r="AR89" s="58">
        <f t="shared" si="35"/>
        <v>37</v>
      </c>
      <c r="AS89" s="58">
        <f t="shared" si="36"/>
        <v>-25046.625394282652</v>
      </c>
      <c r="AT89" s="58">
        <f t="shared" si="37"/>
        <v>-23523.352137807582</v>
      </c>
      <c r="AU89" s="58">
        <f t="shared" si="38"/>
        <v>-1995.4621070577205</v>
      </c>
      <c r="AV89" s="58">
        <f t="shared" si="39"/>
        <v>1927.8709917417157</v>
      </c>
      <c r="AW89" s="58">
        <f t="shared" si="25"/>
        <v>921.29080124161305</v>
      </c>
      <c r="AX89" s="58">
        <f t="shared" si="40"/>
        <v>563.72198508135966</v>
      </c>
      <c r="AY89" s="33">
        <f t="shared" si="26"/>
        <v>137.20693633258333</v>
      </c>
      <c r="AZ89" s="33">
        <f t="shared" si="27"/>
        <v>94.493628864277383</v>
      </c>
      <c r="BA89" s="39">
        <f t="shared" si="28"/>
        <v>21.850149161868291</v>
      </c>
      <c r="BB89" s="39">
        <f t="shared" si="29"/>
        <v>145.14456441462329</v>
      </c>
      <c r="BC89" s="45">
        <f t="shared" si="30"/>
        <v>762.23371574716145</v>
      </c>
      <c r="BD89" s="45">
        <f t="shared" si="31"/>
        <v>324.08379180245896</v>
      </c>
      <c r="BE89" s="64">
        <f t="shared" si="32"/>
        <v>2991646837.2792406</v>
      </c>
      <c r="BF89" s="65">
        <f t="shared" si="33"/>
        <v>1149283566.4256668</v>
      </c>
      <c r="BG89" s="66">
        <f t="shared" si="34"/>
        <v>474514721.36376715</v>
      </c>
    </row>
    <row r="90" spans="43:59" x14ac:dyDescent="0.25">
      <c r="AQ90" s="7">
        <v>75</v>
      </c>
      <c r="AR90" s="58">
        <f t="shared" si="35"/>
        <v>37.5</v>
      </c>
      <c r="AS90" s="58">
        <f t="shared" si="36"/>
        <v>-25929.195097656309</v>
      </c>
      <c r="AT90" s="58">
        <f t="shared" si="37"/>
        <v>-22488.951393801555</v>
      </c>
      <c r="AU90" s="58">
        <f t="shared" si="38"/>
        <v>-1534.816706436914</v>
      </c>
      <c r="AV90" s="58">
        <f t="shared" si="39"/>
        <v>2209.7319842823954</v>
      </c>
      <c r="AW90" s="58">
        <f t="shared" si="25"/>
        <v>923.15000166615732</v>
      </c>
      <c r="AX90" s="58">
        <f t="shared" si="40"/>
        <v>513.01727168422053</v>
      </c>
      <c r="AY90" s="33">
        <f t="shared" si="26"/>
        <v>138.73702562518727</v>
      </c>
      <c r="AZ90" s="33">
        <f t="shared" si="27"/>
        <v>90.586780568393834</v>
      </c>
      <c r="BA90" s="39">
        <f t="shared" si="28"/>
        <v>27.676419850796385</v>
      </c>
      <c r="BB90" s="39">
        <f t="shared" si="29"/>
        <v>151.65260115026325</v>
      </c>
      <c r="BC90" s="45">
        <f t="shared" si="30"/>
        <v>756.7365561901737</v>
      </c>
      <c r="BD90" s="45">
        <f t="shared" si="31"/>
        <v>270.77788996556347</v>
      </c>
      <c r="BE90" s="64">
        <f t="shared" si="32"/>
        <v>3008828168.0183687</v>
      </c>
      <c r="BF90" s="65">
        <f t="shared" si="33"/>
        <v>1090687317.1748717</v>
      </c>
      <c r="BG90" s="66">
        <f t="shared" si="34"/>
        <v>494115600.41448319</v>
      </c>
    </row>
    <row r="91" spans="43:59" x14ac:dyDescent="0.25">
      <c r="AQ91" s="7">
        <v>76</v>
      </c>
      <c r="AR91" s="58">
        <f t="shared" si="35"/>
        <v>38</v>
      </c>
      <c r="AS91" s="58">
        <f t="shared" si="36"/>
        <v>-26581.209700666495</v>
      </c>
      <c r="AT91" s="58">
        <f t="shared" si="37"/>
        <v>-21319.958242699831</v>
      </c>
      <c r="AU91" s="58">
        <f t="shared" si="38"/>
        <v>-1073.2417056038353</v>
      </c>
      <c r="AV91" s="58">
        <f t="shared" si="39"/>
        <v>2466.2406201245058</v>
      </c>
      <c r="AW91" s="58">
        <f t="shared" si="25"/>
        <v>932.94748147333507</v>
      </c>
      <c r="AX91" s="58">
        <f t="shared" si="40"/>
        <v>469.38095830760631</v>
      </c>
      <c r="AY91" s="33">
        <f t="shared" si="26"/>
        <v>141.28074747942799</v>
      </c>
      <c r="AZ91" s="33">
        <f t="shared" si="27"/>
        <v>87.410895273427698</v>
      </c>
      <c r="BA91" s="39">
        <f t="shared" si="28"/>
        <v>33.615985508580984</v>
      </c>
      <c r="BB91" s="39">
        <f t="shared" si="29"/>
        <v>159.97837940178903</v>
      </c>
      <c r="BC91" s="45">
        <f t="shared" si="30"/>
        <v>758.05074848532615</v>
      </c>
      <c r="BD91" s="45">
        <f t="shared" si="31"/>
        <v>221.9916836323896</v>
      </c>
      <c r="BE91" s="64">
        <f t="shared" si="32"/>
        <v>3000399090.2884288</v>
      </c>
      <c r="BF91" s="65">
        <f t="shared" si="33"/>
        <v>1024252105.4486079</v>
      </c>
      <c r="BG91" s="66">
        <f t="shared" si="34"/>
        <v>505690484.33361113</v>
      </c>
    </row>
    <row r="92" spans="43:59" x14ac:dyDescent="0.25">
      <c r="AQ92" s="7">
        <v>77</v>
      </c>
      <c r="AR92" s="58">
        <f t="shared" si="35"/>
        <v>38.5</v>
      </c>
      <c r="AS92" s="58">
        <f t="shared" si="36"/>
        <v>-27001.212118284246</v>
      </c>
      <c r="AT92" s="58">
        <f t="shared" si="37"/>
        <v>-20028.165312849131</v>
      </c>
      <c r="AU92" s="58">
        <f t="shared" si="38"/>
        <v>-606.76796486716773</v>
      </c>
      <c r="AV92" s="58">
        <f t="shared" si="39"/>
        <v>2700.9310992783089</v>
      </c>
      <c r="AW92" s="58">
        <f t="shared" si="25"/>
        <v>950.55395946002386</v>
      </c>
      <c r="AX92" s="58">
        <f t="shared" si="40"/>
        <v>430.5112519385732</v>
      </c>
      <c r="AY92" s="33">
        <f t="shared" si="26"/>
        <v>144.89564096845825</v>
      </c>
      <c r="AZ92" s="33">
        <f t="shared" si="27"/>
        <v>84.864006222922072</v>
      </c>
      <c r="BA92" s="39">
        <f t="shared" si="28"/>
        <v>39.779235595580502</v>
      </c>
      <c r="BB92" s="39">
        <f t="shared" si="29"/>
        <v>170.61295134357303</v>
      </c>
      <c r="BC92" s="45">
        <f t="shared" si="30"/>
        <v>765.87908289598511</v>
      </c>
      <c r="BD92" s="45">
        <f t="shared" si="31"/>
        <v>175.03429437207808</v>
      </c>
      <c r="BE92" s="64">
        <f t="shared" si="32"/>
        <v>2966913826.0794997</v>
      </c>
      <c r="BF92" s="65">
        <f t="shared" si="33"/>
        <v>950707683.18100595</v>
      </c>
      <c r="BG92" s="66">
        <f t="shared" si="34"/>
        <v>509335781.08707672</v>
      </c>
    </row>
    <row r="93" spans="43:59" x14ac:dyDescent="0.25">
      <c r="AQ93" s="7">
        <v>78</v>
      </c>
      <c r="AR93" s="58">
        <f t="shared" si="35"/>
        <v>39</v>
      </c>
      <c r="AS93" s="58">
        <f t="shared" si="36"/>
        <v>-27185.776855785327</v>
      </c>
      <c r="AT93" s="58">
        <f t="shared" si="37"/>
        <v>-18623.885856717654</v>
      </c>
      <c r="AU93" s="58">
        <f t="shared" si="38"/>
        <v>-131.4909851371558</v>
      </c>
      <c r="AV93" s="58">
        <f t="shared" si="39"/>
        <v>2916.1867252475954</v>
      </c>
      <c r="AW93" s="58">
        <f t="shared" si="25"/>
        <v>975.89866403945007</v>
      </c>
      <c r="AX93" s="58">
        <f t="shared" si="40"/>
        <v>394.50647324142017</v>
      </c>
      <c r="AY93" s="33">
        <f t="shared" si="26"/>
        <v>149.68773042009892</v>
      </c>
      <c r="AZ93" s="33">
        <f t="shared" si="27"/>
        <v>82.872963935664018</v>
      </c>
      <c r="BA93" s="39">
        <f t="shared" si="28"/>
        <v>46.249971842866309</v>
      </c>
      <c r="BB93" s="39">
        <f t="shared" si="29"/>
        <v>184.23253901083291</v>
      </c>
      <c r="BC93" s="45">
        <f t="shared" si="30"/>
        <v>779.96096177648485</v>
      </c>
      <c r="BD93" s="45">
        <f t="shared" si="31"/>
        <v>127.40097029492325</v>
      </c>
      <c r="BE93" s="64">
        <f t="shared" si="32"/>
        <v>2908954949.7387791</v>
      </c>
      <c r="BF93" s="65">
        <f t="shared" si="33"/>
        <v>870962230.55954099</v>
      </c>
      <c r="BG93" s="66">
        <f t="shared" si="34"/>
        <v>505341243.39721811</v>
      </c>
    </row>
    <row r="94" spans="43:59" x14ac:dyDescent="0.25">
      <c r="AQ94" s="7">
        <v>79</v>
      </c>
      <c r="AR94" s="58">
        <f t="shared" si="35"/>
        <v>39.5</v>
      </c>
      <c r="AS94" s="58">
        <f t="shared" si="36"/>
        <v>-27129.535015348974</v>
      </c>
      <c r="AT94" s="58">
        <f t="shared" si="37"/>
        <v>-17116.479184938678</v>
      </c>
      <c r="AU94" s="58">
        <f t="shared" si="38"/>
        <v>356.45834688256923</v>
      </c>
      <c r="AV94" s="58">
        <f t="shared" si="39"/>
        <v>3113.4399618683055</v>
      </c>
      <c r="AW94" s="58">
        <f t="shared" si="25"/>
        <v>1008.8487196824312</v>
      </c>
      <c r="AX94" s="58">
        <f t="shared" si="40"/>
        <v>359.68326338299192</v>
      </c>
      <c r="AY94" s="33">
        <f t="shared" si="26"/>
        <v>155.81927095170576</v>
      </c>
      <c r="AZ94" s="33">
        <f t="shared" si="27"/>
        <v>81.386795748054396</v>
      </c>
      <c r="BA94" s="39">
        <f t="shared" si="28"/>
        <v>53.054218909061674</v>
      </c>
      <c r="BB94" s="39">
        <f t="shared" si="29"/>
        <v>201.78645867136299</v>
      </c>
      <c r="BC94" s="45">
        <f t="shared" si="30"/>
        <v>799.97522982166379</v>
      </c>
      <c r="BD94" s="45">
        <f t="shared" si="31"/>
        <v>76.510008963574549</v>
      </c>
      <c r="BE94" s="64">
        <f t="shared" si="32"/>
        <v>2827164118.2255239</v>
      </c>
      <c r="BF94" s="65">
        <f t="shared" si="33"/>
        <v>786133712.92229974</v>
      </c>
      <c r="BG94" s="66">
        <f t="shared" si="34"/>
        <v>494195804.13583505</v>
      </c>
    </row>
    <row r="95" spans="43:59" x14ac:dyDescent="0.25">
      <c r="AQ95" s="7">
        <v>80</v>
      </c>
      <c r="AR95" s="58">
        <f t="shared" si="35"/>
        <v>40</v>
      </c>
      <c r="AS95" s="58">
        <f t="shared" si="36"/>
        <v>-26825.199751947388</v>
      </c>
      <c r="AT95" s="58">
        <f t="shared" si="37"/>
        <v>-15514.798796081652</v>
      </c>
      <c r="AU95" s="58">
        <f t="shared" si="38"/>
        <v>860.88270672378485</v>
      </c>
      <c r="AV95" s="58">
        <f t="shared" si="39"/>
        <v>3293.2815935598014</v>
      </c>
      <c r="AW95" s="58">
        <f t="shared" si="25"/>
        <v>1048.9639396333041</v>
      </c>
      <c r="AX95" s="58">
        <f t="shared" si="40"/>
        <v>324.46765522948021</v>
      </c>
      <c r="AY95" s="33">
        <f t="shared" si="26"/>
        <v>163.52269858385171</v>
      </c>
      <c r="AZ95" s="33">
        <f t="shared" si="27"/>
        <v>80.372150603439508</v>
      </c>
      <c r="BA95" s="39">
        <f t="shared" si="28"/>
        <v>60.08780382128959</v>
      </c>
      <c r="BB95" s="39">
        <f t="shared" si="29"/>
        <v>224.62759777267959</v>
      </c>
      <c r="BC95" s="45">
        <f t="shared" si="30"/>
        <v>825.35343722816287</v>
      </c>
      <c r="BD95" s="45">
        <f t="shared" si="31"/>
        <v>19.467906853361093</v>
      </c>
      <c r="BE95" s="64">
        <f t="shared" si="32"/>
        <v>2722280295.4338956</v>
      </c>
      <c r="BF95" s="65">
        <f t="shared" si="33"/>
        <v>697588309.2585125</v>
      </c>
      <c r="BG95" s="66">
        <f t="shared" si="34"/>
        <v>476604362.01285142</v>
      </c>
    </row>
    <row r="96" spans="43:59" x14ac:dyDescent="0.25">
      <c r="AQ96" s="7">
        <v>81</v>
      </c>
      <c r="AR96" s="58">
        <f t="shared" si="35"/>
        <v>40.5</v>
      </c>
      <c r="AS96" s="58">
        <f t="shared" si="36"/>
        <v>-26263.637906131331</v>
      </c>
      <c r="AT96" s="58">
        <f t="shared" si="37"/>
        <v>-13827.599542398066</v>
      </c>
      <c r="AU96" s="58">
        <f t="shared" si="38"/>
        <v>1385.3646765404369</v>
      </c>
      <c r="AV96" s="58">
        <f t="shared" si="39"/>
        <v>3455.5154211745416</v>
      </c>
      <c r="AW96" s="58">
        <f t="shared" si="25"/>
        <v>1095.0251596258677</v>
      </c>
      <c r="AX96" s="58">
        <f t="shared" si="40"/>
        <v>287.37138396437763</v>
      </c>
      <c r="AY96" s="33">
        <f t="shared" si="26"/>
        <v>173.12275502535496</v>
      </c>
      <c r="AZ96" s="33">
        <f t="shared" si="27"/>
        <v>79.809823826416206</v>
      </c>
      <c r="BA96" s="39">
        <f t="shared" si="28"/>
        <v>66.953900349416941</v>
      </c>
      <c r="BB96" s="39">
        <f t="shared" si="29"/>
        <v>254.7003433525237</v>
      </c>
      <c r="BC96" s="45">
        <f t="shared" si="30"/>
        <v>854.94850425109587</v>
      </c>
      <c r="BD96" s="45">
        <f t="shared" si="31"/>
        <v>-47.138783214562295</v>
      </c>
      <c r="BE96" s="64">
        <f t="shared" si="32"/>
        <v>2595190694.5505304</v>
      </c>
      <c r="BF96" s="65">
        <f t="shared" si="33"/>
        <v>606987659.77201366</v>
      </c>
      <c r="BG96" s="66">
        <f t="shared" si="34"/>
        <v>453516819.83605045</v>
      </c>
    </row>
    <row r="97" spans="43:59" x14ac:dyDescent="0.25">
      <c r="AQ97" s="7">
        <v>82</v>
      </c>
      <c r="AR97" s="58">
        <f t="shared" si="35"/>
        <v>41</v>
      </c>
      <c r="AS97" s="58">
        <f t="shared" si="36"/>
        <v>-25434.077422907882</v>
      </c>
      <c r="AT97" s="58">
        <f t="shared" si="37"/>
        <v>-12063.920408815247</v>
      </c>
      <c r="AU97" s="58">
        <f t="shared" si="38"/>
        <v>1932.8772563533707</v>
      </c>
      <c r="AV97" s="58">
        <f t="shared" si="39"/>
        <v>3599.2011131567306</v>
      </c>
      <c r="AW97" s="58">
        <f t="shared" si="25"/>
        <v>1144.1376472607658</v>
      </c>
      <c r="AX97" s="58">
        <f t="shared" si="40"/>
        <v>247.10318695037125</v>
      </c>
      <c r="AY97" s="33">
        <f t="shared" si="26"/>
        <v>185.07012218235516</v>
      </c>
      <c r="AZ97" s="33">
        <f t="shared" si="27"/>
        <v>79.691221783228102</v>
      </c>
      <c r="BA97" s="39">
        <f t="shared" si="28"/>
        <v>72.601790372878966</v>
      </c>
      <c r="BB97" s="39">
        <f t="shared" si="29"/>
        <v>294.78419235835855</v>
      </c>
      <c r="BC97" s="45">
        <f t="shared" si="30"/>
        <v>886.46573470553153</v>
      </c>
      <c r="BD97" s="45">
        <f t="shared" si="31"/>
        <v>-127.37222719121542</v>
      </c>
      <c r="BE97" s="64">
        <f t="shared" si="32"/>
        <v>2447002373.0332456</v>
      </c>
      <c r="BF97" s="65">
        <f t="shared" si="33"/>
        <v>516345781.24469113</v>
      </c>
      <c r="BG97" s="66">
        <f t="shared" si="34"/>
        <v>426172083.49116528</v>
      </c>
    </row>
    <row r="98" spans="43:59" x14ac:dyDescent="0.25">
      <c r="AQ98" s="7">
        <v>83</v>
      </c>
      <c r="AR98" s="58">
        <f t="shared" si="35"/>
        <v>41.5</v>
      </c>
      <c r="AS98" s="58">
        <f t="shared" si="36"/>
        <v>-24324.6215888236</v>
      </c>
      <c r="AT98" s="58">
        <f t="shared" si="37"/>
        <v>-10233.431953868087</v>
      </c>
      <c r="AU98" s="58">
        <f t="shared" si="38"/>
        <v>2504.9460799837534</v>
      </c>
      <c r="AV98" s="58">
        <f t="shared" si="39"/>
        <v>3722.7527066319162</v>
      </c>
      <c r="AW98" s="58">
        <f t="shared" si="25"/>
        <v>1190.0583313273135</v>
      </c>
      <c r="AX98" s="58">
        <f t="shared" si="40"/>
        <v>202.89214994115341</v>
      </c>
      <c r="AY98" s="33">
        <f t="shared" si="26"/>
        <v>199.99163436964065</v>
      </c>
      <c r="AZ98" s="33">
        <f t="shared" si="27"/>
        <v>80.012821594649424</v>
      </c>
      <c r="BA98" s="39">
        <f t="shared" si="28"/>
        <v>74.530624035582605</v>
      </c>
      <c r="BB98" s="39">
        <f t="shared" si="29"/>
        <v>348.70341345021603</v>
      </c>
      <c r="BC98" s="45">
        <f t="shared" si="30"/>
        <v>915.53607292209017</v>
      </c>
      <c r="BD98" s="45">
        <f t="shared" si="31"/>
        <v>-225.82408510371206</v>
      </c>
      <c r="BE98" s="64">
        <f t="shared" si="32"/>
        <v>2279146687.8548775</v>
      </c>
      <c r="BF98" s="65">
        <f t="shared" si="33"/>
        <v>428094120.51832926</v>
      </c>
      <c r="BG98" s="66">
        <f t="shared" si="34"/>
        <v>396161170.48963296</v>
      </c>
    </row>
    <row r="99" spans="43:59" x14ac:dyDescent="0.25">
      <c r="AQ99" s="7">
        <v>84</v>
      </c>
      <c r="AR99" s="58">
        <f t="shared" si="35"/>
        <v>42</v>
      </c>
      <c r="AS99" s="58">
        <f t="shared" si="36"/>
        <v>-22923.391257415809</v>
      </c>
      <c r="AT99" s="58">
        <f t="shared" si="37"/>
        <v>-8346.6940818094845</v>
      </c>
      <c r="AU99" s="58">
        <f t="shared" si="38"/>
        <v>3099.9752456474102</v>
      </c>
      <c r="AV99" s="58">
        <f t="shared" si="39"/>
        <v>3824.198781602493</v>
      </c>
      <c r="AW99" s="58">
        <f t="shared" si="25"/>
        <v>1220.229590872875</v>
      </c>
      <c r="AX99" s="58">
        <f t="shared" si="40"/>
        <v>154.99672722328546</v>
      </c>
      <c r="AY99" s="33">
        <f t="shared" si="26"/>
        <v>218.76393587895842</v>
      </c>
      <c r="AZ99" s="33">
        <f t="shared" si="27"/>
        <v>80.764475183621599</v>
      </c>
      <c r="BA99" s="39">
        <f t="shared" si="28"/>
        <v>67.095236305502894</v>
      </c>
      <c r="BB99" s="39">
        <f t="shared" si="29"/>
        <v>421.07801058826607</v>
      </c>
      <c r="BC99" s="45">
        <f t="shared" si="30"/>
        <v>934.37041868841357</v>
      </c>
      <c r="BD99" s="45">
        <f t="shared" si="31"/>
        <v>-346.84575854860219</v>
      </c>
      <c r="BE99" s="64">
        <f t="shared" si="32"/>
        <v>2093535230.3596556</v>
      </c>
      <c r="BF99" s="65">
        <f t="shared" si="33"/>
        <v>345147400.1754384</v>
      </c>
      <c r="BG99" s="66">
        <f t="shared" si="34"/>
        <v>365514433.80743843</v>
      </c>
    </row>
    <row r="100" spans="43:59" x14ac:dyDescent="0.25">
      <c r="AQ100" s="7">
        <v>85</v>
      </c>
      <c r="AR100" s="58">
        <f t="shared" si="35"/>
        <v>42.5</v>
      </c>
      <c r="AS100" s="58">
        <f t="shared" si="36"/>
        <v>-21220.874935732994</v>
      </c>
      <c r="AT100" s="58">
        <f t="shared" si="37"/>
        <v>-6415.2201001053281</v>
      </c>
      <c r="AU100" s="58">
        <f t="shared" si="38"/>
        <v>3710.0900410838476</v>
      </c>
      <c r="AV100" s="58">
        <f t="shared" si="39"/>
        <v>3901.6971452141356</v>
      </c>
      <c r="AW100" s="58">
        <f t="shared" si="25"/>
        <v>1211.2369963692236</v>
      </c>
      <c r="AX100" s="58">
        <f t="shared" si="40"/>
        <v>104.67333499050613</v>
      </c>
      <c r="AY100" s="33">
        <f t="shared" si="26"/>
        <v>242.61757441146648</v>
      </c>
      <c r="AZ100" s="33">
        <f t="shared" si="27"/>
        <v>81.902117637067207</v>
      </c>
      <c r="BA100" s="39">
        <f t="shared" si="28"/>
        <v>38.312525053582348</v>
      </c>
      <c r="BB100" s="39">
        <f t="shared" si="29"/>
        <v>515.12936578370091</v>
      </c>
      <c r="BC100" s="45">
        <f t="shared" si="30"/>
        <v>930.30689690417466</v>
      </c>
      <c r="BD100" s="45">
        <f t="shared" si="31"/>
        <v>-492.35814843026202</v>
      </c>
      <c r="BE100" s="64">
        <f t="shared" si="32"/>
        <v>1892793880.901716</v>
      </c>
      <c r="BF100" s="65">
        <f t="shared" si="33"/>
        <v>270949986.54360306</v>
      </c>
      <c r="BG100" s="66">
        <f t="shared" si="34"/>
        <v>336815229.61032641</v>
      </c>
    </row>
    <row r="101" spans="43:59" x14ac:dyDescent="0.25">
      <c r="AQ101" s="7">
        <v>86</v>
      </c>
      <c r="AR101" s="58">
        <f t="shared" si="35"/>
        <v>43</v>
      </c>
      <c r="AS101" s="58">
        <f t="shared" si="36"/>
        <v>-19214.425290644915</v>
      </c>
      <c r="AT101" s="58">
        <f t="shared" si="37"/>
        <v>-4451.2873606244475</v>
      </c>
      <c r="AU101" s="58">
        <f t="shared" si="38"/>
        <v>4315.7085392684594</v>
      </c>
      <c r="AV101" s="58">
        <f t="shared" si="39"/>
        <v>3954.0338127093887</v>
      </c>
      <c r="AW101" s="58">
        <f t="shared" si="25"/>
        <v>1125.0232501759601</v>
      </c>
      <c r="AX101" s="58">
        <f t="shared" si="40"/>
        <v>50.611235954674726</v>
      </c>
      <c r="AY101" s="33">
        <f t="shared" si="26"/>
        <v>273.27084900302469</v>
      </c>
      <c r="AZ101" s="33">
        <f t="shared" si="27"/>
        <v>83.284108322660828</v>
      </c>
      <c r="BA101" s="39">
        <f t="shared" si="28"/>
        <v>-33.954567709140392</v>
      </c>
      <c r="BB101" s="39">
        <f t="shared" si="29"/>
        <v>624.62196061962766</v>
      </c>
      <c r="BC101" s="45">
        <f t="shared" si="30"/>
        <v>885.70696888207578</v>
      </c>
      <c r="BD101" s="45">
        <f t="shared" si="31"/>
        <v>-657.29483298761374</v>
      </c>
      <c r="BE101" s="64">
        <f t="shared" si="32"/>
        <v>1680604420.451793</v>
      </c>
      <c r="BF101" s="65">
        <f t="shared" si="33"/>
        <v>209456834.00332221</v>
      </c>
      <c r="BG101" s="66">
        <f t="shared" si="34"/>
        <v>313325224.69144732</v>
      </c>
    </row>
    <row r="102" spans="43:59" x14ac:dyDescent="0.25">
      <c r="AQ102" s="7">
        <v>87</v>
      </c>
      <c r="AR102" s="58">
        <f t="shared" si="35"/>
        <v>43.5</v>
      </c>
      <c r="AS102" s="58">
        <f t="shared" si="36"/>
        <v>-16915.943114738689</v>
      </c>
      <c r="AT102" s="58">
        <f t="shared" si="37"/>
        <v>-2467.9440497754185</v>
      </c>
      <c r="AU102" s="58">
        <f t="shared" si="38"/>
        <v>4878.2201643564395</v>
      </c>
      <c r="AV102" s="58">
        <f t="shared" si="39"/>
        <v>3979.3394306867262</v>
      </c>
      <c r="AW102" s="58">
        <f t="shared" si="25"/>
        <v>918.79262452569742</v>
      </c>
      <c r="AX102" s="58">
        <f t="shared" si="40"/>
        <v>-23.18386488261774</v>
      </c>
      <c r="AY102" s="33">
        <f t="shared" si="26"/>
        <v>313.06162837513841</v>
      </c>
      <c r="AZ102" s="33">
        <f t="shared" si="27"/>
        <v>84.532062097827648</v>
      </c>
      <c r="BA102" s="39">
        <f t="shared" si="28"/>
        <v>-176.97547438447421</v>
      </c>
      <c r="BB102" s="39">
        <f t="shared" si="29"/>
        <v>715.46031571370645</v>
      </c>
      <c r="BC102" s="45">
        <f t="shared" si="30"/>
        <v>782.70647053503319</v>
      </c>
      <c r="BD102" s="45">
        <f t="shared" si="31"/>
        <v>-823.17624269415182</v>
      </c>
      <c r="BE102" s="64">
        <f t="shared" si="32"/>
        <v>1462146764.6300764</v>
      </c>
      <c r="BF102" s="65">
        <f t="shared" si="33"/>
        <v>164961035.69985798</v>
      </c>
      <c r="BG102" s="66">
        <f t="shared" si="34"/>
        <v>299042126.65324771</v>
      </c>
    </row>
    <row r="103" spans="43:59" x14ac:dyDescent="0.25">
      <c r="AQ103" s="7">
        <v>88</v>
      </c>
      <c r="AR103" s="58">
        <f t="shared" si="35"/>
        <v>44</v>
      </c>
      <c r="AS103" s="58">
        <f t="shared" si="36"/>
        <v>-14361.983954494757</v>
      </c>
      <c r="AT103" s="58">
        <f t="shared" si="37"/>
        <v>-481.17231754238264</v>
      </c>
      <c r="AU103" s="58">
        <f t="shared" si="38"/>
        <v>5337.6164766192878</v>
      </c>
      <c r="AV103" s="58">
        <f t="shared" si="39"/>
        <v>3967.7474982454173</v>
      </c>
      <c r="AW103" s="58">
        <f t="shared" si="25"/>
        <v>596.63766480467416</v>
      </c>
      <c r="AX103" s="58">
        <f t="shared" si="40"/>
        <v>-155.94646924364179</v>
      </c>
      <c r="AY103" s="33">
        <f t="shared" si="26"/>
        <v>364.97428538350198</v>
      </c>
      <c r="AZ103" s="33">
        <f t="shared" si="27"/>
        <v>84.771667054357934</v>
      </c>
      <c r="BA103" s="39">
        <f t="shared" si="28"/>
        <v>-384.67192852981833</v>
      </c>
      <c r="BB103" s="39">
        <f t="shared" si="29"/>
        <v>715.11197132129996</v>
      </c>
      <c r="BC103" s="45">
        <f t="shared" si="30"/>
        <v>616.33530795099057</v>
      </c>
      <c r="BD103" s="45">
        <f t="shared" si="31"/>
        <v>-955.83010761929972</v>
      </c>
      <c r="BE103" s="64">
        <f t="shared" si="32"/>
        <v>1244445052.8512602</v>
      </c>
      <c r="BF103" s="65">
        <f t="shared" si="33"/>
        <v>141642198.07939136</v>
      </c>
      <c r="BG103" s="66">
        <f t="shared" si="34"/>
        <v>298443100.83711493</v>
      </c>
    </row>
    <row r="104" spans="43:59" x14ac:dyDescent="0.25">
      <c r="AQ104" s="7">
        <v>89</v>
      </c>
      <c r="AR104" s="58">
        <f t="shared" si="35"/>
        <v>44.5</v>
      </c>
      <c r="AS104" s="58">
        <f t="shared" si="36"/>
        <v>-11618.596008084529</v>
      </c>
      <c r="AT104" s="58">
        <f t="shared" si="37"/>
        <v>1483.2081229248708</v>
      </c>
      <c r="AU104" s="58">
        <f t="shared" si="38"/>
        <v>5635.9353090216246</v>
      </c>
      <c r="AV104" s="58">
        <f t="shared" si="39"/>
        <v>3889.7742636235962</v>
      </c>
      <c r="AW104" s="58">
        <f t="shared" si="25"/>
        <v>274.84415769882372</v>
      </c>
      <c r="AX104" s="58">
        <f t="shared" si="40"/>
        <v>-360.82262456078683</v>
      </c>
      <c r="AY104" s="33">
        <f t="shared" si="26"/>
        <v>432.42381812279814</v>
      </c>
      <c r="AZ104" s="33">
        <f t="shared" si="27"/>
        <v>82.28714885600273</v>
      </c>
      <c r="BA104" s="39">
        <f t="shared" si="28"/>
        <v>-566.75068845773808</v>
      </c>
      <c r="BB104" s="39">
        <f t="shared" si="29"/>
        <v>575.90561968371014</v>
      </c>
      <c r="BC104" s="45">
        <f t="shared" si="30"/>
        <v>409.17102803376366</v>
      </c>
      <c r="BD104" s="45">
        <f t="shared" si="31"/>
        <v>-1019.0153931004998</v>
      </c>
      <c r="BE104" s="64">
        <f t="shared" si="32"/>
        <v>1035937398.0144962</v>
      </c>
      <c r="BF104" s="65">
        <f t="shared" si="33"/>
        <v>142783676.75310951</v>
      </c>
      <c r="BG104" s="66">
        <f t="shared" si="34"/>
        <v>315501963.14188898</v>
      </c>
    </row>
    <row r="105" spans="43:59" x14ac:dyDescent="0.25">
      <c r="AQ105" s="7">
        <v>90</v>
      </c>
      <c r="AR105" s="58">
        <f t="shared" si="35"/>
        <v>45</v>
      </c>
      <c r="AS105" s="58">
        <f t="shared" si="36"/>
        <v>-8766.2728338613633</v>
      </c>
      <c r="AT105" s="58">
        <f t="shared" si="37"/>
        <v>3382.9924266665703</v>
      </c>
      <c r="AU105" s="58">
        <f t="shared" si="38"/>
        <v>5773.3573878710367</v>
      </c>
      <c r="AV105" s="58">
        <f t="shared" si="39"/>
        <v>3709.3629513432029</v>
      </c>
      <c r="AW105" s="58">
        <f t="shared" si="25"/>
        <v>101.47312560729515</v>
      </c>
      <c r="AX105" s="58">
        <f t="shared" si="40"/>
        <v>-560.23605674365353</v>
      </c>
      <c r="AY105" s="33">
        <f t="shared" si="26"/>
        <v>518.93743376208124</v>
      </c>
      <c r="AZ105" s="33">
        <f t="shared" si="27"/>
        <v>74.269939565122328</v>
      </c>
      <c r="BA105" s="39">
        <f t="shared" si="28"/>
        <v>-622.59514093348071</v>
      </c>
      <c r="BB105" s="39">
        <f t="shared" si="29"/>
        <v>366.72750742027358</v>
      </c>
      <c r="BC105" s="45">
        <f t="shared" si="30"/>
        <v>205.13083277869461</v>
      </c>
      <c r="BD105" s="45">
        <f t="shared" si="31"/>
        <v>-1001.2335037290495</v>
      </c>
      <c r="BE105" s="64">
        <f t="shared" si="32"/>
        <v>844448204.11103511</v>
      </c>
      <c r="BF105" s="65">
        <f t="shared" si="33"/>
        <v>169981415.26879317</v>
      </c>
      <c r="BG105" s="66">
        <f t="shared" si="34"/>
        <v>352119221.61796254</v>
      </c>
    </row>
    <row r="106" spans="43:59" x14ac:dyDescent="0.25">
      <c r="AQ106" s="7">
        <v>91</v>
      </c>
      <c r="AR106" s="58">
        <f t="shared" si="35"/>
        <v>45.5</v>
      </c>
      <c r="AS106" s="58">
        <f t="shared" si="36"/>
        <v>-5866.909999224933</v>
      </c>
      <c r="AT106" s="58">
        <f t="shared" si="37"/>
        <v>5167.6443952452146</v>
      </c>
      <c r="AU106" s="58">
        <f t="shared" si="38"/>
        <v>5824.0939506746845</v>
      </c>
      <c r="AV106" s="58">
        <f t="shared" si="39"/>
        <v>3429.2449229713761</v>
      </c>
      <c r="AW106" s="58">
        <f t="shared" si="25"/>
        <v>102.50439645359791</v>
      </c>
      <c r="AX106" s="58">
        <f t="shared" si="40"/>
        <v>-673.65858500956108</v>
      </c>
      <c r="AY106" s="33">
        <f t="shared" si="26"/>
        <v>628.31870925072769</v>
      </c>
      <c r="AZ106" s="33">
        <f t="shared" si="27"/>
        <v>56.653951443645099</v>
      </c>
      <c r="BA106" s="39">
        <f t="shared" si="28"/>
        <v>-565.51858949280313</v>
      </c>
      <c r="BB106" s="39">
        <f t="shared" si="29"/>
        <v>193.36089456578142</v>
      </c>
      <c r="BC106" s="45">
        <f t="shared" si="30"/>
        <v>39.704276695673343</v>
      </c>
      <c r="BD106" s="45">
        <f t="shared" si="31"/>
        <v>-923.67343101898757</v>
      </c>
      <c r="BE106" s="64">
        <f t="shared" si="32"/>
        <v>674536915.57503378</v>
      </c>
      <c r="BF106" s="65">
        <f t="shared" si="33"/>
        <v>223095893.66081318</v>
      </c>
      <c r="BG106" s="66">
        <f t="shared" si="34"/>
        <v>407485413.39982188</v>
      </c>
    </row>
    <row r="107" spans="43:59" x14ac:dyDescent="0.25">
      <c r="AQ107" s="7">
        <v>92</v>
      </c>
      <c r="AR107" s="58">
        <f t="shared" si="35"/>
        <v>46</v>
      </c>
      <c r="AS107" s="58">
        <f t="shared" si="36"/>
        <v>-2942.049974330891</v>
      </c>
      <c r="AT107" s="58">
        <f t="shared" si="37"/>
        <v>6798.0595336047081</v>
      </c>
      <c r="AU107" s="58">
        <f t="shared" si="38"/>
        <v>5875.3461489014835</v>
      </c>
      <c r="AV107" s="58">
        <f t="shared" si="39"/>
        <v>3092.4156304665958</v>
      </c>
      <c r="AW107" s="58">
        <f t="shared" si="25"/>
        <v>220.75793724717354</v>
      </c>
      <c r="AX107" s="58">
        <f t="shared" si="40"/>
        <v>-707.23176336268739</v>
      </c>
      <c r="AY107" s="33">
        <f t="shared" si="26"/>
        <v>765.43054870493961</v>
      </c>
      <c r="AZ107" s="33">
        <f t="shared" si="27"/>
        <v>23.419296747775455</v>
      </c>
      <c r="BA107" s="39">
        <f t="shared" si="28"/>
        <v>-467.40876469242858</v>
      </c>
      <c r="BB107" s="39">
        <f t="shared" si="29"/>
        <v>87.737098289324862</v>
      </c>
      <c r="BC107" s="45">
        <f t="shared" si="30"/>
        <v>-77.26384676533749</v>
      </c>
      <c r="BD107" s="45">
        <f t="shared" si="31"/>
        <v>-818.3881583997877</v>
      </c>
      <c r="BE107" s="64">
        <f t="shared" si="32"/>
        <v>526830377.44305921</v>
      </c>
      <c r="BF107" s="65">
        <f t="shared" si="33"/>
        <v>301226081.82856447</v>
      </c>
      <c r="BG107" s="66">
        <f t="shared" si="34"/>
        <v>479390557.73872662</v>
      </c>
    </row>
    <row r="108" spans="43:59" x14ac:dyDescent="0.25">
      <c r="AQ108" s="7">
        <v>93</v>
      </c>
      <c r="AR108" s="58">
        <f t="shared" si="35"/>
        <v>46.5</v>
      </c>
      <c r="AS108" s="58">
        <f t="shared" si="36"/>
        <v>23.217842275747426</v>
      </c>
      <c r="AT108" s="58">
        <f t="shared" si="37"/>
        <v>8255.8633784176709</v>
      </c>
      <c r="AU108" s="58">
        <f t="shared" si="38"/>
        <v>5985.7251175250703</v>
      </c>
      <c r="AV108" s="58">
        <f t="shared" si="39"/>
        <v>2738.7997487852522</v>
      </c>
      <c r="AW108" s="58">
        <f t="shared" si="25"/>
        <v>410.5428914520046</v>
      </c>
      <c r="AX108" s="58">
        <f t="shared" si="40"/>
        <v>-711.30415115294693</v>
      </c>
      <c r="AY108" s="33">
        <f t="shared" si="26"/>
        <v>936.55706256770804</v>
      </c>
      <c r="AZ108" s="33">
        <f t="shared" si="27"/>
        <v>-35.436597336054774</v>
      </c>
      <c r="BA108" s="39">
        <f t="shared" si="28"/>
        <v>-373.01013762107317</v>
      </c>
      <c r="BB108" s="39">
        <f t="shared" si="29"/>
        <v>32.49131315311287</v>
      </c>
      <c r="BC108" s="45">
        <f t="shared" si="30"/>
        <v>-153.00403349463019</v>
      </c>
      <c r="BD108" s="45">
        <f t="shared" si="31"/>
        <v>-708.35886697000501</v>
      </c>
      <c r="BE108" s="64">
        <f t="shared" si="32"/>
        <v>399643154.82400304</v>
      </c>
      <c r="BF108" s="65">
        <f t="shared" si="33"/>
        <v>403971265.31397438</v>
      </c>
      <c r="BG108" s="66">
        <f t="shared" si="34"/>
        <v>566067898.96658552</v>
      </c>
    </row>
    <row r="109" spans="43:59" x14ac:dyDescent="0.25">
      <c r="AQ109" s="7">
        <v>94</v>
      </c>
      <c r="AR109" s="58">
        <f t="shared" si="35"/>
        <v>47</v>
      </c>
      <c r="AS109" s="58">
        <f t="shared" si="36"/>
        <v>3067.3982624697833</v>
      </c>
      <c r="AT109" s="58">
        <f t="shared" si="37"/>
        <v>9536.3502339161787</v>
      </c>
      <c r="AU109" s="58">
        <f t="shared" si="38"/>
        <v>6190.996563251073</v>
      </c>
      <c r="AV109" s="58">
        <f t="shared" si="39"/>
        <v>2383.1476732087785</v>
      </c>
      <c r="AW109" s="58">
        <f t="shared" si="25"/>
        <v>652.94988301191188</v>
      </c>
      <c r="AX109" s="58">
        <f t="shared" si="40"/>
        <v>-736.70889288804506</v>
      </c>
      <c r="AY109" s="33">
        <f t="shared" si="26"/>
        <v>1147.3368295628197</v>
      </c>
      <c r="AZ109" s="33">
        <f t="shared" si="27"/>
        <v>-137.98113588666251</v>
      </c>
      <c r="BA109" s="39">
        <f t="shared" si="28"/>
        <v>-295.57564450604605</v>
      </c>
      <c r="BB109" s="39">
        <f t="shared" si="29"/>
        <v>5.9410071684707617</v>
      </c>
      <c r="BC109" s="45">
        <f t="shared" si="30"/>
        <v>-198.81130204486183</v>
      </c>
      <c r="BD109" s="45">
        <f t="shared" si="31"/>
        <v>-604.66876416985326</v>
      </c>
      <c r="BE109" s="64">
        <f t="shared" si="32"/>
        <v>290859723.87698185</v>
      </c>
      <c r="BF109" s="65">
        <f t="shared" si="33"/>
        <v>532319833.70498347</v>
      </c>
      <c r="BG109" s="66">
        <f t="shared" si="34"/>
        <v>667115397.52669895</v>
      </c>
    </row>
    <row r="110" spans="43:59" x14ac:dyDescent="0.25">
      <c r="AQ110" s="7">
        <v>95</v>
      </c>
      <c r="AR110" s="58">
        <f t="shared" si="35"/>
        <v>47.5</v>
      </c>
      <c r="AS110" s="58">
        <f t="shared" si="36"/>
        <v>6244.5152794718088</v>
      </c>
      <c r="AT110" s="58">
        <f t="shared" si="37"/>
        <v>10635.835458909563</v>
      </c>
      <c r="AU110" s="58">
        <f t="shared" si="38"/>
        <v>6517.4715047570289</v>
      </c>
      <c r="AV110" s="58">
        <f t="shared" si="39"/>
        <v>2014.7932267647561</v>
      </c>
      <c r="AW110" s="58">
        <f t="shared" si="25"/>
        <v>933.56935716200155</v>
      </c>
      <c r="AX110" s="58">
        <f t="shared" si="40"/>
        <v>-834.2117152476718</v>
      </c>
      <c r="AY110" s="33">
        <f t="shared" si="26"/>
        <v>1392.7261489624168</v>
      </c>
      <c r="AZ110" s="33">
        <f t="shared" si="27"/>
        <v>-317.49953790790215</v>
      </c>
      <c r="BA110" s="39">
        <f t="shared" si="28"/>
        <v>-235.01137577900641</v>
      </c>
      <c r="BB110" s="39">
        <f t="shared" si="29"/>
        <v>-5.6937064516597831</v>
      </c>
      <c r="BC110" s="45">
        <f t="shared" si="30"/>
        <v>-224.14541602140895</v>
      </c>
      <c r="BD110" s="45">
        <f t="shared" si="31"/>
        <v>-511.01847088810985</v>
      </c>
      <c r="BE110" s="64">
        <f t="shared" si="32"/>
        <v>199046823.92203909</v>
      </c>
      <c r="BF110" s="65">
        <f t="shared" si="33"/>
        <v>689178868.98523593</v>
      </c>
      <c r="BG110" s="66">
        <f t="shared" si="34"/>
        <v>783635183.54655981</v>
      </c>
    </row>
    <row r="111" spans="43:59" x14ac:dyDescent="0.25">
      <c r="AQ111" s="7">
        <v>96</v>
      </c>
      <c r="AR111" s="58">
        <f t="shared" si="35"/>
        <v>48</v>
      </c>
      <c r="AS111" s="58">
        <f t="shared" si="36"/>
        <v>9619.9472014955736</v>
      </c>
      <c r="AT111" s="58">
        <f t="shared" si="37"/>
        <v>11538.955607885982</v>
      </c>
      <c r="AU111" s="58">
        <f t="shared" si="38"/>
        <v>6984.2561833380296</v>
      </c>
      <c r="AV111" s="58">
        <f t="shared" si="39"/>
        <v>1597.6873691409203</v>
      </c>
      <c r="AW111" s="58">
        <f t="shared" si="25"/>
        <v>1196.90854413481</v>
      </c>
      <c r="AX111" s="58">
        <f t="shared" si="40"/>
        <v>-1068.1061948798247</v>
      </c>
      <c r="AY111" s="33">
        <f t="shared" si="26"/>
        <v>1620.524449412545</v>
      </c>
      <c r="AZ111" s="33">
        <f t="shared" si="27"/>
        <v>-630.55809442647421</v>
      </c>
      <c r="BA111" s="39">
        <f t="shared" si="28"/>
        <v>-187.95638365000289</v>
      </c>
      <c r="BB111" s="39">
        <f t="shared" si="29"/>
        <v>-9.765599131167118</v>
      </c>
      <c r="BC111" s="45">
        <f t="shared" si="30"/>
        <v>-235.65952162773215</v>
      </c>
      <c r="BD111" s="45">
        <f t="shared" si="31"/>
        <v>-427.78250132218329</v>
      </c>
      <c r="BE111" s="64">
        <f t="shared" si="32"/>
        <v>124058658.50221321</v>
      </c>
      <c r="BF111" s="65">
        <f t="shared" si="33"/>
        <v>879709656.58242929</v>
      </c>
      <c r="BG111" s="66">
        <f t="shared" si="34"/>
        <v>918059020.93186104</v>
      </c>
    </row>
    <row r="112" spans="43:59" x14ac:dyDescent="0.25">
      <c r="AQ112" s="7">
        <v>97</v>
      </c>
      <c r="AR112" s="58">
        <f t="shared" si="35"/>
        <v>48.5</v>
      </c>
      <c r="AS112" s="58">
        <f t="shared" si="36"/>
        <v>13261.688861181439</v>
      </c>
      <c r="AT112" s="58">
        <f t="shared" si="37"/>
        <v>12204.286018096464</v>
      </c>
      <c r="AU112" s="58">
        <f t="shared" si="38"/>
        <v>7582.7104554054349</v>
      </c>
      <c r="AV112" s="58">
        <f t="shared" si="39"/>
        <v>1063.6342717010079</v>
      </c>
      <c r="AW112" s="58">
        <f t="shared" si="25"/>
        <v>1238.0141713423666</v>
      </c>
      <c r="AX112" s="58">
        <f t="shared" si="40"/>
        <v>-1500.2046662373832</v>
      </c>
      <c r="AY112" s="33">
        <f t="shared" si="26"/>
        <v>1627.012157393023</v>
      </c>
      <c r="AZ112" s="33">
        <f t="shared" si="27"/>
        <v>-1135.8826248321532</v>
      </c>
      <c r="BA112" s="39">
        <f t="shared" si="28"/>
        <v>-151.16053084603271</v>
      </c>
      <c r="BB112" s="39">
        <f t="shared" si="29"/>
        <v>-10.017562428130837</v>
      </c>
      <c r="BC112" s="45">
        <f t="shared" si="30"/>
        <v>-237.83745520462369</v>
      </c>
      <c r="BD112" s="45">
        <f t="shared" si="31"/>
        <v>-354.30447897709934</v>
      </c>
      <c r="BE112" s="64">
        <f t="shared" si="32"/>
        <v>67535143.943584174</v>
      </c>
      <c r="BF112" s="65">
        <f t="shared" si="33"/>
        <v>1111198822.7476168</v>
      </c>
      <c r="BG112" s="66">
        <f t="shared" si="34"/>
        <v>1073562457.8169969</v>
      </c>
    </row>
    <row r="113" spans="43:59" x14ac:dyDescent="0.25">
      <c r="AQ113" s="7">
        <v>98</v>
      </c>
      <c r="AR113" s="58">
        <f t="shared" si="35"/>
        <v>49</v>
      </c>
      <c r="AS113" s="58">
        <f t="shared" si="36"/>
        <v>17207.795860301951</v>
      </c>
      <c r="AT113" s="58">
        <f t="shared" si="37"/>
        <v>12548.577570667294</v>
      </c>
      <c r="AU113" s="58">
        <f t="shared" si="38"/>
        <v>8201.7175410766176</v>
      </c>
      <c r="AV113" s="58">
        <f t="shared" si="39"/>
        <v>313.53193858231634</v>
      </c>
      <c r="AW113" s="58">
        <f t="shared" si="25"/>
        <v>593.94023368156866</v>
      </c>
      <c r="AX113" s="58">
        <f t="shared" si="40"/>
        <v>-2016.3986773380268</v>
      </c>
      <c r="AY113" s="33">
        <f t="shared" si="26"/>
        <v>950.11489254517687</v>
      </c>
      <c r="AZ113" s="33">
        <f t="shared" si="27"/>
        <v>-1717.90044569566</v>
      </c>
      <c r="BA113" s="39">
        <f t="shared" si="28"/>
        <v>-122.2985357323432</v>
      </c>
      <c r="BB113" s="39">
        <f t="shared" si="29"/>
        <v>-8.3769354751123668</v>
      </c>
      <c r="BC113" s="45">
        <f t="shared" si="30"/>
        <v>-233.87612313126499</v>
      </c>
      <c r="BD113" s="45">
        <f t="shared" si="31"/>
        <v>-290.12129616725446</v>
      </c>
      <c r="BE113" s="64">
        <f t="shared" si="32"/>
        <v>33284539.444791798</v>
      </c>
      <c r="BF113" s="65">
        <f t="shared" si="33"/>
        <v>1390915320.4156115</v>
      </c>
      <c r="BG113" s="66">
        <f t="shared" si="34"/>
        <v>1252110323.1399176</v>
      </c>
    </row>
    <row r="114" spans="43:59" x14ac:dyDescent="0.25">
      <c r="AQ114" s="7">
        <v>99</v>
      </c>
      <c r="AR114" s="58">
        <f t="shared" si="35"/>
        <v>49.5</v>
      </c>
      <c r="AS114" s="58">
        <f t="shared" si="36"/>
        <v>21382.897160050456</v>
      </c>
      <c r="AT114" s="58">
        <f t="shared" si="37"/>
        <v>12453.293705291198</v>
      </c>
      <c r="AU114" s="58">
        <f t="shared" si="38"/>
        <v>8498.6876579174022</v>
      </c>
      <c r="AV114" s="58">
        <f t="shared" si="39"/>
        <v>-694.66740008669706</v>
      </c>
      <c r="AW114" s="58">
        <f t="shared" si="25"/>
        <v>-835.6817017077226</v>
      </c>
      <c r="AX114" s="58">
        <f t="shared" si="40"/>
        <v>-2065.5548533757715</v>
      </c>
      <c r="AY114" s="33">
        <f t="shared" si="26"/>
        <v>-509.24059530541786</v>
      </c>
      <c r="AZ114" s="33">
        <f t="shared" si="27"/>
        <v>-1824.0099900943014</v>
      </c>
      <c r="BA114" s="39">
        <f t="shared" si="28"/>
        <v>-100.01182326249859</v>
      </c>
      <c r="BB114" s="39">
        <f t="shared" si="29"/>
        <v>-5.9289801657831651</v>
      </c>
      <c r="BC114" s="45">
        <f t="shared" si="30"/>
        <v>-226.4292831398061</v>
      </c>
      <c r="BD114" s="45">
        <f t="shared" si="31"/>
        <v>-235.61588311568698</v>
      </c>
      <c r="BE114" s="64">
        <f t="shared" si="32"/>
        <v>26447523.086153027</v>
      </c>
      <c r="BF114" s="65">
        <f t="shared" si="33"/>
        <v>1718562827.3637338</v>
      </c>
      <c r="BG114" s="66">
        <f t="shared" si="34"/>
        <v>1449740597.8267798</v>
      </c>
    </row>
    <row r="115" spans="43:59" x14ac:dyDescent="0.25">
      <c r="AQ115" s="7">
        <v>100</v>
      </c>
      <c r="AR115" s="58">
        <f t="shared" si="35"/>
        <v>50</v>
      </c>
      <c r="AS115" s="58">
        <f t="shared" si="36"/>
        <v>25527.780776295695</v>
      </c>
      <c r="AT115" s="58">
        <f t="shared" si="37"/>
        <v>11847.765648575878</v>
      </c>
      <c r="AU115" s="58">
        <f t="shared" si="38"/>
        <v>8080.8468070635408</v>
      </c>
      <c r="AV115" s="58">
        <f t="shared" si="39"/>
        <v>-1727.4448267745829</v>
      </c>
      <c r="AW115" s="58">
        <f t="shared" si="25"/>
        <v>-1885.321068585883</v>
      </c>
      <c r="AX115" s="58">
        <f t="shared" si="40"/>
        <v>-1440.8474809542884</v>
      </c>
      <c r="AY115" s="33">
        <f t="shared" si="26"/>
        <v>-1584.0338812481646</v>
      </c>
      <c r="AZ115" s="33">
        <f t="shared" si="27"/>
        <v>-1245.8902358436596</v>
      </c>
      <c r="BA115" s="39">
        <f t="shared" si="28"/>
        <v>-83.458704714524686</v>
      </c>
      <c r="BB115" s="39">
        <f t="shared" si="29"/>
        <v>-3.3872094140469904</v>
      </c>
      <c r="BC115" s="45">
        <f t="shared" si="30"/>
        <v>-217.82848262319379</v>
      </c>
      <c r="BD115" s="45">
        <f t="shared" si="31"/>
        <v>-191.57003569658178</v>
      </c>
      <c r="BE115" s="64">
        <f t="shared" si="32"/>
        <v>49459426.445720658</v>
      </c>
      <c r="BF115" s="65">
        <f t="shared" si="33"/>
        <v>2076193060.3064966</v>
      </c>
      <c r="BG115" s="66">
        <f t="shared" si="34"/>
        <v>1652747919.44642</v>
      </c>
    </row>
    <row r="116" spans="43:59" x14ac:dyDescent="0.25">
      <c r="AQ116" s="7">
        <v>101</v>
      </c>
      <c r="AR116" s="58">
        <f t="shared" si="35"/>
        <v>50.5</v>
      </c>
      <c r="AS116" s="58">
        <f t="shared" si="36"/>
        <v>29332.539046254231</v>
      </c>
      <c r="AT116" s="58">
        <f t="shared" si="37"/>
        <v>10803.937300069301</v>
      </c>
      <c r="AU116" s="58">
        <f t="shared" si="38"/>
        <v>7138.1862727705993</v>
      </c>
      <c r="AV116" s="58">
        <f t="shared" si="39"/>
        <v>-2447.8685672517272</v>
      </c>
      <c r="AW116" s="58">
        <f t="shared" si="25"/>
        <v>-2034.9510513251762</v>
      </c>
      <c r="AX116" s="58">
        <f t="shared" si="40"/>
        <v>-779.58621491930307</v>
      </c>
      <c r="AY116" s="33">
        <f t="shared" si="26"/>
        <v>-1753.7198960975009</v>
      </c>
      <c r="AZ116" s="33">
        <f t="shared" si="27"/>
        <v>-620.85789835680168</v>
      </c>
      <c r="BA116" s="39">
        <f t="shared" si="28"/>
        <v>-71.592978894654323</v>
      </c>
      <c r="BB116" s="39">
        <f t="shared" si="29"/>
        <v>-1.1666998550900058</v>
      </c>
      <c r="BC116" s="45">
        <f t="shared" si="30"/>
        <v>-209.63817633302102</v>
      </c>
      <c r="BD116" s="45">
        <f t="shared" si="31"/>
        <v>-157.56161670741145</v>
      </c>
      <c r="BE116" s="64">
        <f t="shared" si="32"/>
        <v>98012286.732649058</v>
      </c>
      <c r="BF116" s="65">
        <f t="shared" si="33"/>
        <v>2434345723.9326406</v>
      </c>
      <c r="BG116" s="66">
        <f t="shared" si="34"/>
        <v>1844566417.5484791</v>
      </c>
    </row>
    <row r="117" spans="43:59" x14ac:dyDescent="0.25">
      <c r="AQ117" s="7">
        <v>102</v>
      </c>
      <c r="AR117" s="58">
        <f t="shared" si="35"/>
        <v>51</v>
      </c>
      <c r="AS117" s="58">
        <f t="shared" si="36"/>
        <v>32647.26330122388</v>
      </c>
      <c r="AT117" s="58">
        <f t="shared" si="37"/>
        <v>9482.5547395785252</v>
      </c>
      <c r="AU117" s="58">
        <f t="shared" si="38"/>
        <v>6120.7107471080108</v>
      </c>
      <c r="AV117" s="58">
        <f t="shared" si="39"/>
        <v>-2837.6616747113785</v>
      </c>
      <c r="AW117" s="58">
        <f t="shared" si="25"/>
        <v>-1810.3320987292677</v>
      </c>
      <c r="AX117" s="58">
        <f t="shared" si="40"/>
        <v>-373.17344508077917</v>
      </c>
      <c r="AY117" s="33">
        <f t="shared" si="26"/>
        <v>-1544.8136824274143</v>
      </c>
      <c r="AZ117" s="33">
        <f t="shared" si="27"/>
        <v>-242.16129726387911</v>
      </c>
      <c r="BA117" s="39">
        <f t="shared" si="28"/>
        <v>-63.104950858363559</v>
      </c>
      <c r="BB117" s="39">
        <f t="shared" si="29"/>
        <v>0.62022896696381968</v>
      </c>
      <c r="BC117" s="45">
        <f t="shared" si="30"/>
        <v>-202.41346544349005</v>
      </c>
      <c r="BD117" s="45">
        <f t="shared" si="31"/>
        <v>-131.63237678386386</v>
      </c>
      <c r="BE117" s="64">
        <f t="shared" si="32"/>
        <v>163883792.30590963</v>
      </c>
      <c r="BF117" s="65">
        <f t="shared" si="33"/>
        <v>2772002082.7059274</v>
      </c>
      <c r="BG117" s="66">
        <f t="shared" si="34"/>
        <v>2016711920.6481373</v>
      </c>
    </row>
    <row r="118" spans="43:59" x14ac:dyDescent="0.25">
      <c r="AQ118" s="7">
        <v>103</v>
      </c>
      <c r="AR118" s="58">
        <f t="shared" si="35"/>
        <v>51.5</v>
      </c>
      <c r="AS118" s="58">
        <f t="shared" si="36"/>
        <v>35481.327162436726</v>
      </c>
      <c r="AT118" s="58">
        <f t="shared" si="37"/>
        <v>8017.0772215877387</v>
      </c>
      <c r="AU118" s="58">
        <f t="shared" si="38"/>
        <v>5215.5446977433767</v>
      </c>
      <c r="AV118" s="58">
        <f t="shared" si="39"/>
        <v>-3024.248397251768</v>
      </c>
      <c r="AW118" s="58">
        <f t="shared" si="25"/>
        <v>-1546.3625894323936</v>
      </c>
      <c r="AX118" s="58">
        <f t="shared" si="40"/>
        <v>-152.70514254836147</v>
      </c>
      <c r="AY118" s="33">
        <f t="shared" si="26"/>
        <v>-1293.3188017684245</v>
      </c>
      <c r="AZ118" s="33">
        <f t="shared" si="27"/>
        <v>-43.196922694600637</v>
      </c>
      <c r="BA118" s="39">
        <f t="shared" si="28"/>
        <v>-56.871170826516099</v>
      </c>
      <c r="BB118" s="39">
        <f t="shared" si="29"/>
        <v>2.0325962956276324</v>
      </c>
      <c r="BC118" s="45">
        <f t="shared" si="30"/>
        <v>-196.17261683745309</v>
      </c>
      <c r="BD118" s="45">
        <f t="shared" si="31"/>
        <v>-111.54081614938846</v>
      </c>
      <c r="BE118" s="64">
        <f t="shared" si="32"/>
        <v>239938859.56348607</v>
      </c>
      <c r="BF118" s="65">
        <f t="shared" si="33"/>
        <v>3082109646.4504857</v>
      </c>
      <c r="BG118" s="66">
        <f t="shared" si="34"/>
        <v>2168523692.6567707</v>
      </c>
    </row>
    <row r="119" spans="43:59" x14ac:dyDescent="0.25">
      <c r="AQ119" s="7">
        <v>104</v>
      </c>
      <c r="AR119" s="58">
        <f t="shared" si="35"/>
        <v>52</v>
      </c>
      <c r="AS119" s="58">
        <f t="shared" si="36"/>
        <v>37895.804187629365</v>
      </c>
      <c r="AT119" s="58">
        <f t="shared" si="37"/>
        <v>6485.8648801433101</v>
      </c>
      <c r="AU119" s="58">
        <f t="shared" si="38"/>
        <v>4442.3634030271796</v>
      </c>
      <c r="AV119" s="58">
        <f t="shared" si="39"/>
        <v>-3100.6009685259487</v>
      </c>
      <c r="AW119" s="58">
        <f t="shared" si="25"/>
        <v>-1326.5967828425255</v>
      </c>
      <c r="AX119" s="58">
        <f t="shared" si="40"/>
        <v>-31.008918171145041</v>
      </c>
      <c r="AY119" s="33">
        <f t="shared" si="26"/>
        <v>-1083.6293990981751</v>
      </c>
      <c r="AZ119" s="33">
        <f t="shared" si="27"/>
        <v>61.408060739417195</v>
      </c>
      <c r="BA119" s="39">
        <f t="shared" si="28"/>
        <v>-52.141466304809562</v>
      </c>
      <c r="BB119" s="39">
        <f t="shared" si="29"/>
        <v>3.1648607444631862</v>
      </c>
      <c r="BC119" s="45">
        <f t="shared" si="30"/>
        <v>-190.82591743954086</v>
      </c>
      <c r="BD119" s="45">
        <f t="shared" si="31"/>
        <v>-95.581839655025419</v>
      </c>
      <c r="BE119" s="64">
        <f t="shared" si="32"/>
        <v>321288277.56329948</v>
      </c>
      <c r="BF119" s="65">
        <f t="shared" si="33"/>
        <v>3364273288.1729321</v>
      </c>
      <c r="BG119" s="66">
        <f t="shared" si="34"/>
        <v>2301692406.5512166</v>
      </c>
    </row>
    <row r="120" spans="43:59" x14ac:dyDescent="0.25">
      <c r="AQ120" s="7">
        <v>105</v>
      </c>
      <c r="AR120" s="58">
        <f t="shared" si="35"/>
        <v>52.5</v>
      </c>
      <c r="AS120" s="58">
        <f t="shared" si="36"/>
        <v>39951.161291287637</v>
      </c>
      <c r="AT120" s="58">
        <f t="shared" si="37"/>
        <v>4931.6882811089426</v>
      </c>
      <c r="AU120" s="58">
        <f t="shared" si="38"/>
        <v>3779.0650116059169</v>
      </c>
      <c r="AV120" s="58">
        <f t="shared" si="39"/>
        <v>-3116.105427611521</v>
      </c>
      <c r="AW120" s="58">
        <f t="shared" si="25"/>
        <v>-1156.2235122574705</v>
      </c>
      <c r="AX120" s="58">
        <f t="shared" si="40"/>
        <v>40.116642297918972</v>
      </c>
      <c r="AY120" s="33">
        <f t="shared" si="26"/>
        <v>-921.48391755150567</v>
      </c>
      <c r="AZ120" s="33">
        <f t="shared" si="27"/>
        <v>118.62256585789098</v>
      </c>
      <c r="BA120" s="39">
        <f t="shared" si="28"/>
        <v>-48.450587105726129</v>
      </c>
      <c r="BB120" s="39">
        <f t="shared" si="29"/>
        <v>4.0960453997208877</v>
      </c>
      <c r="BC120" s="45">
        <f t="shared" si="30"/>
        <v>-186.28900760023859</v>
      </c>
      <c r="BD120" s="45">
        <f t="shared" si="31"/>
        <v>-82.601968959692897</v>
      </c>
      <c r="BE120" s="64">
        <f t="shared" si="32"/>
        <v>404645061.95636731</v>
      </c>
      <c r="BF120" s="65">
        <f t="shared" si="33"/>
        <v>3619829523.8538332</v>
      </c>
      <c r="BG120" s="66">
        <f t="shared" si="34"/>
        <v>2417879099.1706514</v>
      </c>
    </row>
    <row r="121" spans="43:59" x14ac:dyDescent="0.25">
      <c r="AQ121" s="7">
        <v>106</v>
      </c>
      <c r="AR121" s="58">
        <f t="shared" si="35"/>
        <v>53</v>
      </c>
      <c r="AS121" s="58">
        <f t="shared" si="36"/>
        <v>41696.165858058412</v>
      </c>
      <c r="AT121" s="58">
        <f t="shared" si="37"/>
        <v>3378.650147590422</v>
      </c>
      <c r="AU121" s="58">
        <f t="shared" si="38"/>
        <v>3200.9532554771818</v>
      </c>
      <c r="AV121" s="58">
        <f t="shared" si="39"/>
        <v>-3096.0471064625617</v>
      </c>
      <c r="AW121" s="58">
        <f t="shared" si="25"/>
        <v>-1025.3308720165721</v>
      </c>
      <c r="AX121" s="58">
        <f t="shared" si="40"/>
        <v>84.516704387798072</v>
      </c>
      <c r="AY121" s="33">
        <f t="shared" si="26"/>
        <v>-797.3297153114745</v>
      </c>
      <c r="AZ121" s="33">
        <f t="shared" si="27"/>
        <v>151.458775067402</v>
      </c>
      <c r="BA121" s="39">
        <f t="shared" si="28"/>
        <v>-45.506953987369556</v>
      </c>
      <c r="BB121" s="39">
        <f t="shared" si="29"/>
        <v>4.8838928461309301</v>
      </c>
      <c r="BC121" s="45">
        <f t="shared" si="30"/>
        <v>-182.494202717728</v>
      </c>
      <c r="BD121" s="45">
        <f t="shared" si="31"/>
        <v>-71.825963525734849</v>
      </c>
      <c r="BE121" s="64">
        <f t="shared" si="32"/>
        <v>487709137.54633594</v>
      </c>
      <c r="BF121" s="65">
        <f t="shared" si="33"/>
        <v>3850259155.4530568</v>
      </c>
      <c r="BG121" s="66">
        <f t="shared" si="34"/>
        <v>2518306687.0908251</v>
      </c>
    </row>
    <row r="122" spans="43:59" x14ac:dyDescent="0.25">
      <c r="AQ122" s="7">
        <v>107</v>
      </c>
      <c r="AR122" s="58">
        <f t="shared" si="35"/>
        <v>53.5</v>
      </c>
      <c r="AS122" s="58">
        <f t="shared" si="36"/>
        <v>43168.476126794936</v>
      </c>
      <c r="AT122" s="58">
        <f t="shared" si="37"/>
        <v>1841.1911824076158</v>
      </c>
      <c r="AU122" s="58">
        <f t="shared" si="38"/>
        <v>2688.2878194688956</v>
      </c>
      <c r="AV122" s="58">
        <f t="shared" si="39"/>
        <v>-3053.7887542686626</v>
      </c>
      <c r="AW122" s="58">
        <f t="shared" si="25"/>
        <v>-923.88588400910783</v>
      </c>
      <c r="AX122" s="58">
        <f t="shared" si="40"/>
        <v>114.15847350943164</v>
      </c>
      <c r="AY122" s="33">
        <f t="shared" si="26"/>
        <v>-701.37664853938747</v>
      </c>
      <c r="AZ122" s="33">
        <f t="shared" si="27"/>
        <v>171.30847715175713</v>
      </c>
      <c r="BA122" s="39">
        <f t="shared" si="28"/>
        <v>-43.121402840693996</v>
      </c>
      <c r="BB122" s="39">
        <f t="shared" si="29"/>
        <v>5.5695388474690786</v>
      </c>
      <c r="BC122" s="45">
        <f t="shared" si="30"/>
        <v>-179.38783262902632</v>
      </c>
      <c r="BD122" s="45">
        <f t="shared" si="31"/>
        <v>-62.719542489794584</v>
      </c>
      <c r="BE122" s="64">
        <f t="shared" si="32"/>
        <v>568800403.27192819</v>
      </c>
      <c r="BF122" s="65">
        <f t="shared" si="33"/>
        <v>4056822537.5034852</v>
      </c>
      <c r="BG122" s="66">
        <f t="shared" si="34"/>
        <v>2603827812.8200178</v>
      </c>
    </row>
    <row r="123" spans="43:59" x14ac:dyDescent="0.25">
      <c r="AQ123" s="7">
        <v>108</v>
      </c>
      <c r="AR123" s="58">
        <f t="shared" si="35"/>
        <v>54</v>
      </c>
      <c r="AS123" s="58">
        <f t="shared" si="36"/>
        <v>44397.134301028243</v>
      </c>
      <c r="AT123" s="58">
        <f t="shared" si="37"/>
        <v>328.56661446196341</v>
      </c>
      <c r="AU123" s="58">
        <f t="shared" si="38"/>
        <v>2226.3448774643416</v>
      </c>
      <c r="AV123" s="58">
        <f t="shared" si="39"/>
        <v>-2996.7095175139466</v>
      </c>
      <c r="AW123" s="58">
        <f t="shared" si="25"/>
        <v>-844.22102722986369</v>
      </c>
      <c r="AX123" s="58">
        <f t="shared" si="40"/>
        <v>135.32684584216227</v>
      </c>
      <c r="AY123" s="33">
        <f t="shared" si="26"/>
        <v>-626.1266188383762</v>
      </c>
      <c r="AZ123" s="33">
        <f t="shared" si="27"/>
        <v>184.04724434059187</v>
      </c>
      <c r="BA123" s="39">
        <f t="shared" si="28"/>
        <v>-41.166609017039434</v>
      </c>
      <c r="BB123" s="39">
        <f t="shared" si="29"/>
        <v>6.1825750654626441</v>
      </c>
      <c r="BC123" s="45">
        <f t="shared" si="30"/>
        <v>-176.92779937444811</v>
      </c>
      <c r="BD123" s="45">
        <f t="shared" si="31"/>
        <v>-54.902973563892267</v>
      </c>
      <c r="BE123" s="64">
        <f t="shared" si="32"/>
        <v>646649618.90561843</v>
      </c>
      <c r="BF123" s="65">
        <f t="shared" si="33"/>
        <v>4240527529.9155684</v>
      </c>
      <c r="BG123" s="66">
        <f t="shared" si="34"/>
        <v>2675041831.6078191</v>
      </c>
    </row>
    <row r="124" spans="43:59" x14ac:dyDescent="0.25">
      <c r="AQ124" s="7">
        <v>109</v>
      </c>
      <c r="AR124" s="58">
        <f t="shared" si="35"/>
        <v>54.5</v>
      </c>
      <c r="AS124" s="58">
        <f t="shared" si="36"/>
        <v>45404.779111356685</v>
      </c>
      <c r="AT124" s="58">
        <f t="shared" si="37"/>
        <v>-1152.8722885647396</v>
      </c>
      <c r="AU124" s="58">
        <f t="shared" si="38"/>
        <v>1804.2343638494099</v>
      </c>
      <c r="AV124" s="58">
        <f t="shared" si="39"/>
        <v>-2929.0460945928653</v>
      </c>
      <c r="AW124" s="58">
        <f t="shared" si="25"/>
        <v>-780.84269542513891</v>
      </c>
      <c r="AX124" s="58">
        <f t="shared" si="40"/>
        <v>151.49648306018327</v>
      </c>
      <c r="AY124" s="33">
        <f t="shared" si="26"/>
        <v>-566.20647532907219</v>
      </c>
      <c r="AZ124" s="33">
        <f t="shared" si="27"/>
        <v>192.85002630826682</v>
      </c>
      <c r="BA124" s="39">
        <f t="shared" si="28"/>
        <v>-39.55402705576379</v>
      </c>
      <c r="BB124" s="39">
        <f t="shared" si="29"/>
        <v>6.7447825410478233</v>
      </c>
      <c r="BC124" s="45">
        <f t="shared" si="30"/>
        <v>-175.082193040303</v>
      </c>
      <c r="BD124" s="45">
        <f t="shared" si="31"/>
        <v>-48.098325789131373</v>
      </c>
      <c r="BE124" s="64">
        <f t="shared" si="32"/>
        <v>720275000.53903663</v>
      </c>
      <c r="BF124" s="65">
        <f t="shared" si="33"/>
        <v>4402171690.8903952</v>
      </c>
      <c r="BG124" s="66">
        <f t="shared" si="34"/>
        <v>2732384703.1214576</v>
      </c>
    </row>
    <row r="125" spans="43:59" x14ac:dyDescent="0.25">
      <c r="AQ125" s="7">
        <v>110</v>
      </c>
      <c r="AR125" s="58">
        <f t="shared" si="35"/>
        <v>55</v>
      </c>
      <c r="AS125" s="58">
        <f t="shared" si="36"/>
        <v>46209.290956353245</v>
      </c>
      <c r="AT125" s="58">
        <f t="shared" si="37"/>
        <v>-2598.4582754786497</v>
      </c>
      <c r="AU125" s="58">
        <f t="shared" si="38"/>
        <v>1413.8130161368404</v>
      </c>
      <c r="AV125" s="58">
        <f t="shared" si="39"/>
        <v>-2853.2978530627738</v>
      </c>
      <c r="AW125" s="58">
        <f t="shared" si="25"/>
        <v>-729.85877141868241</v>
      </c>
      <c r="AX125" s="58">
        <f t="shared" si="40"/>
        <v>164.68846317461404</v>
      </c>
      <c r="AY125" s="33">
        <f t="shared" si="26"/>
        <v>-517.80982956876653</v>
      </c>
      <c r="AZ125" s="33">
        <f t="shared" si="27"/>
        <v>199.51249223952578</v>
      </c>
      <c r="BA125" s="39">
        <f t="shared" si="28"/>
        <v>-38.220398460073007</v>
      </c>
      <c r="BB125" s="39">
        <f t="shared" si="29"/>
        <v>7.2726665444707219</v>
      </c>
      <c r="BC125" s="45">
        <f t="shared" si="30"/>
        <v>-173.82854338984276</v>
      </c>
      <c r="BD125" s="45">
        <f t="shared" si="31"/>
        <v>-42.096695609382465</v>
      </c>
      <c r="BE125" s="64">
        <f t="shared" si="32"/>
        <v>788905791.97636318</v>
      </c>
      <c r="BF125" s="65">
        <f t="shared" si="33"/>
        <v>4542391359.8620167</v>
      </c>
      <c r="BG125" s="66">
        <f t="shared" si="34"/>
        <v>2776189717.3974862</v>
      </c>
    </row>
    <row r="126" spans="43:59" x14ac:dyDescent="0.25">
      <c r="AQ126" s="7">
        <v>111</v>
      </c>
      <c r="AR126" s="58">
        <f t="shared" si="35"/>
        <v>55.5</v>
      </c>
      <c r="AS126" s="58">
        <f t="shared" si="36"/>
        <v>46824.965117994332</v>
      </c>
      <c r="AT126" s="58">
        <f t="shared" si="37"/>
        <v>-4004.5211441132096</v>
      </c>
      <c r="AU126" s="58">
        <f t="shared" si="38"/>
        <v>1048.8836304274992</v>
      </c>
      <c r="AV126" s="58">
        <f t="shared" si="39"/>
        <v>-2770.9536214754667</v>
      </c>
      <c r="AW126" s="58">
        <f t="shared" si="25"/>
        <v>-688.49372936860152</v>
      </c>
      <c r="AX126" s="58">
        <f t="shared" si="40"/>
        <v>176.13820568409733</v>
      </c>
      <c r="AY126" s="33">
        <f t="shared" si="26"/>
        <v>-478.22070848082876</v>
      </c>
      <c r="AZ126" s="33">
        <f t="shared" si="27"/>
        <v>205.09626864640072</v>
      </c>
      <c r="BA126" s="39">
        <f t="shared" si="28"/>
        <v>-37.11957167101626</v>
      </c>
      <c r="BB126" s="39">
        <f t="shared" si="29"/>
        <v>7.7791559697678343</v>
      </c>
      <c r="BC126" s="45">
        <f t="shared" si="30"/>
        <v>-173.15344921675646</v>
      </c>
      <c r="BD126" s="45">
        <f t="shared" si="31"/>
        <v>-36.737218932071229</v>
      </c>
      <c r="BE126" s="64">
        <f t="shared" si="32"/>
        <v>851932760.33696055</v>
      </c>
      <c r="BF126" s="65">
        <f t="shared" si="33"/>
        <v>4661702575.4970732</v>
      </c>
      <c r="BG126" s="66">
        <f t="shared" si="34"/>
        <v>2806727564.7515831</v>
      </c>
    </row>
    <row r="127" spans="43:59" x14ac:dyDescent="0.25">
      <c r="AQ127" s="7">
        <v>112</v>
      </c>
      <c r="AR127" s="58">
        <f t="shared" si="35"/>
        <v>56</v>
      </c>
      <c r="AS127" s="58">
        <f t="shared" si="36"/>
        <v>47263.345217037007</v>
      </c>
      <c r="AT127" s="58">
        <f t="shared" si="37"/>
        <v>-5367.9806791404308</v>
      </c>
      <c r="AU127" s="58">
        <f t="shared" si="38"/>
        <v>704.63676574319834</v>
      </c>
      <c r="AV127" s="58">
        <f t="shared" si="39"/>
        <v>-2682.8845186334179</v>
      </c>
      <c r="AW127" s="58">
        <f t="shared" si="25"/>
        <v>-654.74326157510131</v>
      </c>
      <c r="AX127" s="58">
        <f t="shared" si="40"/>
        <v>186.63980917214946</v>
      </c>
      <c r="AY127" s="33">
        <f t="shared" si="26"/>
        <v>-445.47340013751801</v>
      </c>
      <c r="AZ127" s="33">
        <f t="shared" si="27"/>
        <v>210.25824455534547</v>
      </c>
      <c r="BA127" s="39">
        <f t="shared" si="28"/>
        <v>-36.217370602619155</v>
      </c>
      <c r="BB127" s="39">
        <f t="shared" si="29"/>
        <v>8.2747572228885016</v>
      </c>
      <c r="BC127" s="45">
        <f t="shared" si="30"/>
        <v>-173.05249083496409</v>
      </c>
      <c r="BD127" s="45">
        <f t="shared" si="31"/>
        <v>-31.893192606084522</v>
      </c>
      <c r="BE127" s="64">
        <f t="shared" si="32"/>
        <v>908874919.18206608</v>
      </c>
      <c r="BF127" s="65">
        <f t="shared" si="33"/>
        <v>4760532439.9407291</v>
      </c>
      <c r="BG127" s="66">
        <f t="shared" si="34"/>
        <v>2824233049.4725971</v>
      </c>
    </row>
    <row r="128" spans="43:59" x14ac:dyDescent="0.25">
      <c r="AQ128" s="7">
        <v>113</v>
      </c>
      <c r="AR128" s="58">
        <f t="shared" si="35"/>
        <v>56.5</v>
      </c>
      <c r="AS128" s="58">
        <f t="shared" si="36"/>
        <v>47533.820692211717</v>
      </c>
      <c r="AT128" s="58">
        <f t="shared" si="37"/>
        <v>-6686.0929623106213</v>
      </c>
      <c r="AU128" s="58">
        <f t="shared" si="38"/>
        <v>377.26513495564768</v>
      </c>
      <c r="AV128" s="58">
        <f t="shared" si="39"/>
        <v>-2589.5646140473432</v>
      </c>
      <c r="AW128" s="58">
        <f t="shared" si="25"/>
        <v>-627.13960192168474</v>
      </c>
      <c r="AX128" s="58">
        <f t="shared" si="40"/>
        <v>196.73179643097814</v>
      </c>
      <c r="AY128" s="33">
        <f t="shared" si="26"/>
        <v>-418.12091213128787</v>
      </c>
      <c r="AZ128" s="33">
        <f t="shared" si="27"/>
        <v>215.42604621734748</v>
      </c>
      <c r="BA128" s="39">
        <f t="shared" si="28"/>
        <v>-35.488278344062124</v>
      </c>
      <c r="BB128" s="39">
        <f t="shared" si="29"/>
        <v>8.7683579198069239</v>
      </c>
      <c r="BC128" s="45">
        <f t="shared" si="30"/>
        <v>-173.53041144633474</v>
      </c>
      <c r="BD128" s="45">
        <f t="shared" si="31"/>
        <v>-27.462607706176275</v>
      </c>
      <c r="BE128" s="64">
        <f t="shared" si="32"/>
        <v>959356515.44618511</v>
      </c>
      <c r="BF128" s="65">
        <f t="shared" si="33"/>
        <v>4839242635.634675</v>
      </c>
      <c r="BG128" s="66">
        <f t="shared" si="34"/>
        <v>2828923366.7527928</v>
      </c>
    </row>
    <row r="129" spans="43:59" x14ac:dyDescent="0.25">
      <c r="AQ129" s="7">
        <v>114</v>
      </c>
      <c r="AR129" s="58">
        <f t="shared" si="35"/>
        <v>57</v>
      </c>
      <c r="AS129" s="58">
        <f t="shared" si="36"/>
        <v>47644.060809449336</v>
      </c>
      <c r="AT129" s="58">
        <f t="shared" si="37"/>
        <v>-7956.283794780421</v>
      </c>
      <c r="AU129" s="58">
        <f t="shared" si="38"/>
        <v>63.69533399480531</v>
      </c>
      <c r="AV129" s="58">
        <f t="shared" si="39"/>
        <v>-2491.1987158318543</v>
      </c>
      <c r="AW129" s="58">
        <f t="shared" si="25"/>
        <v>-604.59348659634293</v>
      </c>
      <c r="AX129" s="58">
        <f t="shared" si="40"/>
        <v>206.80177891761585</v>
      </c>
      <c r="AY129" s="33">
        <f t="shared" si="26"/>
        <v>-395.07865280828264</v>
      </c>
      <c r="AZ129" s="33">
        <f t="shared" si="27"/>
        <v>220.89546905413491</v>
      </c>
      <c r="BA129" s="39">
        <f t="shared" si="28"/>
        <v>-34.91324201222541</v>
      </c>
      <c r="BB129" s="39">
        <f t="shared" si="29"/>
        <v>9.2678067263489226</v>
      </c>
      <c r="BC129" s="45">
        <f t="shared" si="30"/>
        <v>-174.60159177583492</v>
      </c>
      <c r="BD129" s="45">
        <f t="shared" si="31"/>
        <v>-23.361496862867984</v>
      </c>
      <c r="BE129" s="64">
        <f t="shared" si="32"/>
        <v>1003090806.7813245</v>
      </c>
      <c r="BF129" s="65">
        <f t="shared" si="33"/>
        <v>4898147090.5111732</v>
      </c>
      <c r="BG129" s="66">
        <f t="shared" si="34"/>
        <v>2821011076.4886723</v>
      </c>
    </row>
    <row r="130" spans="43:59" x14ac:dyDescent="0.25">
      <c r="AQ130" s="7">
        <v>115</v>
      </c>
      <c r="AR130" s="58">
        <f t="shared" si="35"/>
        <v>57.5</v>
      </c>
      <c r="AS130" s="58">
        <f t="shared" si="36"/>
        <v>47600.334290622195</v>
      </c>
      <c r="AT130" s="58">
        <f t="shared" si="37"/>
        <v>-9176.0329303316448</v>
      </c>
      <c r="AU130" s="58">
        <f t="shared" si="38"/>
        <v>-238.60140930336615</v>
      </c>
      <c r="AV130" s="58">
        <f t="shared" si="39"/>
        <v>-2387.7978263730465</v>
      </c>
      <c r="AW130" s="58">
        <f t="shared" si="25"/>
        <v>-586.2871157288979</v>
      </c>
      <c r="AX130" s="58">
        <f t="shared" si="40"/>
        <v>217.14802798193244</v>
      </c>
      <c r="AY130" s="33">
        <f t="shared" si="26"/>
        <v>-375.51805310981445</v>
      </c>
      <c r="AZ130" s="33">
        <f t="shared" si="27"/>
        <v>226.88679614003786</v>
      </c>
      <c r="BA130" s="39">
        <f t="shared" si="28"/>
        <v>-34.478195508554805</v>
      </c>
      <c r="BB130" s="39">
        <f t="shared" si="29"/>
        <v>9.7803512273781443</v>
      </c>
      <c r="BC130" s="45">
        <f t="shared" si="30"/>
        <v>-176.29086711052864</v>
      </c>
      <c r="BD130" s="45">
        <f t="shared" si="31"/>
        <v>-19.519119385483549</v>
      </c>
      <c r="BE130" s="64">
        <f t="shared" si="32"/>
        <v>1039868527.2476008</v>
      </c>
      <c r="BF130" s="65">
        <f t="shared" si="33"/>
        <v>4937525435.1490345</v>
      </c>
      <c r="BG130" s="66">
        <f t="shared" si="34"/>
        <v>2800713759.9137864</v>
      </c>
    </row>
    <row r="131" spans="43:59" x14ac:dyDescent="0.25">
      <c r="AQ131" s="7">
        <v>116</v>
      </c>
      <c r="AR131" s="58">
        <f t="shared" si="35"/>
        <v>58</v>
      </c>
      <c r="AS131" s="58">
        <f t="shared" si="36"/>
        <v>47407.747696504404</v>
      </c>
      <c r="AT131" s="58">
        <f t="shared" si="37"/>
        <v>-10342.788340020426</v>
      </c>
      <c r="AU131" s="58">
        <f t="shared" si="38"/>
        <v>-531.74496716781505</v>
      </c>
      <c r="AV131" s="58">
        <f t="shared" si="39"/>
        <v>-2279.2238123820803</v>
      </c>
      <c r="AW131" s="58">
        <f t="shared" si="25"/>
        <v>-571.600793956551</v>
      </c>
      <c r="AX131" s="58">
        <f t="shared" si="40"/>
        <v>228.0173574765715</v>
      </c>
      <c r="AY131" s="33">
        <f t="shared" si="26"/>
        <v>-358.7929746608043</v>
      </c>
      <c r="AZ131" s="33">
        <f t="shared" si="27"/>
        <v>233.57873750332067</v>
      </c>
      <c r="BA131" s="39">
        <f t="shared" si="28"/>
        <v>-34.173059194423502</v>
      </c>
      <c r="BB131" s="39">
        <f t="shared" si="29"/>
        <v>10.312988252523917</v>
      </c>
      <c r="BC131" s="45">
        <f t="shared" si="30"/>
        <v>-178.6347601013232</v>
      </c>
      <c r="BD131" s="45">
        <f t="shared" si="31"/>
        <v>-15.874368279273078</v>
      </c>
      <c r="BE131" s="64">
        <f t="shared" si="32"/>
        <v>1069549729.5420113</v>
      </c>
      <c r="BF131" s="65">
        <f t="shared" si="33"/>
        <v>4957633486.9624653</v>
      </c>
      <c r="BG131" s="66">
        <f t="shared" si="34"/>
        <v>2768261639.0663128</v>
      </c>
    </row>
    <row r="132" spans="43:59" x14ac:dyDescent="0.25">
      <c r="AQ132" s="7">
        <v>117</v>
      </c>
      <c r="AR132" s="58">
        <f t="shared" si="35"/>
        <v>58.5</v>
      </c>
      <c r="AS132" s="58">
        <f t="shared" si="36"/>
        <v>47070.425113675927</v>
      </c>
      <c r="AT132" s="58">
        <f t="shared" si="37"/>
        <v>-11453.898076526895</v>
      </c>
      <c r="AU132" s="58">
        <f t="shared" si="38"/>
        <v>-817.54536414609061</v>
      </c>
      <c r="AV132" s="58">
        <f t="shared" si="39"/>
        <v>-2165.2151336437946</v>
      </c>
      <c r="AW132" s="58">
        <f t="shared" si="25"/>
        <v>-560.06191911280564</v>
      </c>
      <c r="AX132" s="58">
        <f t="shared" si="40"/>
        <v>239.62962508987604</v>
      </c>
      <c r="AY132" s="33">
        <f t="shared" si="26"/>
        <v>-344.38761627656538</v>
      </c>
      <c r="AZ132" s="33">
        <f t="shared" si="27"/>
        <v>241.12985851952507</v>
      </c>
      <c r="BA132" s="39">
        <f t="shared" si="28"/>
        <v>-33.99106942266738</v>
      </c>
      <c r="BB132" s="39">
        <f t="shared" si="29"/>
        <v>10.872764525796343</v>
      </c>
      <c r="BC132" s="45">
        <f t="shared" si="30"/>
        <v>-181.68323341357288</v>
      </c>
      <c r="BD132" s="45">
        <f t="shared" si="31"/>
        <v>-12.372997955445378</v>
      </c>
      <c r="BE132" s="64">
        <f t="shared" si="32"/>
        <v>1092058168.130506</v>
      </c>
      <c r="BF132" s="65">
        <f t="shared" si="33"/>
        <v>4958711667.6072149</v>
      </c>
      <c r="BG132" s="66">
        <f t="shared" si="34"/>
        <v>2723904010.3705926</v>
      </c>
    </row>
    <row r="133" spans="43:59" x14ac:dyDescent="0.25">
      <c r="AQ133" s="7">
        <v>118</v>
      </c>
      <c r="AR133" s="58">
        <f t="shared" si="35"/>
        <v>59</v>
      </c>
      <c r="AS133" s="58">
        <f t="shared" si="36"/>
        <v>46591.64469171378</v>
      </c>
      <c r="AT133" s="58">
        <f t="shared" si="37"/>
        <v>-12506.551940212557</v>
      </c>
      <c r="AU133" s="58">
        <f t="shared" si="38"/>
        <v>-1097.5763237024935</v>
      </c>
      <c r="AV133" s="58">
        <f t="shared" si="39"/>
        <v>-2045.4003210988567</v>
      </c>
      <c r="AW133" s="58">
        <f t="shared" si="25"/>
        <v>-551.30894423845757</v>
      </c>
      <c r="AX133" s="58">
        <f t="shared" si="40"/>
        <v>252.19452784012984</v>
      </c>
      <c r="AY133" s="33">
        <f t="shared" si="26"/>
        <v>-331.87848787352419</v>
      </c>
      <c r="AZ133" s="33">
        <f t="shared" si="27"/>
        <v>249.69287467765676</v>
      </c>
      <c r="BA133" s="39">
        <f t="shared" si="28"/>
        <v>-33.928347423747105</v>
      </c>
      <c r="BB133" s="39">
        <f t="shared" si="29"/>
        <v>11.467055920803224</v>
      </c>
      <c r="BC133" s="45">
        <f t="shared" si="30"/>
        <v>-185.50210894118632</v>
      </c>
      <c r="BD133" s="45">
        <f t="shared" si="31"/>
        <v>-8.9654027583301517</v>
      </c>
      <c r="BE133" s="64">
        <f t="shared" si="32"/>
        <v>1107377687.9467726</v>
      </c>
      <c r="BF133" s="65">
        <f t="shared" si="33"/>
        <v>4940992022.9849377</v>
      </c>
      <c r="BG133" s="66">
        <f t="shared" si="34"/>
        <v>2667915085.2228961</v>
      </c>
    </row>
    <row r="134" spans="43:59" x14ac:dyDescent="0.25">
      <c r="AQ134" s="7">
        <v>119</v>
      </c>
      <c r="AR134" s="58">
        <f t="shared" si="35"/>
        <v>59.5</v>
      </c>
      <c r="AS134" s="58">
        <f t="shared" si="36"/>
        <v>45973.942911832724</v>
      </c>
      <c r="AT134" s="58">
        <f t="shared" si="37"/>
        <v>-13497.72778478197</v>
      </c>
      <c r="AU134" s="58">
        <f t="shared" si="38"/>
        <v>-1373.2307958217223</v>
      </c>
      <c r="AV134" s="58">
        <f t="shared" si="39"/>
        <v>-1919.3030571787917</v>
      </c>
      <c r="AW134" s="58">
        <f t="shared" si="25"/>
        <v>-545.06547733143771</v>
      </c>
      <c r="AX134" s="58">
        <f t="shared" si="40"/>
        <v>265.92391362588069</v>
      </c>
      <c r="AY134" s="33">
        <f t="shared" si="26"/>
        <v>-320.90546345547784</v>
      </c>
      <c r="AZ134" s="33">
        <f t="shared" si="27"/>
        <v>259.42482391526778</v>
      </c>
      <c r="BA134" s="39">
        <f t="shared" si="28"/>
        <v>-33.983652742927717</v>
      </c>
      <c r="BB134" s="39">
        <f t="shared" si="29"/>
        <v>12.103848671786043</v>
      </c>
      <c r="BC134" s="45">
        <f t="shared" si="30"/>
        <v>-190.17636113303215</v>
      </c>
      <c r="BD134" s="45">
        <f t="shared" si="31"/>
        <v>-5.6047589611731752</v>
      </c>
      <c r="BE134" s="64">
        <f t="shared" si="32"/>
        <v>1115550282.5109501</v>
      </c>
      <c r="BF134" s="65">
        <f t="shared" si="33"/>
        <v>4904704354.3814774</v>
      </c>
      <c r="BG134" s="66">
        <f t="shared" si="34"/>
        <v>2600599677.7873979</v>
      </c>
    </row>
    <row r="135" spans="43:59" x14ac:dyDescent="0.25">
      <c r="AQ135" s="7">
        <v>120</v>
      </c>
      <c r="AR135" s="58">
        <f t="shared" si="35"/>
        <v>60</v>
      </c>
      <c r="AS135" s="58">
        <f t="shared" si="36"/>
        <v>45219.194329255428</v>
      </c>
      <c r="AT135" s="58">
        <f t="shared" si="37"/>
        <v>-14424.138824168131</v>
      </c>
      <c r="AU135" s="58">
        <f t="shared" si="38"/>
        <v>-1645.7635344874411</v>
      </c>
      <c r="AV135" s="58">
        <f t="shared" si="39"/>
        <v>-1786.3411003658514</v>
      </c>
      <c r="AW135" s="58">
        <f t="shared" si="25"/>
        <v>-541.12130405684866</v>
      </c>
      <c r="AX135" s="58">
        <f t="shared" si="40"/>
        <v>281.04146848223013</v>
      </c>
      <c r="AY135" s="33">
        <f t="shared" si="26"/>
        <v>-311.14843353880889</v>
      </c>
      <c r="AZ135" s="33">
        <f t="shared" si="27"/>
        <v>270.49482084024612</v>
      </c>
      <c r="BA135" s="39">
        <f t="shared" si="28"/>
        <v>-34.158290421757336</v>
      </c>
      <c r="BB135" s="39">
        <f t="shared" si="29"/>
        <v>12.792044364200571</v>
      </c>
      <c r="BC135" s="45">
        <f t="shared" si="30"/>
        <v>-195.81458009628241</v>
      </c>
      <c r="BD135" s="45">
        <f t="shared" si="31"/>
        <v>-2.2453967222166069</v>
      </c>
      <c r="BE135" s="64">
        <f t="shared" si="32"/>
        <v>1116675625.7981455</v>
      </c>
      <c r="BF135" s="65">
        <f t="shared" si="33"/>
        <v>4850081866.2594204</v>
      </c>
      <c r="BG135" s="66">
        <f t="shared" si="34"/>
        <v>2522299095.1733513</v>
      </c>
    </row>
    <row r="136" spans="43:59" x14ac:dyDescent="0.25">
      <c r="AQ136" s="7">
        <v>121</v>
      </c>
      <c r="AR136" s="58">
        <f t="shared" si="35"/>
        <v>60.5</v>
      </c>
      <c r="AS136" s="58">
        <f t="shared" si="36"/>
        <v>44328.672399004601</v>
      </c>
      <c r="AT136" s="58">
        <f t="shared" si="37"/>
        <v>-15282.179190790777</v>
      </c>
      <c r="AU136" s="58">
        <f t="shared" si="38"/>
        <v>-1916.3241865158654</v>
      </c>
      <c r="AV136" s="58">
        <f t="shared" si="39"/>
        <v>-1645.8203661247362</v>
      </c>
      <c r="AW136" s="58">
        <f t="shared" si="25"/>
        <v>-539.31816074135554</v>
      </c>
      <c r="AX136" s="58">
        <f t="shared" si="40"/>
        <v>297.79082386105983</v>
      </c>
      <c r="AY136" s="33">
        <f t="shared" si="26"/>
        <v>-302.30697241823958</v>
      </c>
      <c r="AZ136" s="33">
        <f t="shared" si="27"/>
        <v>283.0903184236048</v>
      </c>
      <c r="BA136" s="39">
        <f t="shared" si="28"/>
        <v>-34.456158794884317</v>
      </c>
      <c r="BB136" s="39">
        <f t="shared" si="29"/>
        <v>13.541811891832021</v>
      </c>
      <c r="BC136" s="45">
        <f t="shared" si="30"/>
        <v>-202.55502952823167</v>
      </c>
      <c r="BD136" s="45">
        <f t="shared" si="31"/>
        <v>1.1586935456230072</v>
      </c>
      <c r="BE136" s="64">
        <f t="shared" si="32"/>
        <v>1110911989.3793886</v>
      </c>
      <c r="BF136" s="65">
        <f t="shared" si="33"/>
        <v>4777366677.2537107</v>
      </c>
      <c r="BG136" s="66">
        <f t="shared" si="34"/>
        <v>2433397545.7440338</v>
      </c>
    </row>
    <row r="137" spans="43:59" x14ac:dyDescent="0.25">
      <c r="AQ137" s="7">
        <v>122</v>
      </c>
      <c r="AR137" s="58">
        <f t="shared" si="35"/>
        <v>61</v>
      </c>
      <c r="AS137" s="58">
        <f t="shared" si="36"/>
        <v>43303.095535654</v>
      </c>
      <c r="AT137" s="58">
        <f t="shared" si="37"/>
        <v>-16067.865520870513</v>
      </c>
      <c r="AU137" s="58">
        <f t="shared" si="38"/>
        <v>-2185.9832668865433</v>
      </c>
      <c r="AV137" s="58">
        <f t="shared" si="39"/>
        <v>-1496.9249541942063</v>
      </c>
      <c r="AW137" s="58">
        <f t="shared" si="25"/>
        <v>-539.53877215781404</v>
      </c>
      <c r="AX137" s="58">
        <f t="shared" si="40"/>
        <v>316.44256317011195</v>
      </c>
      <c r="AY137" s="33">
        <f t="shared" si="26"/>
        <v>-294.08091527311717</v>
      </c>
      <c r="AZ137" s="33">
        <f t="shared" si="27"/>
        <v>297.42226532981624</v>
      </c>
      <c r="BA137" s="39">
        <f t="shared" si="28"/>
        <v>-34.883939588149794</v>
      </c>
      <c r="BB137" s="39">
        <f t="shared" si="29"/>
        <v>14.365013880085685</v>
      </c>
      <c r="BC137" s="45">
        <f t="shared" si="30"/>
        <v>-210.57391729654702</v>
      </c>
      <c r="BD137" s="45">
        <f t="shared" si="31"/>
        <v>4.6552839602100047</v>
      </c>
      <c r="BE137" s="64">
        <f t="shared" si="32"/>
        <v>1098478546.7536545</v>
      </c>
      <c r="BF137" s="65">
        <f t="shared" si="33"/>
        <v>4686815517.2103271</v>
      </c>
      <c r="BG137" s="66">
        <f t="shared" si="34"/>
        <v>2334329375.0971818</v>
      </c>
    </row>
    <row r="138" spans="43:59" x14ac:dyDescent="0.25">
      <c r="AQ138" s="7">
        <v>123</v>
      </c>
      <c r="AR138" s="58">
        <f t="shared" si="35"/>
        <v>61.5</v>
      </c>
      <c r="AS138" s="58">
        <f t="shared" si="36"/>
        <v>42142.661555691004</v>
      </c>
      <c r="AT138" s="58">
        <f t="shared" si="37"/>
        <v>-16776.772677571353</v>
      </c>
      <c r="AU138" s="58">
        <f t="shared" si="38"/>
        <v>-2455.7526529654506</v>
      </c>
      <c r="AV138" s="58">
        <f t="shared" si="39"/>
        <v>-1338.7036726091503</v>
      </c>
      <c r="AW138" s="58">
        <f t="shared" si="25"/>
        <v>-541.69815679570615</v>
      </c>
      <c r="AX138" s="58">
        <f t="shared" si="40"/>
        <v>337.30010078148763</v>
      </c>
      <c r="AY138" s="33">
        <f t="shared" si="26"/>
        <v>-286.14992211667567</v>
      </c>
      <c r="AZ138" s="33">
        <f t="shared" si="27"/>
        <v>313.72906971726928</v>
      </c>
      <c r="BA138" s="39">
        <f t="shared" si="28"/>
        <v>-35.451446527943055</v>
      </c>
      <c r="BB138" s="39">
        <f t="shared" si="29"/>
        <v>15.275742959916288</v>
      </c>
      <c r="BC138" s="45">
        <f t="shared" si="30"/>
        <v>-220.0967881510874</v>
      </c>
      <c r="BD138" s="45">
        <f t="shared" si="31"/>
        <v>8.2952881043020739</v>
      </c>
      <c r="BE138" s="64">
        <f t="shared" si="32"/>
        <v>1079659152.4083514</v>
      </c>
      <c r="BF138" s="65">
        <f t="shared" si="33"/>
        <v>4578705940.2514887</v>
      </c>
      <c r="BG138" s="66">
        <f t="shared" si="34"/>
        <v>2225587459.7021909</v>
      </c>
    </row>
    <row r="139" spans="43:59" x14ac:dyDescent="0.25">
      <c r="AQ139" s="7">
        <v>124</v>
      </c>
      <c r="AR139" s="58">
        <f t="shared" si="35"/>
        <v>62</v>
      </c>
      <c r="AS139" s="58">
        <f t="shared" si="36"/>
        <v>40847.072959608813</v>
      </c>
      <c r="AT139" s="58">
        <f t="shared" si="37"/>
        <v>-17403.962001278243</v>
      </c>
      <c r="AU139" s="58">
        <f t="shared" si="38"/>
        <v>-2726.6017313633038</v>
      </c>
      <c r="AV139" s="58">
        <f t="shared" si="39"/>
        <v>-1170.0536222184064</v>
      </c>
      <c r="AW139" s="58">
        <f t="shared" si="25"/>
        <v>-545.73662321246684</v>
      </c>
      <c r="AX139" s="58">
        <f t="shared" si="40"/>
        <v>360.70379461436511</v>
      </c>
      <c r="AY139" s="33">
        <f t="shared" si="26"/>
        <v>-278.15006143637186</v>
      </c>
      <c r="AZ139" s="33">
        <f t="shared" si="27"/>
        <v>332.27871241616253</v>
      </c>
      <c r="BA139" s="39">
        <f t="shared" si="28"/>
        <v>-36.172165267574435</v>
      </c>
      <c r="BB139" s="39">
        <f t="shared" si="29"/>
        <v>16.291016055194305</v>
      </c>
      <c r="BC139" s="45">
        <f t="shared" si="30"/>
        <v>-231.41439650852061</v>
      </c>
      <c r="BD139" s="45">
        <f t="shared" si="31"/>
        <v>12.13406614300829</v>
      </c>
      <c r="BE139" s="64">
        <f t="shared" si="32"/>
        <v>1054807774.3443637</v>
      </c>
      <c r="BF139" s="65">
        <f t="shared" si="33"/>
        <v>4453343421.1194601</v>
      </c>
      <c r="BG139" s="66">
        <f t="shared" si="34"/>
        <v>2107733132.2672832</v>
      </c>
    </row>
    <row r="140" spans="43:59" x14ac:dyDescent="0.25">
      <c r="AQ140" s="7">
        <v>125</v>
      </c>
      <c r="AR140" s="58">
        <f t="shared" si="35"/>
        <v>62.5</v>
      </c>
      <c r="AS140" s="58">
        <f t="shared" si="36"/>
        <v>39415.555016025603</v>
      </c>
      <c r="AT140" s="58">
        <f t="shared" si="37"/>
        <v>-17943.900838060654</v>
      </c>
      <c r="AU140" s="58">
        <f t="shared" si="38"/>
        <v>-2999.4700429695372</v>
      </c>
      <c r="AV140" s="58">
        <f t="shared" si="39"/>
        <v>-989.70172491122389</v>
      </c>
      <c r="AW140" s="58">
        <f t="shared" si="25"/>
        <v>-551.61439012821211</v>
      </c>
      <c r="AX140" s="58">
        <f t="shared" si="40"/>
        <v>387.03173708788404</v>
      </c>
      <c r="AY140" s="33">
        <f t="shared" si="26"/>
        <v>-269.64523298210423</v>
      </c>
      <c r="AZ140" s="33">
        <f t="shared" si="27"/>
        <v>353.36752226704283</v>
      </c>
      <c r="BA140" s="39">
        <f t="shared" si="28"/>
        <v>-37.064038816358185</v>
      </c>
      <c r="BB140" s="39">
        <f t="shared" si="29"/>
        <v>17.431694866150632</v>
      </c>
      <c r="BC140" s="45">
        <f t="shared" si="30"/>
        <v>-244.90511832974977</v>
      </c>
      <c r="BD140" s="45">
        <f t="shared" si="31"/>
        <v>16.232519954690602</v>
      </c>
      <c r="BE140" s="64">
        <f t="shared" si="32"/>
        <v>1024355866.4373806</v>
      </c>
      <c r="BF140" s="65">
        <f t="shared" si="33"/>
        <v>4311069771.9097319</v>
      </c>
      <c r="BG140" s="66">
        <f t="shared" si="34"/>
        <v>1981408079.5259314</v>
      </c>
    </row>
    <row r="141" spans="43:59" x14ac:dyDescent="0.25">
      <c r="AQ141" s="7">
        <v>126</v>
      </c>
      <c r="AR141" s="58">
        <f t="shared" si="35"/>
        <v>63</v>
      </c>
      <c r="AS141" s="58">
        <f t="shared" si="36"/>
        <v>37846.868195774805</v>
      </c>
      <c r="AT141" s="58">
        <f t="shared" si="37"/>
        <v>-18390.372733380282</v>
      </c>
      <c r="AU141" s="58">
        <f t="shared" si="38"/>
        <v>-3275.2772380336432</v>
      </c>
      <c r="AV141" s="58">
        <f t="shared" si="39"/>
        <v>-796.18585636728187</v>
      </c>
      <c r="AW141" s="58">
        <f t="shared" si="25"/>
        <v>-559.30861059801987</v>
      </c>
      <c r="AX141" s="58">
        <f t="shared" si="40"/>
        <v>416.69415465428432</v>
      </c>
      <c r="AY141" s="33">
        <f t="shared" si="26"/>
        <v>-260.09095238425346</v>
      </c>
      <c r="AZ141" s="33">
        <f t="shared" si="27"/>
        <v>377.31279392775514</v>
      </c>
      <c r="BA141" s="39">
        <f t="shared" si="28"/>
        <v>-38.150582509905092</v>
      </c>
      <c r="BB141" s="39">
        <f t="shared" si="29"/>
        <v>18.723732005441494</v>
      </c>
      <c r="BC141" s="45">
        <f t="shared" si="30"/>
        <v>-261.06707570386129</v>
      </c>
      <c r="BD141" s="45">
        <f t="shared" si="31"/>
        <v>20.657628721087708</v>
      </c>
      <c r="BE141" s="64">
        <f t="shared" si="32"/>
        <v>988822104.67071939</v>
      </c>
      <c r="BF141" s="65">
        <f t="shared" si="33"/>
        <v>4152273423.9996052</v>
      </c>
      <c r="BG141" s="66">
        <f t="shared" si="34"/>
        <v>1847348741.4573472</v>
      </c>
    </row>
    <row r="142" spans="43:59" x14ac:dyDescent="0.25">
      <c r="AQ142" s="7">
        <v>127</v>
      </c>
      <c r="AR142" s="58">
        <f t="shared" si="35"/>
        <v>63.5</v>
      </c>
      <c r="AS142" s="58">
        <f t="shared" si="36"/>
        <v>36139.316000433231</v>
      </c>
      <c r="AT142" s="58">
        <f t="shared" si="37"/>
        <v>-18736.378892232136</v>
      </c>
      <c r="AU142" s="58">
        <f t="shared" si="38"/>
        <v>-3554.9315433326533</v>
      </c>
      <c r="AV142" s="58">
        <f t="shared" si="39"/>
        <v>-587.83877904013968</v>
      </c>
      <c r="AW142" s="58">
        <f t="shared" si="25"/>
        <v>-568.8152404641919</v>
      </c>
      <c r="AX142" s="58">
        <f t="shared" si="40"/>
        <v>450.11575798052309</v>
      </c>
      <c r="AY142" s="33">
        <f t="shared" si="26"/>
        <v>-248.78783459224667</v>
      </c>
      <c r="AZ142" s="33">
        <f t="shared" si="27"/>
        <v>404.43423327016757</v>
      </c>
      <c r="BA142" s="39">
        <f t="shared" si="28"/>
        <v>-39.46245643377457</v>
      </c>
      <c r="BB142" s="39">
        <f t="shared" si="29"/>
        <v>20.199891642612794</v>
      </c>
      <c r="BC142" s="45">
        <f t="shared" si="30"/>
        <v>-280.56494943817069</v>
      </c>
      <c r="BD142" s="45">
        <f t="shared" si="31"/>
        <v>25.481633067742742</v>
      </c>
      <c r="BE142" s="64">
        <f t="shared" si="32"/>
        <v>948825098.33860409</v>
      </c>
      <c r="BF142" s="65">
        <f t="shared" si="33"/>
        <v>3977402272.8344231</v>
      </c>
      <c r="BG142" s="66">
        <f t="shared" si="34"/>
        <v>1706403848.2098196</v>
      </c>
    </row>
    <row r="143" spans="43:59" x14ac:dyDescent="0.25">
      <c r="AQ143" s="7">
        <v>128</v>
      </c>
      <c r="AR143" s="58">
        <f t="shared" si="35"/>
        <v>64</v>
      </c>
      <c r="AS143" s="58">
        <f t="shared" si="36"/>
        <v>34290.748323708882</v>
      </c>
      <c r="AT143" s="58">
        <f t="shared" si="37"/>
        <v>-18974.03381200464</v>
      </c>
      <c r="AU143" s="58">
        <f t="shared" si="38"/>
        <v>-3839.3391635647495</v>
      </c>
      <c r="AV143" s="58">
        <f t="shared" si="39"/>
        <v>-362.78090004987814</v>
      </c>
      <c r="AW143" s="58">
        <f t="shared" si="25"/>
        <v>-580.16160613505349</v>
      </c>
      <c r="AX143" s="58">
        <f t="shared" si="40"/>
        <v>487.69594366452276</v>
      </c>
      <c r="AY143" s="33">
        <f t="shared" si="26"/>
        <v>-234.8225033380084</v>
      </c>
      <c r="AZ143" s="33">
        <f t="shared" si="27"/>
        <v>435.01563055842729</v>
      </c>
      <c r="BA143" s="39">
        <f t="shared" si="28"/>
        <v>-41.039689925863527</v>
      </c>
      <c r="BB143" s="39">
        <f t="shared" si="29"/>
        <v>21.902173026907423</v>
      </c>
      <c r="BC143" s="45">
        <f t="shared" si="30"/>
        <v>-304.29941287118152</v>
      </c>
      <c r="BD143" s="45">
        <f t="shared" si="31"/>
        <v>30.778140079188056</v>
      </c>
      <c r="BE143" s="64">
        <f t="shared" si="32"/>
        <v>905099953.93075311</v>
      </c>
      <c r="BF143" s="65">
        <f t="shared" si="33"/>
        <v>3786979988.8874869</v>
      </c>
      <c r="BG143" s="66">
        <f t="shared" si="34"/>
        <v>1559555848.5759885</v>
      </c>
    </row>
    <row r="144" spans="43:59" x14ac:dyDescent="0.25">
      <c r="AQ144" s="7">
        <v>129</v>
      </c>
      <c r="AR144" s="58">
        <f t="shared" si="35"/>
        <v>64.5</v>
      </c>
      <c r="AS144" s="58">
        <f t="shared" si="36"/>
        <v>32298.558541159626</v>
      </c>
      <c r="AT144" s="58">
        <f t="shared" si="37"/>
        <v>-19094.462269071511</v>
      </c>
      <c r="AU144" s="58">
        <f t="shared" si="38"/>
        <v>-4129.4199666322766</v>
      </c>
      <c r="AV144" s="58">
        <f t="shared" si="39"/>
        <v>-118.93292821761676</v>
      </c>
      <c r="AW144" s="58">
        <f t="shared" ref="AW144:AW207" si="41">(AY144+BA144+BC144)</f>
        <v>-593.44257632568417</v>
      </c>
      <c r="AX144" s="58">
        <f t="shared" si="40"/>
        <v>529.72920313117027</v>
      </c>
      <c r="AY144" s="33">
        <f t="shared" ref="AY144:AY207" si="42">$H$27*(($H$23-AS144)/(BE144+$H$28^2)^(3/2))</f>
        <v>-216.99568095127933</v>
      </c>
      <c r="AZ144" s="33">
        <f t="shared" ref="AZ144:AZ207" si="43">$H$27*(($I$23-AT144)/(BE144+$H$28^2)^(3/2))</f>
        <v>469.23250641909323</v>
      </c>
      <c r="BA144" s="39">
        <f t="shared" ref="BA144:BA207" si="44">$H$35*(($H$31-AS144)/(BF144+$H$36^2)^(3/2))</f>
        <v>-42.934856811887414</v>
      </c>
      <c r="BB144" s="39">
        <f t="shared" ref="BB144:BB207" si="45">$H$35*(($I$31-AT144)/(BF144+$H$36^2)^(3/2))</f>
        <v>23.885296390307516</v>
      </c>
      <c r="BC144" s="45">
        <f t="shared" ref="BC144:BC207" si="46">$H$43*(($H$39-AS144)/(BG144+$H$44^2)^(3/2))</f>
        <v>-333.51203856251743</v>
      </c>
      <c r="BD144" s="45">
        <f t="shared" ref="BD144:BD207" si="47">$H$43*(($I$39-AT144)/(BG144+$H$44^2)^(3/2))</f>
        <v>36.611400321769516</v>
      </c>
      <c r="BE144" s="64">
        <f t="shared" ref="BE144:BE207" si="48">($H$23-AS144)^2+($I$23-AT144)^2</f>
        <v>858519965.57139862</v>
      </c>
      <c r="BF144" s="65">
        <f t="shared" ref="BF144:BF207" si="49">($H$31-AS144)^2+($I$31-AT144)^2</f>
        <v>3581626960.2095261</v>
      </c>
      <c r="BG144" s="66">
        <f t="shared" ref="BG144:BG207" si="50">($H$39-AS144)^2+($I$39-AT144)^2</f>
        <v>1407947090.521162</v>
      </c>
    </row>
    <row r="145" spans="43:59" x14ac:dyDescent="0.25">
      <c r="AQ145" s="7">
        <v>130</v>
      </c>
      <c r="AR145" s="58">
        <f t="shared" ref="AR145:AR208" si="51">AR144+$H$9</f>
        <v>65</v>
      </c>
      <c r="AS145" s="58">
        <f t="shared" ref="AS145:AS208" si="52">AS144+(AU144*$H$9)+(AW144*$H$9^2)*(1/2)</f>
        <v>30159.668235802779</v>
      </c>
      <c r="AT145" s="58">
        <f t="shared" ref="AT145:AT208" si="53">AT144+(AV144*$H$9)+(AX144*$H$9^2)*(1/2)</f>
        <v>-19087.712582788925</v>
      </c>
      <c r="AU145" s="58">
        <f t="shared" ref="AU145:AU208" si="54">AU144+AW144*$H$9</f>
        <v>-4426.1412547951186</v>
      </c>
      <c r="AV145" s="58">
        <f t="shared" ref="AV145:AV208" si="55">AV144+AX144*$H$9</f>
        <v>145.93167334796837</v>
      </c>
      <c r="AW145" s="58">
        <f t="shared" si="41"/>
        <v>-608.90757528624226</v>
      </c>
      <c r="AX145" s="58">
        <f t="shared" ref="AX145:AX208" si="56">(AZ145+BB145+BD145)</f>
        <v>576.25553162367794</v>
      </c>
      <c r="AY145" s="33">
        <f t="shared" si="42"/>
        <v>-193.74314894907931</v>
      </c>
      <c r="AZ145" s="33">
        <f t="shared" si="43"/>
        <v>507.02316646421048</v>
      </c>
      <c r="BA145" s="39">
        <f t="shared" si="44"/>
        <v>-45.217665646182681</v>
      </c>
      <c r="BB145" s="39">
        <f t="shared" si="45"/>
        <v>26.221833362167178</v>
      </c>
      <c r="BC145" s="45">
        <f t="shared" si="46"/>
        <v>-369.94676069098034</v>
      </c>
      <c r="BD145" s="45">
        <f t="shared" si="47"/>
        <v>43.010531797300267</v>
      </c>
      <c r="BE145" s="64">
        <f t="shared" si="48"/>
        <v>810125319.04657245</v>
      </c>
      <c r="BF145" s="65">
        <f t="shared" si="49"/>
        <v>3362087340.8247395</v>
      </c>
      <c r="BG145" s="66">
        <f t="shared" si="50"/>
        <v>1252911664.6112094</v>
      </c>
    </row>
    <row r="146" spans="43:59" x14ac:dyDescent="0.25">
      <c r="AQ146" s="7">
        <v>131</v>
      </c>
      <c r="AR146" s="58">
        <f t="shared" si="51"/>
        <v>65.5</v>
      </c>
      <c r="AS146" s="58">
        <f t="shared" si="52"/>
        <v>27870.484161494438</v>
      </c>
      <c r="AT146" s="58">
        <f t="shared" si="53"/>
        <v>-18942.71480466198</v>
      </c>
      <c r="AU146" s="58">
        <f t="shared" si="54"/>
        <v>-4730.5950424382399</v>
      </c>
      <c r="AV146" s="58">
        <f t="shared" si="55"/>
        <v>434.05943915980731</v>
      </c>
      <c r="AW146" s="58">
        <f t="shared" si="41"/>
        <v>-627.15394813065996</v>
      </c>
      <c r="AX146" s="58">
        <f t="shared" si="56"/>
        <v>626.790321800127</v>
      </c>
      <c r="AY146" s="33">
        <f t="shared" si="42"/>
        <v>-163.06960591914083</v>
      </c>
      <c r="AZ146" s="33">
        <f t="shared" si="43"/>
        <v>547.87011753667036</v>
      </c>
      <c r="BA146" s="39">
        <f t="shared" si="44"/>
        <v>-47.981697727289486</v>
      </c>
      <c r="BB146" s="39">
        <f t="shared" si="45"/>
        <v>29.009955037836903</v>
      </c>
      <c r="BC146" s="45">
        <f t="shared" si="46"/>
        <v>-416.10264448422959</v>
      </c>
      <c r="BD146" s="45">
        <f t="shared" si="47"/>
        <v>49.910249225619708</v>
      </c>
      <c r="BE146" s="64">
        <f t="shared" si="48"/>
        <v>761161687.17702472</v>
      </c>
      <c r="BF146" s="65">
        <f t="shared" si="49"/>
        <v>3129263994.1198897</v>
      </c>
      <c r="BG146" s="66">
        <f t="shared" si="50"/>
        <v>1096013729.0419574</v>
      </c>
    </row>
    <row r="147" spans="43:59" x14ac:dyDescent="0.25">
      <c r="AQ147" s="7">
        <v>132</v>
      </c>
      <c r="AR147" s="58">
        <f t="shared" si="51"/>
        <v>66</v>
      </c>
      <c r="AS147" s="58">
        <f t="shared" si="52"/>
        <v>25426.792396758985</v>
      </c>
      <c r="AT147" s="58">
        <f t="shared" si="53"/>
        <v>-18647.336294857061</v>
      </c>
      <c r="AU147" s="58">
        <f t="shared" si="54"/>
        <v>-5044.1720165035695</v>
      </c>
      <c r="AV147" s="58">
        <f t="shared" si="55"/>
        <v>747.45460005987081</v>
      </c>
      <c r="AW147" s="58">
        <f t="shared" si="41"/>
        <v>-649.53495922259708</v>
      </c>
      <c r="AX147" s="58">
        <f t="shared" si="56"/>
        <v>679.85146411561027</v>
      </c>
      <c r="AY147" s="33">
        <f t="shared" si="42"/>
        <v>-122.54602619668078</v>
      </c>
      <c r="AZ147" s="33">
        <f t="shared" si="43"/>
        <v>590.45047687408032</v>
      </c>
      <c r="BA147" s="39">
        <f t="shared" si="44"/>
        <v>-51.354467689413788</v>
      </c>
      <c r="BB147" s="39">
        <f t="shared" si="45"/>
        <v>32.385485052362391</v>
      </c>
      <c r="BC147" s="45">
        <f t="shared" si="46"/>
        <v>-475.6344653365025</v>
      </c>
      <c r="BD147" s="45">
        <f t="shared" si="47"/>
        <v>57.015502189167542</v>
      </c>
      <c r="BE147" s="64">
        <f t="shared" si="48"/>
        <v>713133271.03387046</v>
      </c>
      <c r="BF147" s="65">
        <f t="shared" si="49"/>
        <v>2884263344.2488751</v>
      </c>
      <c r="BG147" s="66">
        <f t="shared" si="50"/>
        <v>939092757.60325193</v>
      </c>
    </row>
    <row r="148" spans="43:59" x14ac:dyDescent="0.25">
      <c r="AQ148" s="7">
        <v>133</v>
      </c>
      <c r="AR148" s="58">
        <f t="shared" si="51"/>
        <v>66.5</v>
      </c>
      <c r="AS148" s="58">
        <f t="shared" si="52"/>
        <v>22823.514518604374</v>
      </c>
      <c r="AT148" s="58">
        <f t="shared" si="53"/>
        <v>-18188.627561812675</v>
      </c>
      <c r="AU148" s="58">
        <f t="shared" si="54"/>
        <v>-5368.9394961148682</v>
      </c>
      <c r="AV148" s="58">
        <f t="shared" si="55"/>
        <v>1087.3803321176761</v>
      </c>
      <c r="AW148" s="58">
        <f t="shared" si="41"/>
        <v>-678.97863271303856</v>
      </c>
      <c r="AX148" s="58">
        <f t="shared" si="56"/>
        <v>732.15194961350403</v>
      </c>
      <c r="AY148" s="33">
        <f t="shared" si="42"/>
        <v>-69.478504596892137</v>
      </c>
      <c r="AZ148" s="33">
        <f t="shared" si="43"/>
        <v>632.12263169925507</v>
      </c>
      <c r="BA148" s="39">
        <f t="shared" si="44"/>
        <v>-55.512716446645683</v>
      </c>
      <c r="BB148" s="39">
        <f t="shared" si="45"/>
        <v>36.54130928882963</v>
      </c>
      <c r="BC148" s="45">
        <f t="shared" si="46"/>
        <v>-553.98741166950072</v>
      </c>
      <c r="BD148" s="45">
        <f t="shared" si="47"/>
        <v>63.488008625419333</v>
      </c>
      <c r="BE148" s="64">
        <f t="shared" si="48"/>
        <v>667877820.24629152</v>
      </c>
      <c r="BF148" s="65">
        <f t="shared" si="49"/>
        <v>2628452119.543705</v>
      </c>
      <c r="BG148" s="66">
        <f t="shared" si="50"/>
        <v>784315305.89493978</v>
      </c>
    </row>
    <row r="149" spans="43:59" x14ac:dyDescent="0.25">
      <c r="AQ149" s="7">
        <v>134</v>
      </c>
      <c r="AR149" s="58">
        <f t="shared" si="51"/>
        <v>67</v>
      </c>
      <c r="AS149" s="58">
        <f t="shared" si="52"/>
        <v>20054.172441457813</v>
      </c>
      <c r="AT149" s="58">
        <f t="shared" si="53"/>
        <v>-17553.41840205215</v>
      </c>
      <c r="AU149" s="58">
        <f t="shared" si="54"/>
        <v>-5708.4288124713876</v>
      </c>
      <c r="AV149" s="58">
        <f t="shared" si="55"/>
        <v>1453.4563069244282</v>
      </c>
      <c r="AW149" s="58">
        <f t="shared" si="41"/>
        <v>-721.52103761047647</v>
      </c>
      <c r="AX149" s="58">
        <f t="shared" si="56"/>
        <v>777.23934966440083</v>
      </c>
      <c r="AY149" s="33">
        <f t="shared" si="42"/>
        <v>-1.4450049009980219</v>
      </c>
      <c r="AZ149" s="33">
        <f t="shared" si="43"/>
        <v>668.27913609749521</v>
      </c>
      <c r="BA149" s="39">
        <f t="shared" si="44"/>
        <v>-60.706063382375206</v>
      </c>
      <c r="BB149" s="39">
        <f t="shared" si="45"/>
        <v>41.75993315954284</v>
      </c>
      <c r="BC149" s="45">
        <f t="shared" si="46"/>
        <v>-659.36996932710326</v>
      </c>
      <c r="BD149" s="45">
        <f t="shared" si="47"/>
        <v>67.200280407362825</v>
      </c>
      <c r="BE149" s="64">
        <f t="shared" si="48"/>
        <v>627676708.28169882</v>
      </c>
      <c r="BF149" s="65">
        <f t="shared" si="49"/>
        <v>2363527595.6085844</v>
      </c>
      <c r="BG149" s="66">
        <f t="shared" si="50"/>
        <v>634231502.26224267</v>
      </c>
    </row>
    <row r="150" spans="43:59" x14ac:dyDescent="0.25">
      <c r="AQ150" s="7">
        <v>135</v>
      </c>
      <c r="AR150" s="58">
        <f t="shared" si="51"/>
        <v>67.5</v>
      </c>
      <c r="AS150" s="58">
        <f t="shared" si="52"/>
        <v>17109.76790552081</v>
      </c>
      <c r="AT150" s="58">
        <f t="shared" si="53"/>
        <v>-16729.535329881888</v>
      </c>
      <c r="AU150" s="58">
        <f t="shared" si="54"/>
        <v>-6069.189331276626</v>
      </c>
      <c r="AV150" s="58">
        <f t="shared" si="55"/>
        <v>1842.0759817566286</v>
      </c>
      <c r="AW150" s="58">
        <f t="shared" si="41"/>
        <v>-788.82605214196303</v>
      </c>
      <c r="AX150" s="58">
        <f t="shared" si="56"/>
        <v>803.14982782096786</v>
      </c>
      <c r="AY150" s="33">
        <f t="shared" si="42"/>
        <v>82.519577290688417</v>
      </c>
      <c r="AZ150" s="33">
        <f t="shared" si="43"/>
        <v>691.78216420433921</v>
      </c>
      <c r="BA150" s="39">
        <f t="shared" si="44"/>
        <v>-67.294071661825996</v>
      </c>
      <c r="BB150" s="39">
        <f t="shared" si="45"/>
        <v>48.470776496254601</v>
      </c>
      <c r="BC150" s="45">
        <f t="shared" si="46"/>
        <v>-804.05155777082541</v>
      </c>
      <c r="BD150" s="45">
        <f t="shared" si="47"/>
        <v>62.896887120374011</v>
      </c>
      <c r="BE150" s="64">
        <f t="shared" si="48"/>
        <v>595423823.86195219</v>
      </c>
      <c r="BF150" s="65">
        <f t="shared" si="49"/>
        <v>2091602932.9530268</v>
      </c>
      <c r="BG150" s="66">
        <f t="shared" si="50"/>
        <v>491833129.29330772</v>
      </c>
    </row>
    <row r="151" spans="43:59" x14ac:dyDescent="0.25">
      <c r="AQ151" s="7">
        <v>136</v>
      </c>
      <c r="AR151" s="58">
        <f t="shared" si="51"/>
        <v>68</v>
      </c>
      <c r="AS151" s="58">
        <f t="shared" si="52"/>
        <v>13976.569983364752</v>
      </c>
      <c r="AT151" s="58">
        <f t="shared" si="53"/>
        <v>-15708.103610525954</v>
      </c>
      <c r="AU151" s="58">
        <f t="shared" si="54"/>
        <v>-6463.6023573476077</v>
      </c>
      <c r="AV151" s="58">
        <f t="shared" si="55"/>
        <v>2243.6508956671123</v>
      </c>
      <c r="AW151" s="58">
        <f t="shared" si="41"/>
        <v>-901.03414959874908</v>
      </c>
      <c r="AX151" s="58">
        <f t="shared" si="56"/>
        <v>787.93871104057837</v>
      </c>
      <c r="AY151" s="33">
        <f t="shared" si="42"/>
        <v>179.88108128888459</v>
      </c>
      <c r="AZ151" s="33">
        <f t="shared" si="43"/>
        <v>693.0766623993926</v>
      </c>
      <c r="BA151" s="39">
        <f t="shared" si="44"/>
        <v>-75.80427874681881</v>
      </c>
      <c r="BB151" s="39">
        <f t="shared" si="45"/>
        <v>57.356709435312382</v>
      </c>
      <c r="BC151" s="45">
        <f t="shared" si="46"/>
        <v>-1005.1109521408149</v>
      </c>
      <c r="BD151" s="45">
        <f t="shared" si="47"/>
        <v>37.505339205873383</v>
      </c>
      <c r="BE151" s="64">
        <f t="shared" si="48"/>
        <v>574897782.36221039</v>
      </c>
      <c r="BF151" s="65">
        <f t="shared" si="49"/>
        <v>1815313899.0840204</v>
      </c>
      <c r="BG151" s="66">
        <f t="shared" si="50"/>
        <v>360611619.05678004</v>
      </c>
    </row>
    <row r="152" spans="43:59" x14ac:dyDescent="0.25">
      <c r="AQ152" s="7">
        <v>137</v>
      </c>
      <c r="AR152" s="58">
        <f t="shared" si="51"/>
        <v>68.5</v>
      </c>
      <c r="AS152" s="58">
        <f t="shared" si="52"/>
        <v>10632.139535991104</v>
      </c>
      <c r="AT152" s="58">
        <f t="shared" si="53"/>
        <v>-14487.785823812324</v>
      </c>
      <c r="AU152" s="58">
        <f t="shared" si="54"/>
        <v>-6914.119432146982</v>
      </c>
      <c r="AV152" s="58">
        <f t="shared" si="55"/>
        <v>2637.6202511874017</v>
      </c>
      <c r="AW152" s="58">
        <f t="shared" si="41"/>
        <v>-1084.3240678390175</v>
      </c>
      <c r="AX152" s="58">
        <f t="shared" si="56"/>
        <v>689.68196193266544</v>
      </c>
      <c r="AY152" s="33">
        <f t="shared" si="42"/>
        <v>282.06042374721233</v>
      </c>
      <c r="AZ152" s="33">
        <f t="shared" si="43"/>
        <v>662.03848899702837</v>
      </c>
      <c r="BA152" s="39">
        <f t="shared" si="44"/>
        <v>-87.018791322842063</v>
      </c>
      <c r="BB152" s="39">
        <f t="shared" si="45"/>
        <v>69.564110011221558</v>
      </c>
      <c r="BC152" s="45">
        <f t="shared" si="46"/>
        <v>-1279.3657002633879</v>
      </c>
      <c r="BD152" s="45">
        <f t="shared" si="47"/>
        <v>-41.920637075584558</v>
      </c>
      <c r="BE152" s="64">
        <f t="shared" si="48"/>
        <v>571219535.10698307</v>
      </c>
      <c r="BF152" s="65">
        <f t="shared" si="49"/>
        <v>1537979627.1053331</v>
      </c>
      <c r="BG152" s="66">
        <f t="shared" si="50"/>
        <v>244626149.83498377</v>
      </c>
    </row>
    <row r="153" spans="43:59" x14ac:dyDescent="0.25">
      <c r="AQ153" s="7">
        <v>138</v>
      </c>
      <c r="AR153" s="58">
        <f t="shared" si="51"/>
        <v>69</v>
      </c>
      <c r="AS153" s="58">
        <f t="shared" si="52"/>
        <v>7039.5393114377366</v>
      </c>
      <c r="AT153" s="58">
        <f t="shared" si="53"/>
        <v>-13082.765452977039</v>
      </c>
      <c r="AU153" s="58">
        <f t="shared" si="54"/>
        <v>-7456.2814660664908</v>
      </c>
      <c r="AV153" s="58">
        <f t="shared" si="55"/>
        <v>2982.4612321537343</v>
      </c>
      <c r="AW153" s="58">
        <f t="shared" si="41"/>
        <v>-1336.991382138131</v>
      </c>
      <c r="AX153" s="58">
        <f t="shared" si="56"/>
        <v>423.58370956704681</v>
      </c>
      <c r="AY153" s="33">
        <f t="shared" si="42"/>
        <v>373.0904997537819</v>
      </c>
      <c r="AZ153" s="33">
        <f t="shared" si="43"/>
        <v>592.51244486571989</v>
      </c>
      <c r="BA153" s="39">
        <f t="shared" si="44"/>
        <v>-102.07499759638871</v>
      </c>
      <c r="BB153" s="39">
        <f t="shared" si="45"/>
        <v>87.138068477889092</v>
      </c>
      <c r="BC153" s="45">
        <f t="shared" si="46"/>
        <v>-1608.0068842955243</v>
      </c>
      <c r="BD153" s="45">
        <f t="shared" si="47"/>
        <v>-256.06680377656215</v>
      </c>
      <c r="BE153" s="64">
        <f t="shared" si="48"/>
        <v>591623774.9520328</v>
      </c>
      <c r="BF153" s="65">
        <f t="shared" si="49"/>
        <v>1263950747.131937</v>
      </c>
      <c r="BG153" s="66">
        <f t="shared" si="50"/>
        <v>148626295.13995299</v>
      </c>
    </row>
    <row r="154" spans="43:59" x14ac:dyDescent="0.25">
      <c r="AQ154" s="7">
        <v>139</v>
      </c>
      <c r="AR154" s="58">
        <f t="shared" si="51"/>
        <v>69.5</v>
      </c>
      <c r="AS154" s="58">
        <f t="shared" si="52"/>
        <v>3144.2746556372249</v>
      </c>
      <c r="AT154" s="58">
        <f t="shared" si="53"/>
        <v>-11538.586873204291</v>
      </c>
      <c r="AU154" s="58">
        <f t="shared" si="54"/>
        <v>-8124.7771571355561</v>
      </c>
      <c r="AV154" s="58">
        <f t="shared" si="55"/>
        <v>3194.2530869372576</v>
      </c>
      <c r="AW154" s="58">
        <f t="shared" si="41"/>
        <v>-1480.7325585035142</v>
      </c>
      <c r="AX154" s="58">
        <f t="shared" si="56"/>
        <v>-158.58398045429794</v>
      </c>
      <c r="AY154" s="33">
        <f t="shared" si="42"/>
        <v>432.64201279199369</v>
      </c>
      <c r="AZ154" s="33">
        <f t="shared" si="43"/>
        <v>488.6703109630983</v>
      </c>
      <c r="BA154" s="39">
        <f t="shared" si="44"/>
        <v>-122.41688069764611</v>
      </c>
      <c r="BB154" s="39">
        <f t="shared" si="45"/>
        <v>113.92392541499333</v>
      </c>
      <c r="BC154" s="45">
        <f t="shared" si="46"/>
        <v>-1790.9576905978618</v>
      </c>
      <c r="BD154" s="45">
        <f t="shared" si="47"/>
        <v>-761.17821683238958</v>
      </c>
      <c r="BE154" s="64">
        <f t="shared" si="48"/>
        <v>646583267.0131402</v>
      </c>
      <c r="BF154" s="65">
        <f t="shared" si="49"/>
        <v>999568173.83013988</v>
      </c>
      <c r="BG154" s="66">
        <f t="shared" si="50"/>
        <v>78310590.500808477</v>
      </c>
    </row>
    <row r="155" spans="43:59" x14ac:dyDescent="0.25">
      <c r="AQ155" s="7">
        <v>140</v>
      </c>
      <c r="AR155" s="58">
        <f t="shared" si="51"/>
        <v>70</v>
      </c>
      <c r="AS155" s="58">
        <f t="shared" si="52"/>
        <v>-1103.2054927434924</v>
      </c>
      <c r="AT155" s="58">
        <f t="shared" si="53"/>
        <v>-9961.283327292449</v>
      </c>
      <c r="AU155" s="58">
        <f t="shared" si="54"/>
        <v>-8865.1434363873122</v>
      </c>
      <c r="AV155" s="58">
        <f t="shared" si="55"/>
        <v>3114.9610967101089</v>
      </c>
      <c r="AW155" s="58">
        <f t="shared" si="41"/>
        <v>-927.21924295517385</v>
      </c>
      <c r="AX155" s="58">
        <f t="shared" si="56"/>
        <v>-1057.0648255310352</v>
      </c>
      <c r="AY155" s="33">
        <f t="shared" si="42"/>
        <v>445.6905753534781</v>
      </c>
      <c r="AZ155" s="33">
        <f t="shared" si="43"/>
        <v>368.77475392196135</v>
      </c>
      <c r="BA155" s="39">
        <f t="shared" si="44"/>
        <v>-148.71612642786866</v>
      </c>
      <c r="BB155" s="39">
        <f t="shared" si="45"/>
        <v>157.09356070015895</v>
      </c>
      <c r="BC155" s="45">
        <f t="shared" si="46"/>
        <v>-1224.1936918807833</v>
      </c>
      <c r="BD155" s="45">
        <f t="shared" si="47"/>
        <v>-1582.9331401531556</v>
      </c>
      <c r="BE155" s="64">
        <f t="shared" si="48"/>
        <v>750241697.50494027</v>
      </c>
      <c r="BF155" s="65">
        <f t="shared" si="49"/>
        <v>755541674.72192311</v>
      </c>
      <c r="BG155" s="66">
        <f t="shared" si="50"/>
        <v>40573673.139605537</v>
      </c>
    </row>
    <row r="156" spans="43:59" x14ac:dyDescent="0.25">
      <c r="AQ156" s="7">
        <v>141</v>
      </c>
      <c r="AR156" s="58">
        <f t="shared" si="51"/>
        <v>70.5</v>
      </c>
      <c r="AS156" s="58">
        <f t="shared" si="52"/>
        <v>-5651.6796163065455</v>
      </c>
      <c r="AT156" s="58">
        <f t="shared" si="53"/>
        <v>-8535.9358821287751</v>
      </c>
      <c r="AU156" s="58">
        <f t="shared" si="54"/>
        <v>-9328.7530578648984</v>
      </c>
      <c r="AV156" s="58">
        <f t="shared" si="55"/>
        <v>2586.4286839445913</v>
      </c>
      <c r="AW156" s="58">
        <f t="shared" si="41"/>
        <v>440.44628771858652</v>
      </c>
      <c r="AX156" s="58">
        <f t="shared" si="56"/>
        <v>-1508.8126141298108</v>
      </c>
      <c r="AY156" s="33">
        <f t="shared" si="42"/>
        <v>415.25296642473836</v>
      </c>
      <c r="AZ156" s="33">
        <f t="shared" si="43"/>
        <v>259.59196606439093</v>
      </c>
      <c r="BA156" s="39">
        <f t="shared" si="44"/>
        <v>-176.01363908588647</v>
      </c>
      <c r="BB156" s="39">
        <f t="shared" si="45"/>
        <v>227.38393353580207</v>
      </c>
      <c r="BC156" s="45">
        <f t="shared" si="46"/>
        <v>201.2069603797346</v>
      </c>
      <c r="BD156" s="45">
        <f t="shared" si="47"/>
        <v>-1995.7885137300038</v>
      </c>
      <c r="BE156" s="64">
        <f t="shared" si="48"/>
        <v>915159906.75338185</v>
      </c>
      <c r="BF156" s="65">
        <f t="shared" si="49"/>
        <v>549455216.8595022</v>
      </c>
      <c r="BG156" s="66">
        <f t="shared" si="50"/>
        <v>42208811.242259748</v>
      </c>
    </row>
    <row r="157" spans="43:59" x14ac:dyDescent="0.25">
      <c r="AQ157" s="7">
        <v>142</v>
      </c>
      <c r="AR157" s="58">
        <f t="shared" si="51"/>
        <v>71</v>
      </c>
      <c r="AS157" s="58">
        <f t="shared" si="52"/>
        <v>-10261.000359274172</v>
      </c>
      <c r="AT157" s="58">
        <f t="shared" si="53"/>
        <v>-7431.3231169227056</v>
      </c>
      <c r="AU157" s="58">
        <f t="shared" si="54"/>
        <v>-9108.529914005605</v>
      </c>
      <c r="AV157" s="58">
        <f t="shared" si="55"/>
        <v>1832.0223768796859</v>
      </c>
      <c r="AW157" s="58">
        <f t="shared" si="41"/>
        <v>1273.8756984395804</v>
      </c>
      <c r="AX157" s="58">
        <f t="shared" si="56"/>
        <v>-1065.5890459703874</v>
      </c>
      <c r="AY157" s="33">
        <f t="shared" si="42"/>
        <v>363.45205729309191</v>
      </c>
      <c r="AZ157" s="33">
        <f t="shared" si="43"/>
        <v>179.33379731414882</v>
      </c>
      <c r="BA157" s="39">
        <f t="shared" si="44"/>
        <v>-184.64081248720802</v>
      </c>
      <c r="BB157" s="39">
        <f t="shared" si="45"/>
        <v>330.47887686294132</v>
      </c>
      <c r="BC157" s="45">
        <f t="shared" si="46"/>
        <v>1095.0644536336965</v>
      </c>
      <c r="BD157" s="45">
        <f t="shared" si="47"/>
        <v>-1575.4017201474774</v>
      </c>
      <c r="BE157" s="64">
        <f t="shared" si="48"/>
        <v>1138672552.7659419</v>
      </c>
      <c r="BF157" s="65">
        <f t="shared" si="49"/>
        <v>398699139.60862178</v>
      </c>
      <c r="BG157" s="66">
        <f t="shared" si="50"/>
        <v>84962994.540711597</v>
      </c>
    </row>
    <row r="158" spans="43:59" x14ac:dyDescent="0.25">
      <c r="AQ158" s="7">
        <v>143</v>
      </c>
      <c r="AR158" s="58">
        <f t="shared" si="51"/>
        <v>71.5</v>
      </c>
      <c r="AS158" s="58">
        <f t="shared" si="52"/>
        <v>-14656.030853972028</v>
      </c>
      <c r="AT158" s="58">
        <f t="shared" si="53"/>
        <v>-6648.5105592291611</v>
      </c>
      <c r="AU158" s="58">
        <f t="shared" si="54"/>
        <v>-8471.5920647858147</v>
      </c>
      <c r="AV158" s="58">
        <f t="shared" si="55"/>
        <v>1299.2278538944922</v>
      </c>
      <c r="AW158" s="58">
        <f t="shared" si="41"/>
        <v>1353.8066355519641</v>
      </c>
      <c r="AX158" s="58">
        <f t="shared" si="56"/>
        <v>-450.43797131123983</v>
      </c>
      <c r="AY158" s="33">
        <f t="shared" si="42"/>
        <v>311.96837671825267</v>
      </c>
      <c r="AZ158" s="33">
        <f t="shared" si="43"/>
        <v>127.36276380703565</v>
      </c>
      <c r="BA158" s="39">
        <f t="shared" si="44"/>
        <v>-143.65082837477647</v>
      </c>
      <c r="BB158" s="39">
        <f t="shared" si="45"/>
        <v>447.52734675069615</v>
      </c>
      <c r="BC158" s="45">
        <f t="shared" si="46"/>
        <v>1185.4890872084879</v>
      </c>
      <c r="BD158" s="45">
        <f t="shared" si="47"/>
        <v>-1025.3280818689716</v>
      </c>
      <c r="BE158" s="64">
        <f t="shared" si="48"/>
        <v>1401220825.5960803</v>
      </c>
      <c r="BF158" s="65">
        <f t="shared" si="49"/>
        <v>305730910.07446378</v>
      </c>
      <c r="BG158" s="66">
        <f t="shared" si="50"/>
        <v>162986307.73216659</v>
      </c>
    </row>
    <row r="159" spans="43:59" x14ac:dyDescent="0.25">
      <c r="AQ159" s="7">
        <v>144</v>
      </c>
      <c r="AR159" s="58">
        <f t="shared" si="51"/>
        <v>72</v>
      </c>
      <c r="AS159" s="58">
        <f t="shared" si="52"/>
        <v>-18722.601056920939</v>
      </c>
      <c r="AT159" s="58">
        <f t="shared" si="53"/>
        <v>-6055.2013786958205</v>
      </c>
      <c r="AU159" s="58">
        <f t="shared" si="54"/>
        <v>-7794.6887470098327</v>
      </c>
      <c r="AV159" s="58">
        <f t="shared" si="55"/>
        <v>1074.0088682388723</v>
      </c>
      <c r="AW159" s="58">
        <f t="shared" si="41"/>
        <v>1243.3786426762817</v>
      </c>
      <c r="AX159" s="58">
        <f t="shared" si="56"/>
        <v>-35.919554409441389</v>
      </c>
      <c r="AY159" s="33">
        <f t="shared" si="42"/>
        <v>269.25833480847439</v>
      </c>
      <c r="AZ159" s="33">
        <f t="shared" si="43"/>
        <v>94.256347755565614</v>
      </c>
      <c r="BA159" s="39">
        <f t="shared" si="44"/>
        <v>-42.358943817144734</v>
      </c>
      <c r="BB159" s="39">
        <f t="shared" si="45"/>
        <v>532.39544063958829</v>
      </c>
      <c r="BC159" s="45">
        <f t="shared" si="46"/>
        <v>1016.479251684952</v>
      </c>
      <c r="BD159" s="45">
        <f t="shared" si="47"/>
        <v>-662.57134280459525</v>
      </c>
      <c r="BE159" s="64">
        <f t="shared" si="48"/>
        <v>1683183317.0304515</v>
      </c>
      <c r="BF159" s="65">
        <f t="shared" si="49"/>
        <v>259401239.37025565</v>
      </c>
      <c r="BG159" s="66">
        <f t="shared" si="50"/>
        <v>268319202.14309287</v>
      </c>
    </row>
    <row r="160" spans="43:59" x14ac:dyDescent="0.25">
      <c r="AQ160" s="7">
        <v>145</v>
      </c>
      <c r="AR160" s="58">
        <f t="shared" si="51"/>
        <v>72.5</v>
      </c>
      <c r="AS160" s="58">
        <f t="shared" si="52"/>
        <v>-22464.523100091319</v>
      </c>
      <c r="AT160" s="58">
        <f t="shared" si="53"/>
        <v>-5522.6868888775643</v>
      </c>
      <c r="AU160" s="58">
        <f t="shared" si="54"/>
        <v>-7172.9994256716918</v>
      </c>
      <c r="AV160" s="58">
        <f t="shared" si="55"/>
        <v>1056.0490910341516</v>
      </c>
      <c r="AW160" s="58">
        <f t="shared" si="41"/>
        <v>1153.258640032484</v>
      </c>
      <c r="AX160" s="58">
        <f t="shared" si="56"/>
        <v>168.77999492405019</v>
      </c>
      <c r="AY160" s="33">
        <f t="shared" si="42"/>
        <v>235.60286756529948</v>
      </c>
      <c r="AZ160" s="33">
        <f t="shared" si="43"/>
        <v>72.252839557215822</v>
      </c>
      <c r="BA160" s="39">
        <f t="shared" si="44"/>
        <v>86.90147501756033</v>
      </c>
      <c r="BB160" s="39">
        <f t="shared" si="45"/>
        <v>547.3449962101073</v>
      </c>
      <c r="BC160" s="45">
        <f t="shared" si="46"/>
        <v>830.75429744962423</v>
      </c>
      <c r="BD160" s="45">
        <f t="shared" si="47"/>
        <v>-450.8178408432729</v>
      </c>
      <c r="BE160" s="64">
        <f t="shared" si="48"/>
        <v>1972826095.923933</v>
      </c>
      <c r="BF160" s="65">
        <f t="shared" si="49"/>
        <v>247027682.36101514</v>
      </c>
      <c r="BG160" s="66">
        <f t="shared" si="50"/>
        <v>394829030.91987658</v>
      </c>
    </row>
    <row r="161" spans="43:59" x14ac:dyDescent="0.25">
      <c r="AQ161" s="7">
        <v>146</v>
      </c>
      <c r="AR161" s="58">
        <f t="shared" si="51"/>
        <v>73</v>
      </c>
      <c r="AS161" s="58">
        <f t="shared" si="52"/>
        <v>-25906.865482923102</v>
      </c>
      <c r="AT161" s="58">
        <f t="shared" si="53"/>
        <v>-4973.5648439949819</v>
      </c>
      <c r="AU161" s="58">
        <f t="shared" si="54"/>
        <v>-6596.3701056554501</v>
      </c>
      <c r="AV161" s="58">
        <f t="shared" si="55"/>
        <v>1140.4390884961767</v>
      </c>
      <c r="AW161" s="58">
        <f t="shared" si="41"/>
        <v>1085.3045010258679</v>
      </c>
      <c r="AX161" s="58">
        <f t="shared" si="56"/>
        <v>228.0581052850556</v>
      </c>
      <c r="AY161" s="33">
        <f t="shared" si="42"/>
        <v>209.25332950632088</v>
      </c>
      <c r="AZ161" s="33">
        <f t="shared" si="43"/>
        <v>56.857181316155994</v>
      </c>
      <c r="BA161" s="39">
        <f t="shared" si="44"/>
        <v>196.16206106255109</v>
      </c>
      <c r="BB161" s="39">
        <f t="shared" si="45"/>
        <v>497.25956173260806</v>
      </c>
      <c r="BC161" s="45">
        <f t="shared" si="46"/>
        <v>679.88911045699592</v>
      </c>
      <c r="BD161" s="45">
        <f t="shared" si="47"/>
        <v>-326.05863776370848</v>
      </c>
      <c r="BE161" s="64">
        <f t="shared" si="48"/>
        <v>2263030118.3845439</v>
      </c>
      <c r="BF161" s="65">
        <f t="shared" si="49"/>
        <v>259098703.97067082</v>
      </c>
      <c r="BG161" s="66">
        <f t="shared" si="50"/>
        <v>537626426.25861478</v>
      </c>
    </row>
    <row r="162" spans="43:59" x14ac:dyDescent="0.25">
      <c r="AQ162" s="7">
        <v>147</v>
      </c>
      <c r="AR162" s="58">
        <f t="shared" si="51"/>
        <v>73.5</v>
      </c>
      <c r="AS162" s="58">
        <f t="shared" si="52"/>
        <v>-29069.387473122591</v>
      </c>
      <c r="AT162" s="58">
        <f t="shared" si="53"/>
        <v>-4374.8380365862622</v>
      </c>
      <c r="AU162" s="58">
        <f t="shared" si="54"/>
        <v>-6053.7178551425159</v>
      </c>
      <c r="AV162" s="58">
        <f t="shared" si="55"/>
        <v>1254.4681411387046</v>
      </c>
      <c r="AW162" s="58">
        <f t="shared" si="41"/>
        <v>1015.8913732737664</v>
      </c>
      <c r="AX162" s="58">
        <f t="shared" si="56"/>
        <v>211.77132171239526</v>
      </c>
      <c r="AY162" s="33">
        <f t="shared" si="42"/>
        <v>188.46531444245412</v>
      </c>
      <c r="AZ162" s="33">
        <f t="shared" si="43"/>
        <v>45.608783801189489</v>
      </c>
      <c r="BA162" s="39">
        <f t="shared" si="44"/>
        <v>262.24556841669346</v>
      </c>
      <c r="BB162" s="39">
        <f t="shared" si="45"/>
        <v>415.65514572777965</v>
      </c>
      <c r="BC162" s="45">
        <f t="shared" si="46"/>
        <v>565.18049041461882</v>
      </c>
      <c r="BD162" s="45">
        <f t="shared" si="47"/>
        <v>-249.49260781657387</v>
      </c>
      <c r="BE162" s="64">
        <f t="shared" si="48"/>
        <v>2548816565.3825965</v>
      </c>
      <c r="BF162" s="65">
        <f t="shared" si="49"/>
        <v>288889757.71572012</v>
      </c>
      <c r="BG162" s="66">
        <f t="shared" si="50"/>
        <v>692229480.0800848</v>
      </c>
    </row>
    <row r="163" spans="43:59" x14ac:dyDescent="0.25">
      <c r="AQ163" s="7">
        <v>148</v>
      </c>
      <c r="AR163" s="58">
        <f t="shared" si="51"/>
        <v>74</v>
      </c>
      <c r="AS163" s="58">
        <f t="shared" si="52"/>
        <v>-31969.259979034628</v>
      </c>
      <c r="AT163" s="58">
        <f t="shared" si="53"/>
        <v>-3721.1325508028604</v>
      </c>
      <c r="AU163" s="58">
        <f t="shared" si="54"/>
        <v>-5545.7721685056331</v>
      </c>
      <c r="AV163" s="58">
        <f t="shared" si="55"/>
        <v>1360.3538019949021</v>
      </c>
      <c r="AW163" s="58">
        <f t="shared" si="41"/>
        <v>940.25620263271799</v>
      </c>
      <c r="AX163" s="58">
        <f t="shared" si="56"/>
        <v>168.82877987532154</v>
      </c>
      <c r="AY163" s="33">
        <f t="shared" si="42"/>
        <v>171.85963376732056</v>
      </c>
      <c r="AZ163" s="33">
        <f t="shared" si="43"/>
        <v>37.107700425472984</v>
      </c>
      <c r="BA163" s="39">
        <f t="shared" si="44"/>
        <v>289.58237934793743</v>
      </c>
      <c r="BB163" s="39">
        <f t="shared" si="45"/>
        <v>331.96690675695373</v>
      </c>
      <c r="BC163" s="45">
        <f t="shared" si="46"/>
        <v>478.81418951746002</v>
      </c>
      <c r="BD163" s="45">
        <f t="shared" si="47"/>
        <v>-200.24582730710515</v>
      </c>
      <c r="BE163" s="64">
        <f t="shared" si="48"/>
        <v>2826717798.491178</v>
      </c>
      <c r="BF163" s="65">
        <f t="shared" si="49"/>
        <v>331532662.92242181</v>
      </c>
      <c r="BG163" s="66">
        <f t="shared" si="50"/>
        <v>854553834.75331771</v>
      </c>
    </row>
    <row r="164" spans="43:59" x14ac:dyDescent="0.25">
      <c r="AQ164" s="7">
        <v>149</v>
      </c>
      <c r="AR164" s="58">
        <f t="shared" si="51"/>
        <v>74.5</v>
      </c>
      <c r="AS164" s="58">
        <f t="shared" si="52"/>
        <v>-34624.614037958352</v>
      </c>
      <c r="AT164" s="58">
        <f t="shared" si="53"/>
        <v>-3019.8520523209941</v>
      </c>
      <c r="AU164" s="58">
        <f t="shared" si="54"/>
        <v>-5075.6440671892742</v>
      </c>
      <c r="AV164" s="58">
        <f t="shared" si="55"/>
        <v>1444.768191932563</v>
      </c>
      <c r="AW164" s="58">
        <f t="shared" si="41"/>
        <v>863.72474620514015</v>
      </c>
      <c r="AX164" s="58">
        <f t="shared" si="56"/>
        <v>123.47129059254934</v>
      </c>
      <c r="AY164" s="33">
        <f t="shared" si="42"/>
        <v>158.40885468699724</v>
      </c>
      <c r="AZ164" s="33">
        <f t="shared" si="43"/>
        <v>30.507084478927897</v>
      </c>
      <c r="BA164" s="39">
        <f t="shared" si="44"/>
        <v>292.11565351457745</v>
      </c>
      <c r="BB164" s="39">
        <f t="shared" si="45"/>
        <v>260.06174118888504</v>
      </c>
      <c r="BC164" s="45">
        <f t="shared" si="46"/>
        <v>413.20023800356546</v>
      </c>
      <c r="BD164" s="45">
        <f t="shared" si="47"/>
        <v>-167.09753507526358</v>
      </c>
      <c r="BE164" s="64">
        <f t="shared" si="48"/>
        <v>3094515745.9986386</v>
      </c>
      <c r="BF164" s="65">
        <f t="shared" si="49"/>
        <v>383395883.22357571</v>
      </c>
      <c r="BG164" s="66">
        <f t="shared" si="50"/>
        <v>1021141701.7462766</v>
      </c>
    </row>
    <row r="165" spans="43:59" x14ac:dyDescent="0.25">
      <c r="AQ165" s="7">
        <v>150</v>
      </c>
      <c r="AR165" s="58">
        <f t="shared" si="51"/>
        <v>75</v>
      </c>
      <c r="AS165" s="58">
        <f t="shared" si="52"/>
        <v>-37054.470478277348</v>
      </c>
      <c r="AT165" s="58">
        <f t="shared" si="53"/>
        <v>-2282.0340450306439</v>
      </c>
      <c r="AU165" s="58">
        <f t="shared" si="54"/>
        <v>-4643.7816940867042</v>
      </c>
      <c r="AV165" s="58">
        <f t="shared" si="55"/>
        <v>1506.5038372288377</v>
      </c>
      <c r="AW165" s="58">
        <f t="shared" si="41"/>
        <v>791.70577992808717</v>
      </c>
      <c r="AX165" s="58">
        <f t="shared" si="56"/>
        <v>84.337474188613669</v>
      </c>
      <c r="AY165" s="33">
        <f t="shared" si="42"/>
        <v>147.3633854251984</v>
      </c>
      <c r="AZ165" s="33">
        <f t="shared" si="43"/>
        <v>25.265568870174661</v>
      </c>
      <c r="BA165" s="39">
        <f t="shared" si="44"/>
        <v>281.77501573129359</v>
      </c>
      <c r="BB165" s="39">
        <f t="shared" si="45"/>
        <v>202.92452589828881</v>
      </c>
      <c r="BC165" s="45">
        <f t="shared" si="46"/>
        <v>362.5673787715952</v>
      </c>
      <c r="BD165" s="45">
        <f t="shared" si="47"/>
        <v>-143.8526205798498</v>
      </c>
      <c r="BE165" s="64">
        <f t="shared" si="48"/>
        <v>3350900791.6147599</v>
      </c>
      <c r="BF165" s="65">
        <f t="shared" si="49"/>
        <v>441703323.57772541</v>
      </c>
      <c r="BG165" s="66">
        <f t="shared" si="50"/>
        <v>1189235735.6745138</v>
      </c>
    </row>
    <row r="166" spans="43:59" x14ac:dyDescent="0.25">
      <c r="AQ166" s="7">
        <v>151</v>
      </c>
      <c r="AR166" s="58">
        <f t="shared" si="51"/>
        <v>75.5</v>
      </c>
      <c r="AS166" s="58">
        <f t="shared" si="52"/>
        <v>-39277.398102829691</v>
      </c>
      <c r="AT166" s="58">
        <f t="shared" si="53"/>
        <v>-1518.2399421426485</v>
      </c>
      <c r="AU166" s="58">
        <f t="shared" si="54"/>
        <v>-4247.9288041226609</v>
      </c>
      <c r="AV166" s="58">
        <f t="shared" si="55"/>
        <v>1548.6725743231445</v>
      </c>
      <c r="AW166" s="58">
        <f t="shared" si="41"/>
        <v>727.01283452434029</v>
      </c>
      <c r="AX166" s="58">
        <f t="shared" si="56"/>
        <v>53.001879389875612</v>
      </c>
      <c r="AY166" s="33">
        <f t="shared" si="42"/>
        <v>138.17887726316113</v>
      </c>
      <c r="AZ166" s="33">
        <f t="shared" si="43"/>
        <v>21.022013616950243</v>
      </c>
      <c r="BA166" s="39">
        <f t="shared" si="44"/>
        <v>266.0200467834585</v>
      </c>
      <c r="BB166" s="39">
        <f t="shared" si="45"/>
        <v>158.94690310006706</v>
      </c>
      <c r="BC166" s="45">
        <f t="shared" si="46"/>
        <v>322.8139104777207</v>
      </c>
      <c r="BD166" s="45">
        <f t="shared" si="47"/>
        <v>-126.96703732714168</v>
      </c>
      <c r="BE166" s="64">
        <f t="shared" si="48"/>
        <v>3595138577.4954143</v>
      </c>
      <c r="BF166" s="65">
        <f t="shared" si="49"/>
        <v>504287928.97975206</v>
      </c>
      <c r="BG166" s="66">
        <f t="shared" si="50"/>
        <v>1356697874.9575105</v>
      </c>
    </row>
    <row r="167" spans="43:59" x14ac:dyDescent="0.25">
      <c r="AQ167" s="7">
        <v>152</v>
      </c>
      <c r="AR167" s="58">
        <f t="shared" si="51"/>
        <v>76</v>
      </c>
      <c r="AS167" s="58">
        <f t="shared" si="52"/>
        <v>-41310.485900575477</v>
      </c>
      <c r="AT167" s="58">
        <f t="shared" si="53"/>
        <v>-737.2784200573418</v>
      </c>
      <c r="AU167" s="58">
        <f t="shared" si="54"/>
        <v>-3884.4223868604909</v>
      </c>
      <c r="AV167" s="58">
        <f t="shared" si="55"/>
        <v>1575.1735140180824</v>
      </c>
      <c r="AW167" s="58">
        <f t="shared" si="41"/>
        <v>670.3919765015039</v>
      </c>
      <c r="AX167" s="58">
        <f t="shared" si="56"/>
        <v>28.581597938292234</v>
      </c>
      <c r="AY167" s="33">
        <f t="shared" si="42"/>
        <v>130.4579318166264</v>
      </c>
      <c r="AZ167" s="33">
        <f t="shared" si="43"/>
        <v>17.527479854279253</v>
      </c>
      <c r="BA167" s="39">
        <f t="shared" si="44"/>
        <v>248.85967500903604</v>
      </c>
      <c r="BB167" s="39">
        <f t="shared" si="45"/>
        <v>125.38783163197834</v>
      </c>
      <c r="BC167" s="45">
        <f t="shared" si="46"/>
        <v>291.07436967584152</v>
      </c>
      <c r="BD167" s="45">
        <f t="shared" si="47"/>
        <v>-114.33371354796536</v>
      </c>
      <c r="BE167" s="64">
        <f t="shared" si="48"/>
        <v>3826828437.1342068</v>
      </c>
      <c r="BF167" s="65">
        <f t="shared" si="49"/>
        <v>569425957.18845534</v>
      </c>
      <c r="BG167" s="66">
        <f t="shared" si="50"/>
        <v>1521876613.2028525</v>
      </c>
    </row>
    <row r="168" spans="43:59" x14ac:dyDescent="0.25">
      <c r="AQ168" s="7">
        <v>153</v>
      </c>
      <c r="AR168" s="58">
        <f t="shared" si="51"/>
        <v>76.5</v>
      </c>
      <c r="AS168" s="58">
        <f t="shared" si="52"/>
        <v>-43168.898096943034</v>
      </c>
      <c r="AT168" s="58">
        <f t="shared" si="53"/>
        <v>53.881036693985934</v>
      </c>
      <c r="AU168" s="58">
        <f t="shared" si="54"/>
        <v>-3549.2263986097387</v>
      </c>
      <c r="AV168" s="58">
        <f t="shared" si="55"/>
        <v>1589.4643129872286</v>
      </c>
      <c r="AW168" s="58">
        <f t="shared" si="41"/>
        <v>621.48212587158423</v>
      </c>
      <c r="AX168" s="58">
        <f t="shared" si="56"/>
        <v>9.6498854478766134</v>
      </c>
      <c r="AY168" s="33">
        <f t="shared" si="42"/>
        <v>123.907208263773</v>
      </c>
      <c r="AZ168" s="33">
        <f t="shared" si="43"/>
        <v>14.605729099900778</v>
      </c>
      <c r="BA168" s="39">
        <f t="shared" si="44"/>
        <v>232.23390879574274</v>
      </c>
      <c r="BB168" s="39">
        <f t="shared" si="45"/>
        <v>99.695120351916131</v>
      </c>
      <c r="BC168" s="45">
        <f t="shared" si="46"/>
        <v>265.34100881206854</v>
      </c>
      <c r="BD168" s="45">
        <f t="shared" si="47"/>
        <v>-104.65096400394029</v>
      </c>
      <c r="BE168" s="64">
        <f t="shared" si="48"/>
        <v>4045754374.3976789</v>
      </c>
      <c r="BF168" s="65">
        <f t="shared" si="49"/>
        <v>635723121.4587661</v>
      </c>
      <c r="BG168" s="66">
        <f t="shared" si="50"/>
        <v>1683484116.2017565</v>
      </c>
    </row>
    <row r="169" spans="43:59" x14ac:dyDescent="0.25">
      <c r="AQ169" s="7">
        <v>154</v>
      </c>
      <c r="AR169" s="58">
        <f t="shared" si="51"/>
        <v>77</v>
      </c>
      <c r="AS169" s="58">
        <f t="shared" si="52"/>
        <v>-44865.826030513956</v>
      </c>
      <c r="AT169" s="58">
        <f t="shared" si="53"/>
        <v>849.81942886858485</v>
      </c>
      <c r="AU169" s="58">
        <f t="shared" si="54"/>
        <v>-3238.4853356739468</v>
      </c>
      <c r="AV169" s="58">
        <f t="shared" si="55"/>
        <v>1594.2892557111668</v>
      </c>
      <c r="AW169" s="58">
        <f t="shared" si="41"/>
        <v>579.47040507144209</v>
      </c>
      <c r="AX169" s="58">
        <f t="shared" si="56"/>
        <v>-5.1137912947387321</v>
      </c>
      <c r="AY169" s="33">
        <f t="shared" si="42"/>
        <v>118.30719030349914</v>
      </c>
      <c r="AZ169" s="33">
        <f t="shared" si="43"/>
        <v>12.129101354715965</v>
      </c>
      <c r="BA169" s="39">
        <f t="shared" si="44"/>
        <v>216.97279025735349</v>
      </c>
      <c r="BB169" s="39">
        <f t="shared" si="45"/>
        <v>79.842117749907402</v>
      </c>
      <c r="BC169" s="45">
        <f t="shared" si="46"/>
        <v>244.19042451058942</v>
      </c>
      <c r="BD169" s="45">
        <f t="shared" si="47"/>
        <v>-97.085010399362105</v>
      </c>
      <c r="BE169" s="64">
        <f t="shared" si="48"/>
        <v>4251800288.2495556</v>
      </c>
      <c r="BF169" s="65">
        <f t="shared" si="49"/>
        <v>702035108.66409624</v>
      </c>
      <c r="BG169" s="66">
        <f t="shared" si="50"/>
        <v>1840500861.0229442</v>
      </c>
    </row>
    <row r="170" spans="43:59" x14ac:dyDescent="0.25">
      <c r="AQ170" s="7">
        <v>155</v>
      </c>
      <c r="AR170" s="58">
        <f t="shared" si="51"/>
        <v>77.5</v>
      </c>
      <c r="AS170" s="58">
        <f t="shared" si="52"/>
        <v>-46412.634897716998</v>
      </c>
      <c r="AT170" s="58">
        <f t="shared" si="53"/>
        <v>1646.3248328123259</v>
      </c>
      <c r="AU170" s="58">
        <f t="shared" si="54"/>
        <v>-2948.7501331382259</v>
      </c>
      <c r="AV170" s="58">
        <f t="shared" si="55"/>
        <v>1591.7323600637974</v>
      </c>
      <c r="AW170" s="58">
        <f t="shared" si="41"/>
        <v>543.4376425263265</v>
      </c>
      <c r="AX170" s="58">
        <f t="shared" si="56"/>
        <v>-16.766400593875701</v>
      </c>
      <c r="AY170" s="33">
        <f t="shared" si="42"/>
        <v>113.49123479410736</v>
      </c>
      <c r="AZ170" s="33">
        <f t="shared" si="43"/>
        <v>10.003229413061115</v>
      </c>
      <c r="BA170" s="39">
        <f t="shared" si="44"/>
        <v>203.34854188183155</v>
      </c>
      <c r="BB170" s="39">
        <f t="shared" si="45"/>
        <v>64.314206862750694</v>
      </c>
      <c r="BC170" s="45">
        <f t="shared" si="46"/>
        <v>226.59786585038762</v>
      </c>
      <c r="BD170" s="45">
        <f t="shared" si="47"/>
        <v>-91.083836869687516</v>
      </c>
      <c r="BE170" s="64">
        <f t="shared" si="48"/>
        <v>4444903587.0204077</v>
      </c>
      <c r="BF170" s="65">
        <f t="shared" si="49"/>
        <v>767411171.03898585</v>
      </c>
      <c r="BG170" s="66">
        <f t="shared" si="50"/>
        <v>1992106459.6111121</v>
      </c>
    </row>
    <row r="171" spans="43:59" x14ac:dyDescent="0.25">
      <c r="AQ171" s="7">
        <v>156</v>
      </c>
      <c r="AR171" s="58">
        <f t="shared" si="51"/>
        <v>78</v>
      </c>
      <c r="AS171" s="58">
        <f t="shared" si="52"/>
        <v>-47819.080258970316</v>
      </c>
      <c r="AT171" s="58">
        <f t="shared" si="53"/>
        <v>2440.0952127699902</v>
      </c>
      <c r="AU171" s="58">
        <f t="shared" si="54"/>
        <v>-2677.0313118750628</v>
      </c>
      <c r="AV171" s="58">
        <f t="shared" si="55"/>
        <v>1583.3491597668594</v>
      </c>
      <c r="AW171" s="58">
        <f t="shared" si="41"/>
        <v>512.51362554948037</v>
      </c>
      <c r="AX171" s="58">
        <f t="shared" si="56"/>
        <v>-26.108892691989119</v>
      </c>
      <c r="AY171" s="33">
        <f t="shared" si="42"/>
        <v>109.33107630798382</v>
      </c>
      <c r="AZ171" s="33">
        <f t="shared" si="43"/>
        <v>8.1570678088133661</v>
      </c>
      <c r="BA171" s="39">
        <f t="shared" si="44"/>
        <v>191.36917378390439</v>
      </c>
      <c r="BB171" s="39">
        <f t="shared" si="45"/>
        <v>52.005052631123156</v>
      </c>
      <c r="BC171" s="45">
        <f t="shared" si="46"/>
        <v>211.8133754575922</v>
      </c>
      <c r="BD171" s="45">
        <f t="shared" si="47"/>
        <v>-86.271013131925642</v>
      </c>
      <c r="BE171" s="64">
        <f t="shared" si="48"/>
        <v>4625030283.6284914</v>
      </c>
      <c r="BF171" s="65">
        <f t="shared" si="49"/>
        <v>831053386.84701526</v>
      </c>
      <c r="BG171" s="66">
        <f t="shared" si="50"/>
        <v>2137630555.2546241</v>
      </c>
    </row>
    <row r="172" spans="43:59" x14ac:dyDescent="0.25">
      <c r="AQ172" s="7">
        <v>157</v>
      </c>
      <c r="AR172" s="58">
        <f t="shared" si="51"/>
        <v>78.5</v>
      </c>
      <c r="AS172" s="58">
        <f t="shared" si="52"/>
        <v>-49093.53171171416</v>
      </c>
      <c r="AT172" s="58">
        <f t="shared" si="53"/>
        <v>3228.5061810669217</v>
      </c>
      <c r="AU172" s="58">
        <f t="shared" si="54"/>
        <v>-2420.7744991003228</v>
      </c>
      <c r="AV172" s="58">
        <f t="shared" si="55"/>
        <v>1570.2947134208648</v>
      </c>
      <c r="AW172" s="58">
        <f t="shared" si="41"/>
        <v>485.93408725078092</v>
      </c>
      <c r="AX172" s="58">
        <f t="shared" si="56"/>
        <v>-33.73597457990742</v>
      </c>
      <c r="AY172" s="33">
        <f t="shared" si="42"/>
        <v>105.72672956170521</v>
      </c>
      <c r="AZ172" s="33">
        <f t="shared" si="43"/>
        <v>6.5362279309029239</v>
      </c>
      <c r="BA172" s="39">
        <f t="shared" si="44"/>
        <v>180.92821225327805</v>
      </c>
      <c r="BB172" s="39">
        <f t="shared" si="45"/>
        <v>42.110881658633105</v>
      </c>
      <c r="BC172" s="45">
        <f t="shared" si="46"/>
        <v>199.27914543579766</v>
      </c>
      <c r="BD172" s="45">
        <f t="shared" si="47"/>
        <v>-82.38308416944345</v>
      </c>
      <c r="BE172" s="64">
        <f t="shared" si="48"/>
        <v>4792161783.8428354</v>
      </c>
      <c r="BF172" s="65">
        <f t="shared" si="49"/>
        <v>892286716.00036645</v>
      </c>
      <c r="BG172" s="66">
        <f t="shared" si="50"/>
        <v>2276517976.4051371</v>
      </c>
    </row>
    <row r="173" spans="43:59" x14ac:dyDescent="0.25">
      <c r="AQ173" s="7">
        <v>158</v>
      </c>
      <c r="AR173" s="58">
        <f t="shared" si="51"/>
        <v>79</v>
      </c>
      <c r="AS173" s="58">
        <f t="shared" si="52"/>
        <v>-50243.177200357975</v>
      </c>
      <c r="AT173" s="58">
        <f t="shared" si="53"/>
        <v>4009.4365409548659</v>
      </c>
      <c r="AU173" s="58">
        <f t="shared" si="54"/>
        <v>-2177.8074554749323</v>
      </c>
      <c r="AV173" s="58">
        <f t="shared" si="55"/>
        <v>1553.426726130911</v>
      </c>
      <c r="AW173" s="58">
        <f t="shared" si="41"/>
        <v>463.05196419923027</v>
      </c>
      <c r="AX173" s="58">
        <f t="shared" si="56"/>
        <v>-40.087329991468877</v>
      </c>
      <c r="AY173" s="33">
        <f t="shared" si="42"/>
        <v>102.59937690336128</v>
      </c>
      <c r="AZ173" s="33">
        <f t="shared" si="43"/>
        <v>5.0984259285163294</v>
      </c>
      <c r="BA173" s="39">
        <f t="shared" si="44"/>
        <v>171.87871293808362</v>
      </c>
      <c r="BB173" s="39">
        <f t="shared" si="45"/>
        <v>34.045706583447334</v>
      </c>
      <c r="BC173" s="45">
        <f t="shared" si="46"/>
        <v>188.57387435778537</v>
      </c>
      <c r="BD173" s="45">
        <f t="shared" si="47"/>
        <v>-79.231462503432539</v>
      </c>
      <c r="BE173" s="64">
        <f t="shared" si="48"/>
        <v>4946287976.462513</v>
      </c>
      <c r="BF173" s="65">
        <f t="shared" si="49"/>
        <v>950536617.72909927</v>
      </c>
      <c r="BG173" s="66">
        <f t="shared" si="50"/>
        <v>2408303760.7875819</v>
      </c>
    </row>
    <row r="174" spans="43:59" x14ac:dyDescent="0.25">
      <c r="AQ174" s="7">
        <v>159</v>
      </c>
      <c r="AR174" s="58">
        <f t="shared" si="51"/>
        <v>79.5</v>
      </c>
      <c r="AS174" s="58">
        <f t="shared" si="52"/>
        <v>-51274.199432570538</v>
      </c>
      <c r="AT174" s="58">
        <f t="shared" si="53"/>
        <v>4781.1389877713882</v>
      </c>
      <c r="AU174" s="58">
        <f t="shared" si="54"/>
        <v>-1946.2814733753171</v>
      </c>
      <c r="AV174" s="58">
        <f t="shared" si="55"/>
        <v>1533.3830611351766</v>
      </c>
      <c r="AW174" s="58">
        <f t="shared" si="41"/>
        <v>443.32959616636651</v>
      </c>
      <c r="AX174" s="58">
        <f t="shared" si="56"/>
        <v>-45.489409711350042</v>
      </c>
      <c r="AY174" s="33">
        <f t="shared" si="42"/>
        <v>99.886293454335103</v>
      </c>
      <c r="AZ174" s="33">
        <f t="shared" si="43"/>
        <v>3.8103121619197555</v>
      </c>
      <c r="BA174" s="39">
        <f t="shared" si="44"/>
        <v>164.06849030375847</v>
      </c>
      <c r="BB174" s="39">
        <f t="shared" si="45"/>
        <v>27.378819055868465</v>
      </c>
      <c r="BC174" s="45">
        <f t="shared" si="46"/>
        <v>179.37481240827293</v>
      </c>
      <c r="BD174" s="45">
        <f t="shared" si="47"/>
        <v>-76.678540929138265</v>
      </c>
      <c r="BE174" s="64">
        <f t="shared" si="48"/>
        <v>5087403709.9576559</v>
      </c>
      <c r="BF174" s="65">
        <f t="shared" si="49"/>
        <v>1005312060.4131552</v>
      </c>
      <c r="BG174" s="66">
        <f t="shared" si="50"/>
        <v>2532594992.778841</v>
      </c>
    </row>
    <row r="175" spans="43:59" x14ac:dyDescent="0.25">
      <c r="AQ175" s="7">
        <v>160</v>
      </c>
      <c r="AR175" s="58">
        <f t="shared" si="51"/>
        <v>80</v>
      </c>
      <c r="AS175" s="58">
        <f t="shared" si="52"/>
        <v>-52191.9239697374</v>
      </c>
      <c r="AT175" s="58">
        <f t="shared" si="53"/>
        <v>5542.1443421250578</v>
      </c>
      <c r="AU175" s="58">
        <f t="shared" si="54"/>
        <v>-1724.6166752921338</v>
      </c>
      <c r="AV175" s="58">
        <f t="shared" si="55"/>
        <v>1510.6383562795015</v>
      </c>
      <c r="AW175" s="58">
        <f t="shared" si="41"/>
        <v>426.32448864086336</v>
      </c>
      <c r="AX175" s="58">
        <f t="shared" si="56"/>
        <v>-50.186854249499994</v>
      </c>
      <c r="AY175" s="33">
        <f t="shared" si="42"/>
        <v>97.53717806946382</v>
      </c>
      <c r="AZ175" s="33">
        <f t="shared" si="43"/>
        <v>2.6452226985459868</v>
      </c>
      <c r="BA175" s="39">
        <f t="shared" si="44"/>
        <v>157.35582126216042</v>
      </c>
      <c r="BB175" s="39">
        <f t="shared" si="45"/>
        <v>21.790233437818415</v>
      </c>
      <c r="BC175" s="45">
        <f t="shared" si="46"/>
        <v>171.43148930923908</v>
      </c>
      <c r="BD175" s="45">
        <f t="shared" si="47"/>
        <v>-74.622310385864395</v>
      </c>
      <c r="BE175" s="64">
        <f t="shared" si="48"/>
        <v>5215507085.2294178</v>
      </c>
      <c r="BF175" s="65">
        <f t="shared" si="49"/>
        <v>1056192445.939801</v>
      </c>
      <c r="BG175" s="66">
        <f t="shared" si="50"/>
        <v>2649057382.138176</v>
      </c>
    </row>
    <row r="176" spans="43:59" x14ac:dyDescent="0.25">
      <c r="AQ176" s="7">
        <v>161</v>
      </c>
      <c r="AR176" s="58">
        <f t="shared" si="51"/>
        <v>80.5</v>
      </c>
      <c r="AS176" s="58">
        <f t="shared" si="52"/>
        <v>-53000.941746303353</v>
      </c>
      <c r="AT176" s="58">
        <f t="shared" si="53"/>
        <v>6291.1901634836213</v>
      </c>
      <c r="AU176" s="58">
        <f t="shared" si="54"/>
        <v>-1511.4544309717021</v>
      </c>
      <c r="AV176" s="58">
        <f t="shared" si="55"/>
        <v>1485.5449291547516</v>
      </c>
      <c r="AW176" s="58">
        <f t="shared" si="41"/>
        <v>411.67422243824751</v>
      </c>
      <c r="AX176" s="58">
        <f t="shared" si="56"/>
        <v>-54.365349663323471</v>
      </c>
      <c r="AY176" s="33">
        <f t="shared" si="42"/>
        <v>95.511467093448815</v>
      </c>
      <c r="AZ176" s="33">
        <f t="shared" si="43"/>
        <v>1.5815576917337208</v>
      </c>
      <c r="BA176" s="39">
        <f t="shared" si="44"/>
        <v>151.61550207361219</v>
      </c>
      <c r="BB176" s="39">
        <f t="shared" si="45"/>
        <v>17.039303598721407</v>
      </c>
      <c r="BC176" s="45">
        <f t="shared" si="46"/>
        <v>164.54725327118652</v>
      </c>
      <c r="BD176" s="45">
        <f t="shared" si="47"/>
        <v>-72.986210953778595</v>
      </c>
      <c r="BE176" s="64">
        <f t="shared" si="48"/>
        <v>5330598717.0680332</v>
      </c>
      <c r="BF176" s="65">
        <f t="shared" si="49"/>
        <v>1102817426.5463481</v>
      </c>
      <c r="BG176" s="66">
        <f t="shared" si="50"/>
        <v>2757405187.1096296</v>
      </c>
    </row>
    <row r="177" spans="43:59" x14ac:dyDescent="0.25">
      <c r="AQ177" s="7">
        <v>162</v>
      </c>
      <c r="AR177" s="58">
        <f t="shared" si="51"/>
        <v>81</v>
      </c>
      <c r="AS177" s="58">
        <f t="shared" si="52"/>
        <v>-53705.209683984423</v>
      </c>
      <c r="AT177" s="58">
        <f t="shared" si="53"/>
        <v>7027.1669593530814</v>
      </c>
      <c r="AU177" s="58">
        <f t="shared" si="54"/>
        <v>-1305.6173197525784</v>
      </c>
      <c r="AV177" s="58">
        <f t="shared" si="55"/>
        <v>1458.3622543230899</v>
      </c>
      <c r="AW177" s="58">
        <f t="shared" si="41"/>
        <v>399.08273769003853</v>
      </c>
      <c r="AX177" s="58">
        <f t="shared" si="56"/>
        <v>-58.16805683254222</v>
      </c>
      <c r="AY177" s="33">
        <f t="shared" si="42"/>
        <v>93.776345230048506</v>
      </c>
      <c r="AZ177" s="33">
        <f t="shared" si="43"/>
        <v>0.60159322042487662</v>
      </c>
      <c r="BA177" s="39">
        <f t="shared" si="44"/>
        <v>146.74028647375778</v>
      </c>
      <c r="BB177" s="39">
        <f t="shared" si="45"/>
        <v>12.94263931639224</v>
      </c>
      <c r="BC177" s="45">
        <f t="shared" si="46"/>
        <v>158.56610598623223</v>
      </c>
      <c r="BD177" s="45">
        <f t="shared" si="47"/>
        <v>-71.71228936935934</v>
      </c>
      <c r="BE177" s="64">
        <f t="shared" si="48"/>
        <v>5432681505.6444397</v>
      </c>
      <c r="BF177" s="65">
        <f t="shared" si="49"/>
        <v>1144878896.1289194</v>
      </c>
      <c r="BG177" s="66">
        <f t="shared" si="50"/>
        <v>2857393534.616106</v>
      </c>
    </row>
    <row r="178" spans="43:59" x14ac:dyDescent="0.25">
      <c r="AQ178" s="7">
        <v>163</v>
      </c>
      <c r="AR178" s="58">
        <f t="shared" si="51"/>
        <v>81.5</v>
      </c>
      <c r="AS178" s="58">
        <f t="shared" si="52"/>
        <v>-54308.133001649461</v>
      </c>
      <c r="AT178" s="58">
        <f t="shared" si="53"/>
        <v>7749.0770794105592</v>
      </c>
      <c r="AU178" s="58">
        <f t="shared" si="54"/>
        <v>-1106.0759509075592</v>
      </c>
      <c r="AV178" s="58">
        <f t="shared" si="55"/>
        <v>1429.2782259068188</v>
      </c>
      <c r="AW178" s="58">
        <f t="shared" si="41"/>
        <v>388.30868666847982</v>
      </c>
      <c r="AX178" s="58">
        <f t="shared" si="56"/>
        <v>-61.707414412293019</v>
      </c>
      <c r="AY178" s="33">
        <f t="shared" si="42"/>
        <v>92.305258493220776</v>
      </c>
      <c r="AZ178" s="33">
        <f t="shared" si="43"/>
        <v>-0.30940252797385992</v>
      </c>
      <c r="BA178" s="39">
        <f t="shared" si="44"/>
        <v>142.640246769002</v>
      </c>
      <c r="BB178" s="39">
        <f t="shared" si="45"/>
        <v>9.3584865383215128</v>
      </c>
      <c r="BC178" s="45">
        <f t="shared" si="46"/>
        <v>153.36318140625707</v>
      </c>
      <c r="BD178" s="45">
        <f t="shared" si="47"/>
        <v>-70.756498422640675</v>
      </c>
      <c r="BE178" s="64">
        <f t="shared" si="48"/>
        <v>5521760669.5823135</v>
      </c>
      <c r="BF178" s="65">
        <f t="shared" si="49"/>
        <v>1182114644.0533037</v>
      </c>
      <c r="BG178" s="66">
        <f t="shared" si="50"/>
        <v>2948812488.0733156</v>
      </c>
    </row>
    <row r="179" spans="43:59" x14ac:dyDescent="0.25">
      <c r="AQ179" s="7">
        <v>164</v>
      </c>
      <c r="AR179" s="58">
        <f t="shared" si="51"/>
        <v>82</v>
      </c>
      <c r="AS179" s="58">
        <f t="shared" si="52"/>
        <v>-54812.632391269683</v>
      </c>
      <c r="AT179" s="58">
        <f t="shared" si="53"/>
        <v>8456.0027655624326</v>
      </c>
      <c r="AU179" s="58">
        <f t="shared" si="54"/>
        <v>-911.92160757331931</v>
      </c>
      <c r="AV179" s="58">
        <f t="shared" si="55"/>
        <v>1398.4245187006723</v>
      </c>
      <c r="AW179" s="58">
        <f t="shared" si="41"/>
        <v>379.15589212148166</v>
      </c>
      <c r="AX179" s="58">
        <f t="shared" si="56"/>
        <v>-65.073672503806335</v>
      </c>
      <c r="AY179" s="33">
        <f t="shared" si="42"/>
        <v>91.07679458257924</v>
      </c>
      <c r="AZ179" s="33">
        <f t="shared" si="43"/>
        <v>-1.1638364366613034</v>
      </c>
      <c r="BA179" s="39">
        <f t="shared" si="44"/>
        <v>139.2413290081746</v>
      </c>
      <c r="BB179" s="39">
        <f t="shared" si="45"/>
        <v>6.1755808779903649</v>
      </c>
      <c r="BC179" s="45">
        <f t="shared" si="46"/>
        <v>148.8377685307278</v>
      </c>
      <c r="BD179" s="45">
        <f t="shared" si="47"/>
        <v>-70.085416945135393</v>
      </c>
      <c r="BE179" s="64">
        <f t="shared" si="48"/>
        <v>5597843906.5990162</v>
      </c>
      <c r="BF179" s="65">
        <f t="shared" si="49"/>
        <v>1214303301.46963</v>
      </c>
      <c r="BG179" s="66">
        <f t="shared" si="50"/>
        <v>3031482411.4858418</v>
      </c>
    </row>
    <row r="180" spans="43:59" x14ac:dyDescent="0.25">
      <c r="AQ180" s="7">
        <v>165</v>
      </c>
      <c r="AR180" s="58">
        <f t="shared" si="51"/>
        <v>82.5</v>
      </c>
      <c r="AS180" s="58">
        <f t="shared" si="52"/>
        <v>-55221.198708541153</v>
      </c>
      <c r="AT180" s="58">
        <f t="shared" si="53"/>
        <v>9147.080815849793</v>
      </c>
      <c r="AU180" s="58">
        <f t="shared" si="54"/>
        <v>-722.34366151257848</v>
      </c>
      <c r="AV180" s="58">
        <f t="shared" si="55"/>
        <v>1365.8876824487691</v>
      </c>
      <c r="AW180" s="58">
        <f t="shared" si="41"/>
        <v>371.46569809071281</v>
      </c>
      <c r="AX180" s="58">
        <f t="shared" si="56"/>
        <v>-68.34113522381962</v>
      </c>
      <c r="AY180" s="33">
        <f t="shared" si="42"/>
        <v>90.073836722666201</v>
      </c>
      <c r="AZ180" s="33">
        <f t="shared" si="43"/>
        <v>-1.9723015722035331</v>
      </c>
      <c r="BA180" s="39">
        <f t="shared" si="44"/>
        <v>136.48372531555097</v>
      </c>
      <c r="BB180" s="39">
        <f t="shared" si="45"/>
        <v>3.3051001077283408</v>
      </c>
      <c r="BC180" s="45">
        <f t="shared" si="46"/>
        <v>144.90813605249565</v>
      </c>
      <c r="BD180" s="45">
        <f t="shared" si="47"/>
        <v>-69.673933759344422</v>
      </c>
      <c r="BE180" s="64">
        <f t="shared" si="48"/>
        <v>5660941610.3637743</v>
      </c>
      <c r="BF180" s="65">
        <f t="shared" si="49"/>
        <v>1241260309.6012325</v>
      </c>
      <c r="BG180" s="66">
        <f t="shared" si="50"/>
        <v>3105250311.6499567</v>
      </c>
    </row>
    <row r="181" spans="43:59" x14ac:dyDescent="0.25">
      <c r="AQ181" s="7">
        <v>166</v>
      </c>
      <c r="AR181" s="58">
        <f t="shared" si="51"/>
        <v>83</v>
      </c>
      <c r="AS181" s="58">
        <f t="shared" si="52"/>
        <v>-55535.937327036103</v>
      </c>
      <c r="AT181" s="58">
        <f t="shared" si="53"/>
        <v>9821.4820151712011</v>
      </c>
      <c r="AU181" s="58">
        <f t="shared" si="54"/>
        <v>-536.6108124672221</v>
      </c>
      <c r="AV181" s="58">
        <f t="shared" si="55"/>
        <v>1331.7171148368593</v>
      </c>
      <c r="AW181" s="58">
        <f t="shared" si="41"/>
        <v>365.11093399896868</v>
      </c>
      <c r="AX181" s="58">
        <f t="shared" si="56"/>
        <v>-71.572805181981792</v>
      </c>
      <c r="AY181" s="33">
        <f t="shared" si="42"/>
        <v>89.282924836231103</v>
      </c>
      <c r="AZ181" s="33">
        <f t="shared" si="43"/>
        <v>-2.7439747437277946</v>
      </c>
      <c r="BA181" s="39">
        <f t="shared" si="44"/>
        <v>134.32035803891887</v>
      </c>
      <c r="BB181" s="39">
        <f t="shared" si="45"/>
        <v>0.67477042797313225</v>
      </c>
      <c r="BC181" s="45">
        <f t="shared" si="46"/>
        <v>141.5076511238187</v>
      </c>
      <c r="BD181" s="45">
        <f t="shared" si="47"/>
        <v>-69.503600866227131</v>
      </c>
      <c r="BE181" s="64">
        <f t="shared" si="48"/>
        <v>5711067106.6206903</v>
      </c>
      <c r="BF181" s="65">
        <f t="shared" si="49"/>
        <v>1262834710.3819451</v>
      </c>
      <c r="BG181" s="66">
        <f t="shared" si="50"/>
        <v>3169986930.9515886</v>
      </c>
    </row>
    <row r="182" spans="43:59" x14ac:dyDescent="0.25">
      <c r="AQ182" s="7">
        <v>167</v>
      </c>
      <c r="AR182" s="58">
        <f t="shared" si="51"/>
        <v>83.5</v>
      </c>
      <c r="AS182" s="58">
        <f t="shared" si="52"/>
        <v>-55758.603866519843</v>
      </c>
      <c r="AT182" s="58">
        <f t="shared" si="53"/>
        <v>10478.393971941883</v>
      </c>
      <c r="AU182" s="58">
        <f t="shared" si="54"/>
        <v>-354.05534546773777</v>
      </c>
      <c r="AV182" s="58">
        <f t="shared" si="55"/>
        <v>1295.9307122458683</v>
      </c>
      <c r="AW182" s="58">
        <f t="shared" si="41"/>
        <v>359.99122421003221</v>
      </c>
      <c r="AX182" s="58">
        <f t="shared" si="56"/>
        <v>-74.823919820629897</v>
      </c>
      <c r="AY182" s="33">
        <f t="shared" si="42"/>
        <v>88.693777272529218</v>
      </c>
      <c r="AZ182" s="33">
        <f t="shared" si="43"/>
        <v>-3.4869308315487584</v>
      </c>
      <c r="BA182" s="39">
        <f t="shared" si="44"/>
        <v>132.71560671867445</v>
      </c>
      <c r="BB182" s="39">
        <f t="shared" si="45"/>
        <v>-1.7755264292146609</v>
      </c>
      <c r="BC182" s="45">
        <f t="shared" si="46"/>
        <v>138.58184021882852</v>
      </c>
      <c r="BD182" s="45">
        <f t="shared" si="47"/>
        <v>-69.561462559866484</v>
      </c>
      <c r="BE182" s="64">
        <f t="shared" si="48"/>
        <v>5748236890.4563751</v>
      </c>
      <c r="BF182" s="65">
        <f t="shared" si="49"/>
        <v>1278906611.2750783</v>
      </c>
      <c r="BG182" s="66">
        <f t="shared" si="50"/>
        <v>3225584425.8677673</v>
      </c>
    </row>
    <row r="183" spans="43:59" x14ac:dyDescent="0.25">
      <c r="AQ183" s="7">
        <v>168</v>
      </c>
      <c r="AR183" s="58">
        <f t="shared" si="51"/>
        <v>84</v>
      </c>
      <c r="AS183" s="58">
        <f t="shared" si="52"/>
        <v>-55890.632636227463</v>
      </c>
      <c r="AT183" s="58">
        <f t="shared" si="53"/>
        <v>11117.006338087238</v>
      </c>
      <c r="AU183" s="58">
        <f t="shared" si="54"/>
        <v>-174.05973336272166</v>
      </c>
      <c r="AV183" s="58">
        <f t="shared" si="55"/>
        <v>1258.5187523355535</v>
      </c>
      <c r="AW183" s="58">
        <f t="shared" si="41"/>
        <v>356.02941563847065</v>
      </c>
      <c r="AX183" s="58">
        <f t="shared" si="56"/>
        <v>-78.144729211725263</v>
      </c>
      <c r="AY183" s="33">
        <f t="shared" si="42"/>
        <v>88.298940034864842</v>
      </c>
      <c r="AZ183" s="33">
        <f t="shared" si="43"/>
        <v>-4.2083958804690678</v>
      </c>
      <c r="BA183" s="39">
        <f t="shared" si="44"/>
        <v>131.644330690055</v>
      </c>
      <c r="BB183" s="39">
        <f t="shared" si="45"/>
        <v>-4.0971011362339755</v>
      </c>
      <c r="BC183" s="45">
        <f t="shared" si="46"/>
        <v>136.08614491355081</v>
      </c>
      <c r="BD183" s="45">
        <f t="shared" si="47"/>
        <v>-69.83923219502222</v>
      </c>
      <c r="BE183" s="64">
        <f t="shared" si="48"/>
        <v>5772470856.776597</v>
      </c>
      <c r="BF183" s="65">
        <f t="shared" si="49"/>
        <v>1289385214.187963</v>
      </c>
      <c r="BG183" s="66">
        <f t="shared" si="50"/>
        <v>3271954510.1791487</v>
      </c>
    </row>
    <row r="184" spans="43:59" x14ac:dyDescent="0.25">
      <c r="AQ184" s="7">
        <v>169</v>
      </c>
      <c r="AR184" s="58">
        <f t="shared" si="51"/>
        <v>84.5</v>
      </c>
      <c r="AS184" s="58">
        <f t="shared" si="52"/>
        <v>-55933.158825954015</v>
      </c>
      <c r="AT184" s="58">
        <f t="shared" si="53"/>
        <v>11736.497623103549</v>
      </c>
      <c r="AU184" s="58">
        <f t="shared" si="54"/>
        <v>3.9549744565136677</v>
      </c>
      <c r="AV184" s="58">
        <f t="shared" si="55"/>
        <v>1219.4463877296907</v>
      </c>
      <c r="AW184" s="58">
        <f t="shared" si="41"/>
        <v>353.16894403587571</v>
      </c>
      <c r="AX184" s="58">
        <f t="shared" si="56"/>
        <v>-81.582770001525461</v>
      </c>
      <c r="AY184" s="33">
        <f t="shared" si="42"/>
        <v>88.093540428047277</v>
      </c>
      <c r="AZ184" s="33">
        <f t="shared" si="43"/>
        <v>-4.9149552106692536</v>
      </c>
      <c r="BA184" s="39">
        <f t="shared" si="44"/>
        <v>131.09120665692512</v>
      </c>
      <c r="BB184" s="39">
        <f t="shared" si="45"/>
        <v>-6.3350837000477052</v>
      </c>
      <c r="BC184" s="45">
        <f t="shared" si="46"/>
        <v>133.98419695090328</v>
      </c>
      <c r="BD184" s="45">
        <f t="shared" si="47"/>
        <v>-70.332731090808494</v>
      </c>
      <c r="BE184" s="64">
        <f t="shared" si="48"/>
        <v>5783792521.3981209</v>
      </c>
      <c r="BF184" s="65">
        <f t="shared" si="49"/>
        <v>1294207327.2062812</v>
      </c>
      <c r="BG184" s="66">
        <f t="shared" si="50"/>
        <v>3309026973.1400785</v>
      </c>
    </row>
    <row r="185" spans="43:59" x14ac:dyDescent="0.25">
      <c r="AQ185" s="7">
        <v>170</v>
      </c>
      <c r="AR185" s="58">
        <f t="shared" si="51"/>
        <v>85</v>
      </c>
      <c r="AS185" s="58">
        <f t="shared" si="52"/>
        <v>-55887.035220721271</v>
      </c>
      <c r="AT185" s="58">
        <f t="shared" si="53"/>
        <v>12336.022970718204</v>
      </c>
      <c r="AU185" s="58">
        <f t="shared" si="54"/>
        <v>180.53944647445152</v>
      </c>
      <c r="AV185" s="58">
        <f t="shared" si="55"/>
        <v>1178.6550027289279</v>
      </c>
      <c r="AW185" s="58">
        <f t="shared" si="41"/>
        <v>351.37200697859424</v>
      </c>
      <c r="AX185" s="58">
        <f t="shared" si="56"/>
        <v>-85.184827830076628</v>
      </c>
      <c r="AY185" s="33">
        <f t="shared" si="42"/>
        <v>88.075129542486849</v>
      </c>
      <c r="AZ185" s="33">
        <f t="shared" si="43"/>
        <v>-5.6127288195882112</v>
      </c>
      <c r="BA185" s="39">
        <f t="shared" si="44"/>
        <v>131.05039101170328</v>
      </c>
      <c r="BB185" s="39">
        <f t="shared" si="45"/>
        <v>-8.5305660342812928</v>
      </c>
      <c r="BC185" s="45">
        <f t="shared" si="46"/>
        <v>132.24648642440411</v>
      </c>
      <c r="BD185" s="45">
        <f t="shared" si="47"/>
        <v>-71.041532976207122</v>
      </c>
      <c r="BE185" s="64">
        <f t="shared" si="48"/>
        <v>5782229232.7643051</v>
      </c>
      <c r="BF185" s="65">
        <f t="shared" si="49"/>
        <v>1293336300.2530122</v>
      </c>
      <c r="BG185" s="66">
        <f t="shared" si="50"/>
        <v>3336748505.4105606</v>
      </c>
    </row>
    <row r="186" spans="43:59" x14ac:dyDescent="0.25">
      <c r="AQ186" s="7">
        <v>171</v>
      </c>
      <c r="AR186" s="58">
        <f t="shared" si="51"/>
        <v>85.5</v>
      </c>
      <c r="AS186" s="58">
        <f t="shared" si="52"/>
        <v>-55752.843996611722</v>
      </c>
      <c r="AT186" s="58">
        <f t="shared" si="53"/>
        <v>12914.702368603908</v>
      </c>
      <c r="AU186" s="58">
        <f t="shared" si="54"/>
        <v>356.22544996374864</v>
      </c>
      <c r="AV186" s="58">
        <f t="shared" si="55"/>
        <v>1136.0625888138895</v>
      </c>
      <c r="AW186" s="58">
        <f t="shared" si="41"/>
        <v>350.61845609781574</v>
      </c>
      <c r="AX186" s="58">
        <f t="shared" si="56"/>
        <v>-88.998741874238348</v>
      </c>
      <c r="AY186" s="33">
        <f t="shared" si="42"/>
        <v>88.243603885852622</v>
      </c>
      <c r="AZ186" s="33">
        <f t="shared" si="43"/>
        <v>-6.3075235960281955</v>
      </c>
      <c r="BA186" s="39">
        <f t="shared" si="44"/>
        <v>131.52552066322122</v>
      </c>
      <c r="BB186" s="39">
        <f t="shared" si="45"/>
        <v>-10.722440616060746</v>
      </c>
      <c r="BC186" s="45">
        <f t="shared" si="46"/>
        <v>130.84933154874187</v>
      </c>
      <c r="BD186" s="45">
        <f t="shared" si="47"/>
        <v>-71.968777662149407</v>
      </c>
      <c r="BE186" s="64">
        <f t="shared" si="48"/>
        <v>5767812375.3155556</v>
      </c>
      <c r="BF186" s="65">
        <f t="shared" si="49"/>
        <v>1286761343.7436001</v>
      </c>
      <c r="BG186" s="66">
        <f t="shared" si="50"/>
        <v>3355081782.0721474</v>
      </c>
    </row>
    <row r="187" spans="43:59" x14ac:dyDescent="0.25">
      <c r="AQ187" s="7">
        <v>172</v>
      </c>
      <c r="AR187" s="58">
        <f t="shared" si="51"/>
        <v>86</v>
      </c>
      <c r="AS187" s="58">
        <f t="shared" si="52"/>
        <v>-55530.903964617617</v>
      </c>
      <c r="AT187" s="58">
        <f t="shared" si="53"/>
        <v>13471.608820276573</v>
      </c>
      <c r="AU187" s="58">
        <f t="shared" si="54"/>
        <v>531.53467801265651</v>
      </c>
      <c r="AV187" s="58">
        <f t="shared" si="55"/>
        <v>1091.5632178767703</v>
      </c>
      <c r="AW187" s="58">
        <f t="shared" si="41"/>
        <v>350.90536339978371</v>
      </c>
      <c r="AX187" s="58">
        <f t="shared" si="56"/>
        <v>-93.0751846074604</v>
      </c>
      <c r="AY187" s="33">
        <f t="shared" si="42"/>
        <v>88.60120140493818</v>
      </c>
      <c r="AZ187" s="33">
        <f t="shared" si="43"/>
        <v>-7.0049699927420779</v>
      </c>
      <c r="BA187" s="39">
        <f t="shared" si="44"/>
        <v>132.53007896946903</v>
      </c>
      <c r="BB187" s="39">
        <f t="shared" si="45"/>
        <v>-12.949082059959094</v>
      </c>
      <c r="BC187" s="45">
        <f t="shared" si="46"/>
        <v>129.77408302537648</v>
      </c>
      <c r="BD187" s="45">
        <f t="shared" si="47"/>
        <v>-73.121132554759228</v>
      </c>
      <c r="BE187" s="64">
        <f t="shared" si="48"/>
        <v>5740577565.6146927</v>
      </c>
      <c r="BF187" s="65">
        <f t="shared" si="49"/>
        <v>1274497204.3439019</v>
      </c>
      <c r="BG187" s="66">
        <f t="shared" si="50"/>
        <v>3364004764.2962594</v>
      </c>
    </row>
    <row r="188" spans="43:59" x14ac:dyDescent="0.25">
      <c r="AQ188" s="7">
        <v>173</v>
      </c>
      <c r="AR188" s="58">
        <f t="shared" si="51"/>
        <v>86.5</v>
      </c>
      <c r="AS188" s="58">
        <f t="shared" si="52"/>
        <v>-55221.273455186318</v>
      </c>
      <c r="AT188" s="58">
        <f t="shared" si="53"/>
        <v>14005.756031139026</v>
      </c>
      <c r="AU188" s="58">
        <f t="shared" si="54"/>
        <v>706.98735971254837</v>
      </c>
      <c r="AV188" s="58">
        <f t="shared" si="55"/>
        <v>1045.0256255730401</v>
      </c>
      <c r="AW188" s="58">
        <f t="shared" si="41"/>
        <v>352.24725882740859</v>
      </c>
      <c r="AX188" s="58">
        <f t="shared" si="56"/>
        <v>-97.469544523211681</v>
      </c>
      <c r="AY188" s="33">
        <f t="shared" si="42"/>
        <v>89.152571610159143</v>
      </c>
      <c r="AZ188" s="33">
        <f t="shared" si="43"/>
        <v>-7.7106495782724203</v>
      </c>
      <c r="BA188" s="39">
        <f t="shared" si="44"/>
        <v>134.08817363170121</v>
      </c>
      <c r="BB188" s="39">
        <f t="shared" si="45"/>
        <v>-15.250002556353131</v>
      </c>
      <c r="BC188" s="45">
        <f t="shared" si="46"/>
        <v>129.00651358554825</v>
      </c>
      <c r="BD188" s="45">
        <f t="shared" si="47"/>
        <v>-74.508892388586133</v>
      </c>
      <c r="BE188" s="64">
        <f t="shared" si="48"/>
        <v>5700564841.7566185</v>
      </c>
      <c r="BF188" s="65">
        <f t="shared" si="49"/>
        <v>1256584185.1860189</v>
      </c>
      <c r="BG188" s="66">
        <f t="shared" si="50"/>
        <v>3363510190.3985596</v>
      </c>
    </row>
    <row r="189" spans="43:59" x14ac:dyDescent="0.25">
      <c r="AQ189" s="7">
        <v>174</v>
      </c>
      <c r="AR189" s="58">
        <f t="shared" si="51"/>
        <v>87</v>
      </c>
      <c r="AS189" s="58">
        <f t="shared" si="52"/>
        <v>-54823.748867976617</v>
      </c>
      <c r="AT189" s="58">
        <f t="shared" si="53"/>
        <v>14516.085150860146</v>
      </c>
      <c r="AU189" s="58">
        <f t="shared" si="54"/>
        <v>883.11098912625266</v>
      </c>
      <c r="AV189" s="58">
        <f t="shared" si="55"/>
        <v>996.29085331143426</v>
      </c>
      <c r="AW189" s="58">
        <f t="shared" si="41"/>
        <v>354.67708181445437</v>
      </c>
      <c r="AX189" s="58">
        <f t="shared" si="56"/>
        <v>-102.24404882902672</v>
      </c>
      <c r="AY189" s="33">
        <f t="shared" si="42"/>
        <v>89.904923959317244</v>
      </c>
      <c r="AZ189" s="33">
        <f t="shared" si="43"/>
        <v>-8.4302191686915116</v>
      </c>
      <c r="BA189" s="39">
        <f t="shared" si="44"/>
        <v>136.23580187322608</v>
      </c>
      <c r="BB189" s="39">
        <f t="shared" si="45"/>
        <v>-17.667611956074548</v>
      </c>
      <c r="BC189" s="45">
        <f t="shared" si="46"/>
        <v>128.53635598191107</v>
      </c>
      <c r="BD189" s="45">
        <f t="shared" si="47"/>
        <v>-76.146217704260664</v>
      </c>
      <c r="BE189" s="64">
        <f t="shared" si="48"/>
        <v>5647818845.5021534</v>
      </c>
      <c r="BF189" s="65">
        <f t="shared" si="49"/>
        <v>1233088510.3097222</v>
      </c>
      <c r="BG189" s="66">
        <f t="shared" si="50"/>
        <v>3353605233.8920279</v>
      </c>
    </row>
    <row r="190" spans="43:59" x14ac:dyDescent="0.25">
      <c r="AQ190" s="7">
        <v>175</v>
      </c>
      <c r="AR190" s="58">
        <f t="shared" si="51"/>
        <v>87.5</v>
      </c>
      <c r="AS190" s="58">
        <f t="shared" si="52"/>
        <v>-54337.858738186689</v>
      </c>
      <c r="AT190" s="58">
        <f t="shared" si="53"/>
        <v>15001.450071412235</v>
      </c>
      <c r="AU190" s="58">
        <f t="shared" si="54"/>
        <v>1060.4495300334797</v>
      </c>
      <c r="AV190" s="58">
        <f t="shared" si="55"/>
        <v>945.1688288969209</v>
      </c>
      <c r="AW190" s="58">
        <f t="shared" si="41"/>
        <v>358.24794298887571</v>
      </c>
      <c r="AX190" s="58">
        <f t="shared" si="56"/>
        <v>-107.47028873951992</v>
      </c>
      <c r="AY190" s="33">
        <f t="shared" si="42"/>
        <v>90.868263510489768</v>
      </c>
      <c r="AZ190" s="33">
        <f t="shared" si="43"/>
        <v>-9.1695369408012688</v>
      </c>
      <c r="BA190" s="39">
        <f t="shared" si="44"/>
        <v>139.02271759246113</v>
      </c>
      <c r="BB190" s="39">
        <f t="shared" si="45"/>
        <v>-20.24922946221707</v>
      </c>
      <c r="BC190" s="45">
        <f t="shared" si="46"/>
        <v>128.35696188592485</v>
      </c>
      <c r="BD190" s="45">
        <f t="shared" si="47"/>
        <v>-78.051522336501577</v>
      </c>
      <c r="BE190" s="64">
        <f t="shared" si="48"/>
        <v>5582388994.9524889</v>
      </c>
      <c r="BF190" s="65">
        <f t="shared" si="49"/>
        <v>1204103045.5404935</v>
      </c>
      <c r="BG190" s="66">
        <f t="shared" si="50"/>
        <v>3334311311.2567058</v>
      </c>
    </row>
    <row r="191" spans="43:59" x14ac:dyDescent="0.25">
      <c r="AQ191" s="7">
        <v>176</v>
      </c>
      <c r="AR191" s="58">
        <f t="shared" si="51"/>
        <v>88</v>
      </c>
      <c r="AS191" s="58">
        <f t="shared" si="52"/>
        <v>-53762.852980296339</v>
      </c>
      <c r="AT191" s="58">
        <f t="shared" si="53"/>
        <v>15460.600699768254</v>
      </c>
      <c r="AU191" s="58">
        <f t="shared" si="54"/>
        <v>1239.5735015279176</v>
      </c>
      <c r="AV191" s="58">
        <f t="shared" si="55"/>
        <v>891.43368452716095</v>
      </c>
      <c r="AW191" s="58">
        <f t="shared" si="41"/>
        <v>363.0358596579369</v>
      </c>
      <c r="AX191" s="58">
        <f t="shared" si="56"/>
        <v>-113.23235662693324</v>
      </c>
      <c r="AY191" s="33">
        <f t="shared" si="42"/>
        <v>92.055728612130267</v>
      </c>
      <c r="AZ191" s="33">
        <f t="shared" si="43"/>
        <v>-9.9347960117967862</v>
      </c>
      <c r="BA191" s="39">
        <f t="shared" si="44"/>
        <v>142.51507031493134</v>
      </c>
      <c r="BB191" s="39">
        <f t="shared" si="45"/>
        <v>-23.049530001016091</v>
      </c>
      <c r="BC191" s="45">
        <f t="shared" si="46"/>
        <v>128.46506073087528</v>
      </c>
      <c r="BD191" s="45">
        <f t="shared" si="47"/>
        <v>-80.248030614120367</v>
      </c>
      <c r="BE191" s="64">
        <f t="shared" si="48"/>
        <v>5504329643.2939625</v>
      </c>
      <c r="BF191" s="65">
        <f t="shared" si="49"/>
        <v>1169748401.3714149</v>
      </c>
      <c r="BG191" s="66">
        <f t="shared" si="50"/>
        <v>3305664025.7687178</v>
      </c>
    </row>
    <row r="192" spans="43:59" x14ac:dyDescent="0.25">
      <c r="AQ192" s="7">
        <v>177</v>
      </c>
      <c r="AR192" s="58">
        <f t="shared" si="51"/>
        <v>88.5</v>
      </c>
      <c r="AS192" s="58">
        <f t="shared" si="52"/>
        <v>-53097.686747075139</v>
      </c>
      <c r="AT192" s="58">
        <f t="shared" si="53"/>
        <v>15892.163497453468</v>
      </c>
      <c r="AU192" s="58">
        <f t="shared" si="54"/>
        <v>1421.091431356886</v>
      </c>
      <c r="AV192" s="58">
        <f t="shared" si="55"/>
        <v>834.81750621369429</v>
      </c>
      <c r="AW192" s="58">
        <f t="shared" si="41"/>
        <v>369.14371931233541</v>
      </c>
      <c r="AX192" s="58">
        <f t="shared" si="56"/>
        <v>-119.63088071188324</v>
      </c>
      <c r="AY192" s="33">
        <f t="shared" si="42"/>
        <v>93.484052695158994</v>
      </c>
      <c r="AZ192" s="33">
        <f t="shared" si="43"/>
        <v>-10.732671436469516</v>
      </c>
      <c r="BA192" s="39">
        <f t="shared" si="44"/>
        <v>146.79906455373632</v>
      </c>
      <c r="BB192" s="39">
        <f t="shared" si="45"/>
        <v>-26.133672006557312</v>
      </c>
      <c r="BC192" s="45">
        <f t="shared" si="46"/>
        <v>128.8606020634401</v>
      </c>
      <c r="BD192" s="45">
        <f t="shared" si="47"/>
        <v>-82.764537268856415</v>
      </c>
      <c r="BE192" s="64">
        <f t="shared" si="48"/>
        <v>5413700215.9415159</v>
      </c>
      <c r="BF192" s="65">
        <f t="shared" si="49"/>
        <v>1130174458.6882365</v>
      </c>
      <c r="BG192" s="66">
        <f t="shared" si="50"/>
        <v>3267713235.9731636</v>
      </c>
    </row>
    <row r="193" spans="43:59" x14ac:dyDescent="0.25">
      <c r="AQ193" s="7">
        <v>178</v>
      </c>
      <c r="AR193" s="58">
        <f t="shared" si="51"/>
        <v>89</v>
      </c>
      <c r="AS193" s="58">
        <f t="shared" si="52"/>
        <v>-52340.998066482658</v>
      </c>
      <c r="AT193" s="58">
        <f t="shared" si="53"/>
        <v>16294.618390471331</v>
      </c>
      <c r="AU193" s="58">
        <f t="shared" si="54"/>
        <v>1605.6632910130538</v>
      </c>
      <c r="AV193" s="58">
        <f t="shared" si="55"/>
        <v>775.00206585775265</v>
      </c>
      <c r="AW193" s="58">
        <f t="shared" si="41"/>
        <v>376.70685270895387</v>
      </c>
      <c r="AX193" s="58">
        <f t="shared" si="56"/>
        <v>-126.7883645235965</v>
      </c>
      <c r="AY193" s="33">
        <f t="shared" si="42"/>
        <v>95.174181944153901</v>
      </c>
      <c r="AZ193" s="33">
        <f t="shared" si="43"/>
        <v>-11.570487457954112</v>
      </c>
      <c r="BA193" s="39">
        <f t="shared" si="44"/>
        <v>151.98600308839789</v>
      </c>
      <c r="BB193" s="39">
        <f t="shared" si="45"/>
        <v>-29.581458437609378</v>
      </c>
      <c r="BC193" s="45">
        <f t="shared" si="46"/>
        <v>129.54666767640208</v>
      </c>
      <c r="BD193" s="45">
        <f t="shared" si="47"/>
        <v>-85.636418628033013</v>
      </c>
      <c r="BE193" s="64">
        <f t="shared" si="48"/>
        <v>5310565313.8888645</v>
      </c>
      <c r="BF193" s="65">
        <f t="shared" si="49"/>
        <v>1085562376.6178949</v>
      </c>
      <c r="BG193" s="66">
        <f t="shared" si="50"/>
        <v>3220523238.135941</v>
      </c>
    </row>
    <row r="194" spans="43:59" x14ac:dyDescent="0.25">
      <c r="AQ194" s="7">
        <v>179</v>
      </c>
      <c r="AR194" s="58">
        <f t="shared" si="51"/>
        <v>89.5</v>
      </c>
      <c r="AS194" s="58">
        <f t="shared" si="52"/>
        <v>-51491.078064387511</v>
      </c>
      <c r="AT194" s="58">
        <f t="shared" si="53"/>
        <v>16666.270877834759</v>
      </c>
      <c r="AU194" s="58">
        <f t="shared" si="54"/>
        <v>1794.0167173675309</v>
      </c>
      <c r="AV194" s="58">
        <f t="shared" si="55"/>
        <v>711.60788359595438</v>
      </c>
      <c r="AW194" s="58">
        <f t="shared" si="41"/>
        <v>385.90078312089406</v>
      </c>
      <c r="AX194" s="58">
        <f t="shared" si="56"/>
        <v>-134.85643136392471</v>
      </c>
      <c r="AY194" s="33">
        <f t="shared" si="42"/>
        <v>97.152094034423712</v>
      </c>
      <c r="AZ194" s="33">
        <f t="shared" si="43"/>
        <v>-12.456413224967239</v>
      </c>
      <c r="BA194" s="39">
        <f t="shared" si="44"/>
        <v>158.21924844533044</v>
      </c>
      <c r="BB194" s="39">
        <f t="shared" si="45"/>
        <v>-33.493053685474798</v>
      </c>
      <c r="BC194" s="45">
        <f t="shared" si="46"/>
        <v>130.52944064113987</v>
      </c>
      <c r="BD194" s="45">
        <f t="shared" si="47"/>
        <v>-88.906964453482672</v>
      </c>
      <c r="BE194" s="64">
        <f t="shared" si="48"/>
        <v>5194994764.614192</v>
      </c>
      <c r="BF194" s="65">
        <f t="shared" si="49"/>
        <v>1036127165.0740161</v>
      </c>
      <c r="BG194" s="66">
        <f t="shared" si="50"/>
        <v>3164173050.8973794</v>
      </c>
    </row>
    <row r="195" spans="43:59" x14ac:dyDescent="0.25">
      <c r="AQ195" s="7">
        <v>180</v>
      </c>
      <c r="AR195" s="58">
        <f t="shared" si="51"/>
        <v>90</v>
      </c>
      <c r="AS195" s="58">
        <f t="shared" si="52"/>
        <v>-50545.832107813636</v>
      </c>
      <c r="AT195" s="58">
        <f t="shared" si="53"/>
        <v>17005.217765712245</v>
      </c>
      <c r="AU195" s="58">
        <f t="shared" si="54"/>
        <v>1986.967108927978</v>
      </c>
      <c r="AV195" s="58">
        <f t="shared" si="55"/>
        <v>644.17966791399203</v>
      </c>
      <c r="AW195" s="58">
        <f t="shared" si="41"/>
        <v>396.95199419510925</v>
      </c>
      <c r="AX195" s="58">
        <f t="shared" si="56"/>
        <v>-144.02588410626379</v>
      </c>
      <c r="AY195" s="33">
        <f t="shared" si="42"/>
        <v>99.449882173539066</v>
      </c>
      <c r="AZ195" s="33">
        <f t="shared" si="43"/>
        <v>-13.399697169766783</v>
      </c>
      <c r="BA195" s="39">
        <f t="shared" si="44"/>
        <v>165.68389509583361</v>
      </c>
      <c r="BB195" s="39">
        <f t="shared" si="45"/>
        <v>-37.997058365315979</v>
      </c>
      <c r="BC195" s="45">
        <f t="shared" si="46"/>
        <v>131.81821692573658</v>
      </c>
      <c r="BD195" s="45">
        <f t="shared" si="47"/>
        <v>-92.629128571181042</v>
      </c>
      <c r="BE195" s="64">
        <f t="shared" si="48"/>
        <v>5067063592.5574417</v>
      </c>
      <c r="BF195" s="65">
        <f t="shared" si="49"/>
        <v>982120935.10378885</v>
      </c>
      <c r="BG195" s="66">
        <f t="shared" si="50"/>
        <v>3098756786.6238103</v>
      </c>
    </row>
    <row r="196" spans="43:59" x14ac:dyDescent="0.25">
      <c r="AQ196" s="7">
        <v>181</v>
      </c>
      <c r="AR196" s="58">
        <f t="shared" si="51"/>
        <v>90.5</v>
      </c>
      <c r="AS196" s="58">
        <f t="shared" si="52"/>
        <v>-49502.72955407526</v>
      </c>
      <c r="AT196" s="58">
        <f t="shared" si="53"/>
        <v>17309.30436415596</v>
      </c>
      <c r="AU196" s="58">
        <f t="shared" si="54"/>
        <v>2185.4431060255324</v>
      </c>
      <c r="AV196" s="58">
        <f t="shared" si="55"/>
        <v>572.1667258608602</v>
      </c>
      <c r="AW196" s="58">
        <f t="shared" si="41"/>
        <v>410.15297856723521</v>
      </c>
      <c r="AX196" s="58">
        <f t="shared" si="56"/>
        <v>-154.54099845862359</v>
      </c>
      <c r="AY196" s="33">
        <f t="shared" si="42"/>
        <v>102.1071964176119</v>
      </c>
      <c r="AZ196" s="33">
        <f t="shared" si="43"/>
        <v>-14.410952977778152</v>
      </c>
      <c r="BA196" s="39">
        <f t="shared" si="44"/>
        <v>174.62034152238434</v>
      </c>
      <c r="BB196" s="39">
        <f t="shared" si="45"/>
        <v>-43.262208061818576</v>
      </c>
      <c r="BC196" s="45">
        <f t="shared" si="46"/>
        <v>133.425440627239</v>
      </c>
      <c r="BD196" s="45">
        <f t="shared" si="47"/>
        <v>-96.86783741902687</v>
      </c>
      <c r="BE196" s="64">
        <f t="shared" si="48"/>
        <v>4926851867.5755749</v>
      </c>
      <c r="BF196" s="65">
        <f t="shared" si="49"/>
        <v>923836981.42877519</v>
      </c>
      <c r="BG196" s="66">
        <f t="shared" si="50"/>
        <v>3024384086.258831</v>
      </c>
    </row>
    <row r="197" spans="43:59" x14ac:dyDescent="0.25">
      <c r="AQ197" s="7">
        <v>182</v>
      </c>
      <c r="AR197" s="58">
        <f t="shared" si="51"/>
        <v>91</v>
      </c>
      <c r="AS197" s="58">
        <f t="shared" si="52"/>
        <v>-48358.738878741591</v>
      </c>
      <c r="AT197" s="58">
        <f t="shared" si="53"/>
        <v>17576.07010227906</v>
      </c>
      <c r="AU197" s="58">
        <f t="shared" si="54"/>
        <v>2390.5195953091502</v>
      </c>
      <c r="AV197" s="58">
        <f t="shared" si="55"/>
        <v>494.89622663154842</v>
      </c>
      <c r="AW197" s="58">
        <f t="shared" si="41"/>
        <v>425.88347857017237</v>
      </c>
      <c r="AX197" s="58">
        <f t="shared" si="56"/>
        <v>-166.72031931110942</v>
      </c>
      <c r="AY197" s="33">
        <f t="shared" si="42"/>
        <v>105.17317551220168</v>
      </c>
      <c r="AZ197" s="33">
        <f t="shared" si="43"/>
        <v>-15.502513749120702</v>
      </c>
      <c r="BA197" s="39">
        <f t="shared" si="44"/>
        <v>185.3435688979483</v>
      </c>
      <c r="BB197" s="39">
        <f t="shared" si="45"/>
        <v>-49.514750179178456</v>
      </c>
      <c r="BC197" s="45">
        <f t="shared" si="46"/>
        <v>135.36673416002242</v>
      </c>
      <c r="BD197" s="45">
        <f t="shared" si="47"/>
        <v>-101.70305538281026</v>
      </c>
      <c r="BE197" s="64">
        <f t="shared" si="48"/>
        <v>4774444369.7980204</v>
      </c>
      <c r="BF197" s="65">
        <f t="shared" si="49"/>
        <v>861614908.98729646</v>
      </c>
      <c r="BG197" s="66">
        <f t="shared" si="50"/>
        <v>2941180580.4634972</v>
      </c>
    </row>
    <row r="198" spans="43:59" x14ac:dyDescent="0.25">
      <c r="AQ198" s="7">
        <v>183</v>
      </c>
      <c r="AR198" s="58">
        <f t="shared" si="51"/>
        <v>91.5</v>
      </c>
      <c r="AS198" s="58">
        <f t="shared" si="52"/>
        <v>-47110.24364626575</v>
      </c>
      <c r="AT198" s="58">
        <f t="shared" si="53"/>
        <v>17802.678175680947</v>
      </c>
      <c r="AU198" s="58">
        <f t="shared" si="54"/>
        <v>2603.4613345942362</v>
      </c>
      <c r="AV198" s="58">
        <f t="shared" si="55"/>
        <v>411.53606697599372</v>
      </c>
      <c r="AW198" s="58">
        <f t="shared" si="41"/>
        <v>444.64084695906695</v>
      </c>
      <c r="AX198" s="58">
        <f t="shared" si="56"/>
        <v>-180.98769705708506</v>
      </c>
      <c r="AY198" s="33">
        <f t="shared" si="42"/>
        <v>108.7090653311016</v>
      </c>
      <c r="AZ198" s="33">
        <f t="shared" si="43"/>
        <v>-16.688875707095352</v>
      </c>
      <c r="BA198" s="39">
        <f t="shared" si="44"/>
        <v>198.27090488516748</v>
      </c>
      <c r="BB198" s="39">
        <f t="shared" si="45"/>
        <v>-57.064926549751014</v>
      </c>
      <c r="BC198" s="45">
        <f t="shared" si="46"/>
        <v>137.66087674279788</v>
      </c>
      <c r="BD198" s="45">
        <f t="shared" si="47"/>
        <v>-107.23389480023869</v>
      </c>
      <c r="BE198" s="64">
        <f t="shared" si="48"/>
        <v>4609929979.8528051</v>
      </c>
      <c r="BF198" s="65">
        <f t="shared" si="49"/>
        <v>795847097.27314019</v>
      </c>
      <c r="BG198" s="66">
        <f t="shared" si="50"/>
        <v>2849288315.4451604</v>
      </c>
    </row>
    <row r="199" spans="43:59" x14ac:dyDescent="0.25">
      <c r="AQ199" s="7">
        <v>184</v>
      </c>
      <c r="AR199" s="58">
        <f t="shared" si="51"/>
        <v>92</v>
      </c>
      <c r="AS199" s="58">
        <f t="shared" si="52"/>
        <v>-45752.932873098747</v>
      </c>
      <c r="AT199" s="58">
        <f t="shared" si="53"/>
        <v>17985.822747036807</v>
      </c>
      <c r="AU199" s="58">
        <f t="shared" si="54"/>
        <v>2825.7817580737697</v>
      </c>
      <c r="AV199" s="58">
        <f t="shared" si="55"/>
        <v>321.04221844745121</v>
      </c>
      <c r="AW199" s="58">
        <f t="shared" si="41"/>
        <v>467.08405688058036</v>
      </c>
      <c r="AX199" s="58">
        <f t="shared" si="56"/>
        <v>-197.91990709917275</v>
      </c>
      <c r="AY199" s="33">
        <f t="shared" si="42"/>
        <v>112.79181782574059</v>
      </c>
      <c r="AZ199" s="33">
        <f t="shared" si="43"/>
        <v>-17.987258626461394</v>
      </c>
      <c r="BA199" s="39">
        <f t="shared" si="44"/>
        <v>213.96258677014967</v>
      </c>
      <c r="BB199" s="39">
        <f t="shared" si="45"/>
        <v>-66.348454401819012</v>
      </c>
      <c r="BC199" s="45">
        <f t="shared" si="46"/>
        <v>140.3296522846901</v>
      </c>
      <c r="BD199" s="45">
        <f t="shared" si="47"/>
        <v>-113.58419407089234</v>
      </c>
      <c r="BE199" s="64">
        <f t="shared" si="48"/>
        <v>4433400660.0965052</v>
      </c>
      <c r="BF199" s="65">
        <f t="shared" si="49"/>
        <v>726986916.51342058</v>
      </c>
      <c r="BG199" s="66">
        <f t="shared" si="50"/>
        <v>2748866040.0582237</v>
      </c>
    </row>
    <row r="200" spans="43:59" x14ac:dyDescent="0.25">
      <c r="AQ200" s="7">
        <v>185</v>
      </c>
      <c r="AR200" s="58">
        <f t="shared" si="51"/>
        <v>92.5</v>
      </c>
      <c r="AS200" s="58">
        <f t="shared" si="52"/>
        <v>-44281.65648695179</v>
      </c>
      <c r="AT200" s="58">
        <f t="shared" si="53"/>
        <v>18121.603867873138</v>
      </c>
      <c r="AU200" s="58">
        <f t="shared" si="54"/>
        <v>3059.32378651406</v>
      </c>
      <c r="AV200" s="58">
        <f t="shared" si="55"/>
        <v>222.08226489786483</v>
      </c>
      <c r="AW200" s="58">
        <f t="shared" si="41"/>
        <v>494.09839572325848</v>
      </c>
      <c r="AX200" s="58">
        <f t="shared" si="56"/>
        <v>-218.32198194554712</v>
      </c>
      <c r="AY200" s="33">
        <f t="shared" si="42"/>
        <v>117.51912057496433</v>
      </c>
      <c r="AZ200" s="33">
        <f t="shared" si="43"/>
        <v>-19.418316419731109</v>
      </c>
      <c r="BA200" s="39">
        <f t="shared" si="44"/>
        <v>233.18184466710375</v>
      </c>
      <c r="BB200" s="39">
        <f t="shared" si="45"/>
        <v>-77.993466903043384</v>
      </c>
      <c r="BC200" s="45">
        <f t="shared" si="46"/>
        <v>143.39743048119036</v>
      </c>
      <c r="BD200" s="45">
        <f t="shared" si="47"/>
        <v>-120.91019862277261</v>
      </c>
      <c r="BE200" s="64">
        <f t="shared" si="48"/>
        <v>4244949829.4324884</v>
      </c>
      <c r="BF200" s="65">
        <f t="shared" si="49"/>
        <v>655559291.13697982</v>
      </c>
      <c r="BG200" s="66">
        <f t="shared" si="50"/>
        <v>2640089179.1391907</v>
      </c>
    </row>
    <row r="201" spans="43:59" x14ac:dyDescent="0.25">
      <c r="AQ201" s="7">
        <v>186</v>
      </c>
      <c r="AR201" s="58">
        <f t="shared" si="51"/>
        <v>93</v>
      </c>
      <c r="AS201" s="58">
        <f t="shared" si="52"/>
        <v>-42690.232294229354</v>
      </c>
      <c r="AT201" s="58">
        <f t="shared" si="53"/>
        <v>18205.354752578878</v>
      </c>
      <c r="AU201" s="58">
        <f t="shared" si="54"/>
        <v>3306.3729843756892</v>
      </c>
      <c r="AV201" s="58">
        <f t="shared" si="55"/>
        <v>112.92127392509127</v>
      </c>
      <c r="AW201" s="58">
        <f t="shared" si="41"/>
        <v>526.89166063867469</v>
      </c>
      <c r="AX201" s="58">
        <f t="shared" si="56"/>
        <v>-243.35049561086379</v>
      </c>
      <c r="AY201" s="33">
        <f t="shared" si="42"/>
        <v>123.01656309531683</v>
      </c>
      <c r="AZ201" s="33">
        <f t="shared" si="43"/>
        <v>-21.007035708489365</v>
      </c>
      <c r="BA201" s="39">
        <f t="shared" si="44"/>
        <v>256.98485497926009</v>
      </c>
      <c r="BB201" s="39">
        <f t="shared" si="45"/>
        <v>-92.932142509671195</v>
      </c>
      <c r="BC201" s="45">
        <f t="shared" si="46"/>
        <v>146.89024256409778</v>
      </c>
      <c r="BD201" s="45">
        <f t="shared" si="47"/>
        <v>-129.41131739270321</v>
      </c>
      <c r="BE201" s="64">
        <f t="shared" si="48"/>
        <v>4044669845.4829998</v>
      </c>
      <c r="BF201" s="65">
        <f t="shared" si="49"/>
        <v>582174488.18175745</v>
      </c>
      <c r="BG201" s="66">
        <f t="shared" si="50"/>
        <v>2523149194.6375818</v>
      </c>
    </row>
    <row r="202" spans="43:59" x14ac:dyDescent="0.25">
      <c r="AQ202" s="7">
        <v>187</v>
      </c>
      <c r="AR202" s="58">
        <f t="shared" si="51"/>
        <v>93.5</v>
      </c>
      <c r="AS202" s="58">
        <f t="shared" si="52"/>
        <v>-40971.184344461675</v>
      </c>
      <c r="AT202" s="58">
        <f t="shared" si="53"/>
        <v>18231.396577590069</v>
      </c>
      <c r="AU202" s="58">
        <f t="shared" si="54"/>
        <v>3569.8188146950265</v>
      </c>
      <c r="AV202" s="58">
        <f t="shared" si="55"/>
        <v>-8.7539738803406237</v>
      </c>
      <c r="AW202" s="58">
        <f t="shared" si="41"/>
        <v>567.13775656840028</v>
      </c>
      <c r="AX202" s="58">
        <f t="shared" si="56"/>
        <v>-274.72304877615977</v>
      </c>
      <c r="AY202" s="33">
        <f t="shared" si="42"/>
        <v>129.44807840864058</v>
      </c>
      <c r="AZ202" s="33">
        <f t="shared" si="43"/>
        <v>-22.783855694223217</v>
      </c>
      <c r="BA202" s="39">
        <f t="shared" si="44"/>
        <v>286.85575041937028</v>
      </c>
      <c r="BB202" s="39">
        <f t="shared" si="45"/>
        <v>-112.59370970565217</v>
      </c>
      <c r="BC202" s="45">
        <f t="shared" si="46"/>
        <v>150.83392774038941</v>
      </c>
      <c r="BD202" s="45">
        <f t="shared" si="47"/>
        <v>-139.34548337628436</v>
      </c>
      <c r="BE202" s="64">
        <f t="shared" si="48"/>
        <v>3832648192.8718405</v>
      </c>
      <c r="BF202" s="65">
        <f t="shared" si="49"/>
        <v>507546462.426956</v>
      </c>
      <c r="BG202" s="66">
        <f t="shared" si="50"/>
        <v>2398251821.6403098</v>
      </c>
    </row>
    <row r="203" spans="43:59" x14ac:dyDescent="0.25">
      <c r="AQ203" s="7">
        <v>188</v>
      </c>
      <c r="AR203" s="58">
        <f t="shared" si="51"/>
        <v>94</v>
      </c>
      <c r="AS203" s="58">
        <f t="shared" si="52"/>
        <v>-39115.382717543114</v>
      </c>
      <c r="AT203" s="58">
        <f t="shared" si="53"/>
        <v>18192.67920955288</v>
      </c>
      <c r="AU203" s="58">
        <f t="shared" si="54"/>
        <v>3853.3876929792268</v>
      </c>
      <c r="AV203" s="58">
        <f t="shared" si="55"/>
        <v>-146.11549826842051</v>
      </c>
      <c r="AW203" s="58">
        <f t="shared" si="41"/>
        <v>617.18770432489282</v>
      </c>
      <c r="AX203" s="58">
        <f t="shared" si="56"/>
        <v>-315.08917230293775</v>
      </c>
      <c r="AY203" s="33">
        <f t="shared" si="42"/>
        <v>137.03155194330489</v>
      </c>
      <c r="AZ203" s="33">
        <f t="shared" si="43"/>
        <v>-24.786009311957276</v>
      </c>
      <c r="BA203" s="39">
        <f t="shared" si="44"/>
        <v>324.90556834107701</v>
      </c>
      <c r="BB203" s="39">
        <f t="shared" si="45"/>
        <v>-139.25157210548539</v>
      </c>
      <c r="BC203" s="45">
        <f t="shared" si="46"/>
        <v>155.250584040511</v>
      </c>
      <c r="BD203" s="45">
        <f t="shared" si="47"/>
        <v>-151.05159088549505</v>
      </c>
      <c r="BE203" s="64">
        <f t="shared" si="48"/>
        <v>3608961862.5199995</v>
      </c>
      <c r="BF203" s="65">
        <f t="shared" si="49"/>
        <v>432517849.06878603</v>
      </c>
      <c r="BG203" s="66">
        <f t="shared" si="50"/>
        <v>2265613291.0727234</v>
      </c>
    </row>
    <row r="204" spans="43:59" x14ac:dyDescent="0.25">
      <c r="AQ204" s="7">
        <v>189</v>
      </c>
      <c r="AR204" s="58">
        <f t="shared" si="51"/>
        <v>94.5</v>
      </c>
      <c r="AS204" s="58">
        <f t="shared" si="52"/>
        <v>-37111.540408012886</v>
      </c>
      <c r="AT204" s="58">
        <f t="shared" si="53"/>
        <v>18080.235313880799</v>
      </c>
      <c r="AU204" s="58">
        <f t="shared" si="54"/>
        <v>4161.9815451416735</v>
      </c>
      <c r="AV204" s="58">
        <f t="shared" si="55"/>
        <v>-303.66008441988936</v>
      </c>
      <c r="AW204" s="58">
        <f t="shared" si="41"/>
        <v>680.35822779318403</v>
      </c>
      <c r="AX204" s="58">
        <f t="shared" si="56"/>
        <v>-368.71628484103547</v>
      </c>
      <c r="AY204" s="33">
        <f t="shared" si="42"/>
        <v>146.06284883612699</v>
      </c>
      <c r="AZ204" s="33">
        <f t="shared" si="43"/>
        <v>-27.058967421673731</v>
      </c>
      <c r="BA204" s="39">
        <f t="shared" si="44"/>
        <v>374.143468823332</v>
      </c>
      <c r="BB204" s="39">
        <f t="shared" si="45"/>
        <v>-176.67417410465731</v>
      </c>
      <c r="BC204" s="45">
        <f t="shared" si="46"/>
        <v>160.15191013372498</v>
      </c>
      <c r="BD204" s="45">
        <f t="shared" si="47"/>
        <v>-164.98314331470442</v>
      </c>
      <c r="BE204" s="64">
        <f t="shared" si="48"/>
        <v>3373669427.0731792</v>
      </c>
      <c r="BF204" s="65">
        <f t="shared" si="49"/>
        <v>358095017.86274415</v>
      </c>
      <c r="BG204" s="66">
        <f t="shared" si="50"/>
        <v>2125452995.7971704</v>
      </c>
    </row>
    <row r="205" spans="43:59" x14ac:dyDescent="0.25">
      <c r="AQ205" s="7">
        <v>190</v>
      </c>
      <c r="AR205" s="58">
        <f t="shared" si="51"/>
        <v>95</v>
      </c>
      <c r="AS205" s="58">
        <f t="shared" si="52"/>
        <v>-34945.504856967898</v>
      </c>
      <c r="AT205" s="58">
        <f t="shared" si="53"/>
        <v>17882.315736065724</v>
      </c>
      <c r="AU205" s="58">
        <f t="shared" si="54"/>
        <v>4502.1606590382653</v>
      </c>
      <c r="AV205" s="58">
        <f t="shared" si="55"/>
        <v>-488.01822684040712</v>
      </c>
      <c r="AW205" s="58">
        <f t="shared" si="41"/>
        <v>761.22468676197263</v>
      </c>
      <c r="AX205" s="58">
        <f t="shared" si="56"/>
        <v>-442.81296143077589</v>
      </c>
      <c r="AY205" s="33">
        <f t="shared" si="42"/>
        <v>156.95404740547605</v>
      </c>
      <c r="AZ205" s="33">
        <f t="shared" si="43"/>
        <v>-29.657503019747558</v>
      </c>
      <c r="BA205" s="39">
        <f t="shared" si="44"/>
        <v>438.74387237473979</v>
      </c>
      <c r="BB205" s="39">
        <f t="shared" si="45"/>
        <v>-231.39517616960825</v>
      </c>
      <c r="BC205" s="45">
        <f t="shared" si="46"/>
        <v>165.52676698175671</v>
      </c>
      <c r="BD205" s="45">
        <f t="shared" si="47"/>
        <v>-181.76028224142013</v>
      </c>
      <c r="BE205" s="64">
        <f t="shared" si="48"/>
        <v>3126800984.0304408</v>
      </c>
      <c r="BF205" s="65">
        <f t="shared" si="49"/>
        <v>285499016.79268038</v>
      </c>
      <c r="BG205" s="66">
        <f t="shared" si="50"/>
        <v>1977979949.3050032</v>
      </c>
    </row>
    <row r="206" spans="43:59" x14ac:dyDescent="0.25">
      <c r="AQ206" s="7">
        <v>191</v>
      </c>
      <c r="AR206" s="58">
        <f t="shared" si="51"/>
        <v>95.5</v>
      </c>
      <c r="AS206" s="58">
        <f t="shared" si="52"/>
        <v>-32599.27144160352</v>
      </c>
      <c r="AT206" s="58">
        <f t="shared" si="53"/>
        <v>17582.955002466671</v>
      </c>
      <c r="AU206" s="58">
        <f t="shared" si="54"/>
        <v>4882.7730024192515</v>
      </c>
      <c r="AV206" s="58">
        <f t="shared" si="55"/>
        <v>-709.42470755579507</v>
      </c>
      <c r="AW206" s="58">
        <f t="shared" si="41"/>
        <v>865.42294715698768</v>
      </c>
      <c r="AX206" s="58">
        <f t="shared" si="56"/>
        <v>-550.1556258532446</v>
      </c>
      <c r="AY206" s="33">
        <f t="shared" si="42"/>
        <v>170.29654422163625</v>
      </c>
      <c r="AZ206" s="33">
        <f t="shared" si="43"/>
        <v>-32.644794222457534</v>
      </c>
      <c r="BA206" s="39">
        <f t="shared" si="44"/>
        <v>523.80863401591682</v>
      </c>
      <c r="BB206" s="39">
        <f t="shared" si="45"/>
        <v>-315.2576972451281</v>
      </c>
      <c r="BC206" s="45">
        <f t="shared" si="46"/>
        <v>171.31776891943451</v>
      </c>
      <c r="BD206" s="45">
        <f t="shared" si="47"/>
        <v>-202.25313438565902</v>
      </c>
      <c r="BE206" s="64">
        <f t="shared" si="48"/>
        <v>2868349337.7692547</v>
      </c>
      <c r="BF206" s="65">
        <f t="shared" si="49"/>
        <v>216242847.42864034</v>
      </c>
      <c r="BG206" s="66">
        <f t="shared" si="50"/>
        <v>1823368740.8000793</v>
      </c>
    </row>
    <row r="207" spans="43:59" x14ac:dyDescent="0.25">
      <c r="AQ207" s="7">
        <v>192</v>
      </c>
      <c r="AR207" s="58">
        <f t="shared" si="51"/>
        <v>96</v>
      </c>
      <c r="AS207" s="58">
        <f t="shared" si="52"/>
        <v>-30049.70707199927</v>
      </c>
      <c r="AT207" s="58">
        <f t="shared" si="53"/>
        <v>17159.473195457118</v>
      </c>
      <c r="AU207" s="58">
        <f t="shared" si="54"/>
        <v>5315.484475997745</v>
      </c>
      <c r="AV207" s="58">
        <f t="shared" si="55"/>
        <v>-984.50252048241737</v>
      </c>
      <c r="AW207" s="58">
        <f t="shared" si="41"/>
        <v>996.50594815390059</v>
      </c>
      <c r="AX207" s="58">
        <f t="shared" si="56"/>
        <v>-714.16010695278464</v>
      </c>
      <c r="AY207" s="33">
        <f t="shared" si="42"/>
        <v>186.96916079663077</v>
      </c>
      <c r="AZ207" s="33">
        <f t="shared" si="43"/>
        <v>-36.084598746883813</v>
      </c>
      <c r="BA207" s="39">
        <f t="shared" si="44"/>
        <v>632.16027280310925</v>
      </c>
      <c r="BB207" s="39">
        <f t="shared" si="45"/>
        <v>-450.35487063866623</v>
      </c>
      <c r="BC207" s="45">
        <f t="shared" si="46"/>
        <v>177.37651455416062</v>
      </c>
      <c r="BD207" s="45">
        <f t="shared" si="47"/>
        <v>-227.72063756723455</v>
      </c>
      <c r="BE207" s="64">
        <f t="shared" si="48"/>
        <v>2598278600.4066882</v>
      </c>
      <c r="BF207" s="65">
        <f t="shared" si="49"/>
        <v>152254668.6694611</v>
      </c>
      <c r="BG207" s="66">
        <f t="shared" si="50"/>
        <v>1661719540.6022949</v>
      </c>
    </row>
    <row r="208" spans="43:59" x14ac:dyDescent="0.25">
      <c r="AQ208" s="7">
        <v>193</v>
      </c>
      <c r="AR208" s="58">
        <f t="shared" si="51"/>
        <v>96.5</v>
      </c>
      <c r="AS208" s="58">
        <f t="shared" si="52"/>
        <v>-27267.40159048116</v>
      </c>
      <c r="AT208" s="58">
        <f t="shared" si="53"/>
        <v>16577.951921846809</v>
      </c>
      <c r="AU208" s="58">
        <f t="shared" si="54"/>
        <v>5813.7374500746955</v>
      </c>
      <c r="AV208" s="58">
        <f t="shared" si="55"/>
        <v>-1341.5825739588097</v>
      </c>
      <c r="AW208" s="58">
        <f t="shared" ref="AW208:AW271" si="57">(AY208+BA208+BC208)</f>
        <v>1138.5660752282383</v>
      </c>
      <c r="AX208" s="58">
        <f t="shared" si="56"/>
        <v>-976.06836222922391</v>
      </c>
      <c r="AY208" s="33">
        <f t="shared" ref="AY208:AY271" si="58">$H$27*(($H$23-AS208)/(BE208+$H$28^2)^(3/2))</f>
        <v>208.32853317667232</v>
      </c>
      <c r="AZ208" s="33">
        <f t="shared" ref="AZ208:AZ271" si="59">$H$27*(($I$23-AT208)/(BE208+$H$28^2)^(3/2))</f>
        <v>-40.010585403271953</v>
      </c>
      <c r="BA208" s="39">
        <f t="shared" ref="BA208:BA271" si="60">$H$35*(($H$31-AS208)/(BF208+$H$36^2)^(3/2))</f>
        <v>746.8614243011674</v>
      </c>
      <c r="BB208" s="39">
        <f t="shared" ref="BB208:BB271" si="61">$H$35*(($I$31-AT208)/(BF208+$H$36^2)^(3/2))</f>
        <v>-676.00757714695658</v>
      </c>
      <c r="BC208" s="45">
        <f t="shared" ref="BC208:BC271" si="62">$H$43*(($H$39-AS208)/(BG208+$H$44^2)^(3/2))</f>
        <v>183.37611775039855</v>
      </c>
      <c r="BD208" s="45">
        <f t="shared" ref="BD208:BD271" si="63">$H$43*(($I$39-AT208)/(BG208+$H$44^2)^(3/2))</f>
        <v>-260.05019967899534</v>
      </c>
      <c r="BE208" s="64">
        <f t="shared" ref="BE208:BE271" si="64">($H$23-AS208)^2+($I$23-AT208)^2</f>
        <v>2316616464.2111831</v>
      </c>
      <c r="BF208" s="65">
        <f t="shared" ref="BF208:BF271" si="65">($H$31-AS208)^2+($I$31-AT208)^2</f>
        <v>96084577.363456219</v>
      </c>
      <c r="BG208" s="66">
        <f t="shared" ref="BG208:BG271" si="66">($H$39-AS208)^2+($I$39-AT208)^2</f>
        <v>1493004221.1702313</v>
      </c>
    </row>
    <row r="209" spans="43:59" x14ac:dyDescent="0.25">
      <c r="AQ209" s="7">
        <v>194</v>
      </c>
      <c r="AR209" s="58">
        <f t="shared" ref="AR209:AR272" si="67">AR208+$H$9</f>
        <v>97</v>
      </c>
      <c r="AS209" s="58">
        <f t="shared" ref="AS209:AS272" si="68">AS208+(AU208*$H$9)+(AW208*$H$9^2)*(1/2)</f>
        <v>-24218.212106040282</v>
      </c>
      <c r="AT209" s="58">
        <f t="shared" ref="AT209:AT272" si="69">AT208+(AV208*$H$9)+(AX208*$H$9^2)*(1/2)</f>
        <v>15785.15208958875</v>
      </c>
      <c r="AU209" s="58">
        <f t="shared" ref="AU209:AU272" si="70">AU208+AW208*$H$9</f>
        <v>6383.0204876888147</v>
      </c>
      <c r="AV209" s="58">
        <f t="shared" ref="AV209:AV272" si="71">AV208+AX208*$H$9</f>
        <v>-1829.6167550734217</v>
      </c>
      <c r="AW209" s="58">
        <f t="shared" si="57"/>
        <v>1179.78236026228</v>
      </c>
      <c r="AX209" s="58">
        <f t="shared" ref="AX209:AX272" si="72">(AZ209+BB209+BD209)</f>
        <v>-1381.4144625681897</v>
      </c>
      <c r="AY209" s="33">
        <f t="shared" si="58"/>
        <v>236.53779039362382</v>
      </c>
      <c r="AZ209" s="33">
        <f t="shared" si="59"/>
        <v>-44.320009222596596</v>
      </c>
      <c r="BA209" s="39">
        <f t="shared" si="60"/>
        <v>754.60759414883398</v>
      </c>
      <c r="BB209" s="39">
        <f t="shared" si="61"/>
        <v>-1034.9218081894094</v>
      </c>
      <c r="BC209" s="45">
        <f t="shared" si="62"/>
        <v>188.63697571982217</v>
      </c>
      <c r="BD209" s="45">
        <f t="shared" si="63"/>
        <v>-302.17264515618382</v>
      </c>
      <c r="BE209" s="64">
        <f t="shared" si="64"/>
        <v>2023894027.0023847</v>
      </c>
      <c r="BF209" s="65">
        <f t="shared" si="65"/>
        <v>51261298.071217872</v>
      </c>
      <c r="BG209" s="66">
        <f t="shared" si="66"/>
        <v>1317065265.731864</v>
      </c>
    </row>
    <row r="210" spans="43:59" x14ac:dyDescent="0.25">
      <c r="AQ210" s="7">
        <v>195</v>
      </c>
      <c r="AR210" s="58">
        <f t="shared" si="67"/>
        <v>97.5</v>
      </c>
      <c r="AS210" s="58">
        <f t="shared" si="68"/>
        <v>-20879.229067163091</v>
      </c>
      <c r="AT210" s="58">
        <f t="shared" si="69"/>
        <v>14697.666904231015</v>
      </c>
      <c r="AU210" s="58">
        <f t="shared" si="70"/>
        <v>6972.9116678199543</v>
      </c>
      <c r="AV210" s="58">
        <f t="shared" si="71"/>
        <v>-2520.3239863575163</v>
      </c>
      <c r="AW210" s="58">
        <f t="shared" si="57"/>
        <v>726.11022155736691</v>
      </c>
      <c r="AX210" s="58">
        <f t="shared" si="72"/>
        <v>-1792.6194909947073</v>
      </c>
      <c r="AY210" s="33">
        <f t="shared" si="58"/>
        <v>275.0114010721116</v>
      </c>
      <c r="AZ210" s="33">
        <f t="shared" si="59"/>
        <v>-48.42166804395432</v>
      </c>
      <c r="BA210" s="39">
        <f t="shared" si="60"/>
        <v>259.31948799865546</v>
      </c>
      <c r="BB210" s="39">
        <f t="shared" si="61"/>
        <v>-1385.5280971590635</v>
      </c>
      <c r="BC210" s="45">
        <f t="shared" si="62"/>
        <v>191.77933248659986</v>
      </c>
      <c r="BD210" s="45">
        <f t="shared" si="63"/>
        <v>-358.66972579168959</v>
      </c>
      <c r="BE210" s="64">
        <f t="shared" si="64"/>
        <v>1722917777.9898543</v>
      </c>
      <c r="BF210" s="65">
        <f t="shared" si="65"/>
        <v>22841118.095651887</v>
      </c>
      <c r="BG210" s="66">
        <f t="shared" si="66"/>
        <v>1134101335.3220954</v>
      </c>
    </row>
    <row r="211" spans="43:59" x14ac:dyDescent="0.25">
      <c r="AQ211" s="7">
        <v>196</v>
      </c>
      <c r="AR211" s="58">
        <f t="shared" si="67"/>
        <v>98</v>
      </c>
      <c r="AS211" s="58">
        <f t="shared" si="68"/>
        <v>-17302.00945555844</v>
      </c>
      <c r="AT211" s="58">
        <f t="shared" si="69"/>
        <v>13213.427474677917</v>
      </c>
      <c r="AU211" s="58">
        <f t="shared" si="70"/>
        <v>7335.9667785986376</v>
      </c>
      <c r="AV211" s="58">
        <f t="shared" si="71"/>
        <v>-3416.6337318548699</v>
      </c>
      <c r="AW211" s="58">
        <f t="shared" si="57"/>
        <v>-373.09525738589582</v>
      </c>
      <c r="AX211" s="58">
        <f t="shared" si="72"/>
        <v>-1547.8078146160074</v>
      </c>
      <c r="AY211" s="33">
        <f t="shared" si="58"/>
        <v>328.25991460925189</v>
      </c>
      <c r="AZ211" s="33">
        <f t="shared" si="59"/>
        <v>-50.278503553498425</v>
      </c>
      <c r="BA211" s="39">
        <f t="shared" si="60"/>
        <v>-891.39518649059175</v>
      </c>
      <c r="BB211" s="39">
        <f t="shared" si="61"/>
        <v>-1061.6915574318311</v>
      </c>
      <c r="BC211" s="45">
        <f t="shared" si="62"/>
        <v>190.04001449544396</v>
      </c>
      <c r="BD211" s="45">
        <f t="shared" si="63"/>
        <v>-435.83775363067787</v>
      </c>
      <c r="BE211" s="64">
        <f t="shared" si="64"/>
        <v>1424083162.9309754</v>
      </c>
      <c r="BF211" s="65">
        <f t="shared" si="65"/>
        <v>17605269.112910964</v>
      </c>
      <c r="BG211" s="66">
        <f t="shared" si="66"/>
        <v>947336926.51356018</v>
      </c>
    </row>
    <row r="212" spans="43:59" x14ac:dyDescent="0.25">
      <c r="AQ212" s="7">
        <v>197</v>
      </c>
      <c r="AR212" s="58">
        <f t="shared" si="67"/>
        <v>98.5</v>
      </c>
      <c r="AS212" s="58">
        <f t="shared" si="68"/>
        <v>-13680.662973432358</v>
      </c>
      <c r="AT212" s="58">
        <f t="shared" si="69"/>
        <v>11311.634631923482</v>
      </c>
      <c r="AU212" s="58">
        <f t="shared" si="70"/>
        <v>7149.4191499056897</v>
      </c>
      <c r="AV212" s="58">
        <f t="shared" si="71"/>
        <v>-4190.5376391628733</v>
      </c>
      <c r="AW212" s="58">
        <f t="shared" si="57"/>
        <v>-737.46607856756248</v>
      </c>
      <c r="AX212" s="58">
        <f t="shared" si="72"/>
        <v>-857.17470080852081</v>
      </c>
      <c r="AY212" s="33">
        <f t="shared" si="58"/>
        <v>399.55779667939356</v>
      </c>
      <c r="AZ212" s="33">
        <f t="shared" si="59"/>
        <v>-45.21788470967897</v>
      </c>
      <c r="BA212" s="39">
        <f t="shared" si="60"/>
        <v>-1314.8641562173673</v>
      </c>
      <c r="BB212" s="39">
        <f t="shared" si="61"/>
        <v>-272.91175582484749</v>
      </c>
      <c r="BC212" s="45">
        <f t="shared" si="62"/>
        <v>177.84028097041133</v>
      </c>
      <c r="BD212" s="45">
        <f t="shared" si="63"/>
        <v>-539.04506027399441</v>
      </c>
      <c r="BE212" s="64">
        <f t="shared" si="64"/>
        <v>1148915616.8972158</v>
      </c>
      <c r="BF212" s="65">
        <f t="shared" si="65"/>
        <v>41654405.863009818</v>
      </c>
      <c r="BG212" s="66">
        <f t="shared" si="66"/>
        <v>767656026.66215456</v>
      </c>
    </row>
    <row r="213" spans="43:59" x14ac:dyDescent="0.25">
      <c r="AQ213" s="7">
        <v>198</v>
      </c>
      <c r="AR213" s="58">
        <f t="shared" si="67"/>
        <v>99</v>
      </c>
      <c r="AS213" s="58">
        <f t="shared" si="68"/>
        <v>-10198.136658300458</v>
      </c>
      <c r="AT213" s="58">
        <f t="shared" si="69"/>
        <v>9109.2189747409793</v>
      </c>
      <c r="AU213" s="58">
        <f t="shared" si="70"/>
        <v>6780.6861106219085</v>
      </c>
      <c r="AV213" s="58">
        <f t="shared" si="71"/>
        <v>-4619.1249895671335</v>
      </c>
      <c r="AW213" s="58">
        <f t="shared" si="57"/>
        <v>-365.4913477430481</v>
      </c>
      <c r="AX213" s="58">
        <f t="shared" si="72"/>
        <v>-604.96674627782022</v>
      </c>
      <c r="AY213" s="33">
        <f t="shared" si="58"/>
        <v>489.31637245047841</v>
      </c>
      <c r="AZ213" s="33">
        <f t="shared" si="59"/>
        <v>-26.075025757667056</v>
      </c>
      <c r="BA213" s="39">
        <f t="shared" si="60"/>
        <v>-999.19980496016422</v>
      </c>
      <c r="BB213" s="39">
        <f t="shared" si="61"/>
        <v>90.806022862455023</v>
      </c>
      <c r="BC213" s="45">
        <f t="shared" si="62"/>
        <v>144.39208476663768</v>
      </c>
      <c r="BD213" s="45">
        <f t="shared" si="63"/>
        <v>-669.69774338260822</v>
      </c>
      <c r="BE213" s="64">
        <f t="shared" si="64"/>
        <v>914517043.34205627</v>
      </c>
      <c r="BF213" s="65">
        <f t="shared" si="65"/>
        <v>96870015.804314822</v>
      </c>
      <c r="BG213" s="66">
        <f t="shared" si="66"/>
        <v>608275064.29037762</v>
      </c>
    </row>
    <row r="214" spans="43:59" x14ac:dyDescent="0.25">
      <c r="AQ214" s="7">
        <v>199</v>
      </c>
      <c r="AR214" s="58">
        <f t="shared" si="67"/>
        <v>99.5</v>
      </c>
      <c r="AS214" s="58">
        <f t="shared" si="68"/>
        <v>-6853.4800214573852</v>
      </c>
      <c r="AT214" s="58">
        <f t="shared" si="69"/>
        <v>6724.0356366726846</v>
      </c>
      <c r="AU214" s="58">
        <f t="shared" si="70"/>
        <v>6597.9404367503848</v>
      </c>
      <c r="AV214" s="58">
        <f t="shared" si="71"/>
        <v>-4921.6083627060434</v>
      </c>
      <c r="AW214" s="58">
        <f t="shared" si="57"/>
        <v>1.5216956937560298</v>
      </c>
      <c r="AX214" s="58">
        <f t="shared" si="72"/>
        <v>-641.03549739586185</v>
      </c>
      <c r="AY214" s="33">
        <f t="shared" si="58"/>
        <v>596.92551396660758</v>
      </c>
      <c r="AZ214" s="33">
        <f t="shared" si="59"/>
        <v>17.24889757412495</v>
      </c>
      <c r="BA214" s="39">
        <f t="shared" si="60"/>
        <v>-665.72185154913893</v>
      </c>
      <c r="BB214" s="39">
        <f t="shared" si="61"/>
        <v>165.89036985626842</v>
      </c>
      <c r="BC214" s="45">
        <f t="shared" si="62"/>
        <v>70.31803327628738</v>
      </c>
      <c r="BD214" s="45">
        <f t="shared" si="63"/>
        <v>-824.17476482625523</v>
      </c>
      <c r="BE214" s="64">
        <f t="shared" si="64"/>
        <v>721711509.9559648</v>
      </c>
      <c r="BF214" s="65">
        <f t="shared" si="65"/>
        <v>183562930.05601066</v>
      </c>
      <c r="BG214" s="66">
        <f t="shared" si="66"/>
        <v>475369112.53336644</v>
      </c>
    </row>
    <row r="215" spans="43:59" x14ac:dyDescent="0.25">
      <c r="AQ215" s="7">
        <v>200</v>
      </c>
      <c r="AR215" s="58">
        <f t="shared" si="67"/>
        <v>100</v>
      </c>
      <c r="AS215" s="58">
        <f t="shared" si="68"/>
        <v>-3554.3195911204734</v>
      </c>
      <c r="AT215" s="58">
        <f t="shared" si="69"/>
        <v>4183.1020181451804</v>
      </c>
      <c r="AU215" s="58">
        <f t="shared" si="70"/>
        <v>6598.7012845972631</v>
      </c>
      <c r="AV215" s="58">
        <f t="shared" si="71"/>
        <v>-5242.1261114039744</v>
      </c>
      <c r="AW215" s="58">
        <f t="shared" si="57"/>
        <v>198.83077734162822</v>
      </c>
      <c r="AX215" s="58">
        <f t="shared" si="72"/>
        <v>-727.09628959598626</v>
      </c>
      <c r="AY215" s="33">
        <f t="shared" si="58"/>
        <v>717.87013111218698</v>
      </c>
      <c r="AZ215" s="33">
        <f t="shared" si="59"/>
        <v>101.08982260805773</v>
      </c>
      <c r="BA215" s="39">
        <f t="shared" si="60"/>
        <v>-444.76971291179899</v>
      </c>
      <c r="BB215" s="39">
        <f t="shared" si="61"/>
        <v>157.3166923534458</v>
      </c>
      <c r="BC215" s="45">
        <f t="shared" si="62"/>
        <v>-74.269640858759757</v>
      </c>
      <c r="BD215" s="45">
        <f t="shared" si="63"/>
        <v>-985.50280455748987</v>
      </c>
      <c r="BE215" s="64">
        <f t="shared" si="64"/>
        <v>565807783.62267435</v>
      </c>
      <c r="BF215" s="65">
        <f t="shared" si="65"/>
        <v>304296706.24231046</v>
      </c>
      <c r="BG215" s="66">
        <f t="shared" si="66"/>
        <v>370081394.88318384</v>
      </c>
    </row>
    <row r="216" spans="43:59" x14ac:dyDescent="0.25">
      <c r="AQ216" s="7">
        <v>201</v>
      </c>
      <c r="AR216" s="58">
        <f t="shared" si="67"/>
        <v>100.5</v>
      </c>
      <c r="AS216" s="58">
        <f t="shared" si="68"/>
        <v>-230.11510165413836</v>
      </c>
      <c r="AT216" s="58">
        <f t="shared" si="69"/>
        <v>1471.151926243695</v>
      </c>
      <c r="AU216" s="58">
        <f t="shared" si="70"/>
        <v>6698.1166732680776</v>
      </c>
      <c r="AV216" s="58">
        <f t="shared" si="71"/>
        <v>-5605.6742562019672</v>
      </c>
      <c r="AW216" s="58">
        <f t="shared" si="57"/>
        <v>205.92195934365816</v>
      </c>
      <c r="AX216" s="58">
        <f t="shared" si="72"/>
        <v>-722.85998960145935</v>
      </c>
      <c r="AY216" s="33">
        <f t="shared" si="58"/>
        <v>831.15109561301108</v>
      </c>
      <c r="AZ216" s="33">
        <f t="shared" si="59"/>
        <v>247.69427443233991</v>
      </c>
      <c r="BA216" s="39">
        <f t="shared" si="60"/>
        <v>-305.94418250546858</v>
      </c>
      <c r="BB216" s="39">
        <f t="shared" si="61"/>
        <v>131.9861731646721</v>
      </c>
      <c r="BC216" s="45">
        <f t="shared" si="62"/>
        <v>-319.28495376388435</v>
      </c>
      <c r="BD216" s="45">
        <f t="shared" si="63"/>
        <v>-1102.5404371984714</v>
      </c>
      <c r="BE216" s="64">
        <f t="shared" si="64"/>
        <v>445604566.12260991</v>
      </c>
      <c r="BF216" s="65">
        <f t="shared" si="65"/>
        <v>463589598.35906047</v>
      </c>
      <c r="BG216" s="66">
        <f t="shared" si="66"/>
        <v>294050647.7208693</v>
      </c>
    </row>
    <row r="217" spans="43:59" x14ac:dyDescent="0.25">
      <c r="AQ217" s="7">
        <v>202</v>
      </c>
      <c r="AR217" s="58">
        <f t="shared" si="67"/>
        <v>101</v>
      </c>
      <c r="AS217" s="58">
        <f t="shared" si="68"/>
        <v>3144.6834798978575</v>
      </c>
      <c r="AT217" s="58">
        <f t="shared" si="69"/>
        <v>-1422.0427005574711</v>
      </c>
      <c r="AU217" s="58">
        <f t="shared" si="70"/>
        <v>6801.0776529399063</v>
      </c>
      <c r="AV217" s="58">
        <f t="shared" si="71"/>
        <v>-5967.1042510026964</v>
      </c>
      <c r="AW217" s="58">
        <f t="shared" si="57"/>
        <v>17.146123604943</v>
      </c>
      <c r="AX217" s="58">
        <f t="shared" si="72"/>
        <v>-507.41166177639661</v>
      </c>
      <c r="AY217" s="33">
        <f t="shared" si="58"/>
        <v>883.83971277179819</v>
      </c>
      <c r="AZ217" s="33">
        <f t="shared" si="59"/>
        <v>467.84381939038462</v>
      </c>
      <c r="BA217" s="39">
        <f t="shared" si="60"/>
        <v>-217.34912673942503</v>
      </c>
      <c r="BB217" s="39">
        <f t="shared" si="61"/>
        <v>107.26312194776001</v>
      </c>
      <c r="BC217" s="45">
        <f t="shared" si="62"/>
        <v>-649.34446242743013</v>
      </c>
      <c r="BD217" s="45">
        <f t="shared" si="63"/>
        <v>-1082.5186031145413</v>
      </c>
      <c r="BE217" s="64">
        <f t="shared" si="64"/>
        <v>363704540.94339907</v>
      </c>
      <c r="BF217" s="65">
        <f t="shared" si="65"/>
        <v>666139432.83801496</v>
      </c>
      <c r="BG217" s="66">
        <f t="shared" si="66"/>
        <v>250696793.41320574</v>
      </c>
    </row>
    <row r="218" spans="43:59" x14ac:dyDescent="0.25">
      <c r="AQ218" s="7">
        <v>203</v>
      </c>
      <c r="AR218" s="58">
        <f t="shared" si="67"/>
        <v>101.5</v>
      </c>
      <c r="AS218" s="58">
        <f t="shared" si="68"/>
        <v>6547.3655718184282</v>
      </c>
      <c r="AT218" s="58">
        <f t="shared" si="69"/>
        <v>-4469.0212837808685</v>
      </c>
      <c r="AU218" s="58">
        <f t="shared" si="70"/>
        <v>6809.6507147423781</v>
      </c>
      <c r="AV218" s="58">
        <f t="shared" si="71"/>
        <v>-6220.8100818908952</v>
      </c>
      <c r="AW218" s="58">
        <f t="shared" si="57"/>
        <v>-300.02503928772751</v>
      </c>
      <c r="AX218" s="58">
        <f t="shared" si="72"/>
        <v>-59.153691078982661</v>
      </c>
      <c r="AY218" s="33">
        <f t="shared" si="58"/>
        <v>806.12539360839094</v>
      </c>
      <c r="AZ218" s="33">
        <f t="shared" si="59"/>
        <v>717.22249236793368</v>
      </c>
      <c r="BA218" s="39">
        <f t="shared" si="60"/>
        <v>-159.51327072868682</v>
      </c>
      <c r="BB218" s="39">
        <f t="shared" si="61"/>
        <v>86.938980931085183</v>
      </c>
      <c r="BC218" s="45">
        <f t="shared" si="62"/>
        <v>-946.6371621674316</v>
      </c>
      <c r="BD218" s="45">
        <f t="shared" si="63"/>
        <v>-863.31516437800155</v>
      </c>
      <c r="BE218" s="64">
        <f t="shared" si="64"/>
        <v>324230843.54989558</v>
      </c>
      <c r="BF218" s="65">
        <f t="shared" si="65"/>
        <v>914115195.71427405</v>
      </c>
      <c r="BG218" s="66">
        <f t="shared" si="66"/>
        <v>244243164.37067786</v>
      </c>
    </row>
    <row r="219" spans="43:59" x14ac:dyDescent="0.25">
      <c r="AQ219" s="7">
        <v>204</v>
      </c>
      <c r="AR219" s="58">
        <f t="shared" si="67"/>
        <v>102</v>
      </c>
      <c r="AS219" s="58">
        <f t="shared" si="68"/>
        <v>9914.6877992786522</v>
      </c>
      <c r="AT219" s="58">
        <f t="shared" si="69"/>
        <v>-7586.8205361111886</v>
      </c>
      <c r="AU219" s="58">
        <f t="shared" si="70"/>
        <v>6659.6381950985142</v>
      </c>
      <c r="AV219" s="58">
        <f t="shared" si="71"/>
        <v>-6250.3869274303861</v>
      </c>
      <c r="AW219" s="58">
        <f t="shared" si="57"/>
        <v>-592.61873185472336</v>
      </c>
      <c r="AX219" s="58">
        <f t="shared" si="72"/>
        <v>429.78928081101014</v>
      </c>
      <c r="AY219" s="33">
        <f t="shared" si="58"/>
        <v>593.61883919576439</v>
      </c>
      <c r="AZ219" s="33">
        <f t="shared" si="59"/>
        <v>888.00631210609231</v>
      </c>
      <c r="BA219" s="39">
        <f t="shared" si="60"/>
        <v>-121.10289849378479</v>
      </c>
      <c r="BB219" s="39">
        <f t="shared" si="61"/>
        <v>71.19629516121644</v>
      </c>
      <c r="BC219" s="45">
        <f t="shared" si="62"/>
        <v>-1065.134672556703</v>
      </c>
      <c r="BD219" s="45">
        <f t="shared" si="63"/>
        <v>-529.41332645629859</v>
      </c>
      <c r="BE219" s="64">
        <f t="shared" si="64"/>
        <v>329325676.07484514</v>
      </c>
      <c r="BF219" s="65">
        <f t="shared" si="65"/>
        <v>1204184802.6976933</v>
      </c>
      <c r="BG219" s="66">
        <f t="shared" si="66"/>
        <v>277403141.91377431</v>
      </c>
    </row>
    <row r="220" spans="43:59" x14ac:dyDescent="0.25">
      <c r="AQ220" s="7">
        <v>205</v>
      </c>
      <c r="AR220" s="58">
        <f t="shared" si="67"/>
        <v>102.5</v>
      </c>
      <c r="AS220" s="58">
        <f t="shared" si="68"/>
        <v>13170.429555346069</v>
      </c>
      <c r="AT220" s="58">
        <f t="shared" si="69"/>
        <v>-10658.290339725007</v>
      </c>
      <c r="AU220" s="58">
        <f t="shared" si="70"/>
        <v>6363.3288291711524</v>
      </c>
      <c r="AV220" s="58">
        <f t="shared" si="71"/>
        <v>-6035.4922870248811</v>
      </c>
      <c r="AW220" s="58">
        <f t="shared" si="57"/>
        <v>-751.21102556141818</v>
      </c>
      <c r="AX220" s="58">
        <f t="shared" si="72"/>
        <v>734.82238336870705</v>
      </c>
      <c r="AY220" s="33">
        <f t="shared" si="58"/>
        <v>343.93798062485661</v>
      </c>
      <c r="AZ220" s="33">
        <f t="shared" si="59"/>
        <v>914.45366317783441</v>
      </c>
      <c r="BA220" s="39">
        <f t="shared" si="60"/>
        <v>-95.212070679180883</v>
      </c>
      <c r="BB220" s="39">
        <f t="shared" si="61"/>
        <v>59.297350872561395</v>
      </c>
      <c r="BC220" s="45">
        <f t="shared" si="62"/>
        <v>-999.93693550709395</v>
      </c>
      <c r="BD220" s="45">
        <f t="shared" si="63"/>
        <v>-238.92863068168876</v>
      </c>
      <c r="BE220" s="64">
        <f t="shared" si="64"/>
        <v>376366540.5202409</v>
      </c>
      <c r="BF220" s="65">
        <f t="shared" si="65"/>
        <v>1527042356.6465516</v>
      </c>
      <c r="BG220" s="66">
        <f t="shared" si="66"/>
        <v>349014952.99991918</v>
      </c>
    </row>
    <row r="221" spans="43:59" x14ac:dyDescent="0.25">
      <c r="AQ221" s="7">
        <v>206</v>
      </c>
      <c r="AR221" s="58">
        <f t="shared" si="67"/>
        <v>103</v>
      </c>
      <c r="AS221" s="58">
        <f t="shared" si="68"/>
        <v>16258.192591736466</v>
      </c>
      <c r="AT221" s="58">
        <f t="shared" si="69"/>
        <v>-13584.183685316359</v>
      </c>
      <c r="AU221" s="58">
        <f t="shared" si="70"/>
        <v>5987.723316390443</v>
      </c>
      <c r="AV221" s="58">
        <f t="shared" si="71"/>
        <v>-5668.0810953405271</v>
      </c>
      <c r="AW221" s="58">
        <f t="shared" si="57"/>
        <v>-782.79580970162442</v>
      </c>
      <c r="AX221" s="58">
        <f t="shared" si="72"/>
        <v>829.80041722414217</v>
      </c>
      <c r="AY221" s="33">
        <f t="shared" si="58"/>
        <v>148.42055618015567</v>
      </c>
      <c r="AZ221" s="33">
        <f t="shared" si="59"/>
        <v>836.31409309530704</v>
      </c>
      <c r="BA221" s="39">
        <f t="shared" si="60"/>
        <v>-77.40893196874525</v>
      </c>
      <c r="BB221" s="39">
        <f t="shared" si="61"/>
        <v>50.35073013681108</v>
      </c>
      <c r="BC221" s="45">
        <f t="shared" si="62"/>
        <v>-853.80743391303486</v>
      </c>
      <c r="BD221" s="45">
        <f t="shared" si="63"/>
        <v>-56.864406007975987</v>
      </c>
      <c r="BE221" s="64">
        <f t="shared" si="64"/>
        <v>458543924.35669637</v>
      </c>
      <c r="BF221" s="65">
        <f t="shared" si="65"/>
        <v>1870870250.1221952</v>
      </c>
      <c r="BG221" s="66">
        <f t="shared" si="66"/>
        <v>453915288.10428345</v>
      </c>
    </row>
    <row r="222" spans="43:59" x14ac:dyDescent="0.25">
      <c r="AQ222" s="7">
        <v>207</v>
      </c>
      <c r="AR222" s="58">
        <f t="shared" si="67"/>
        <v>103.5</v>
      </c>
      <c r="AS222" s="58">
        <f t="shared" si="68"/>
        <v>19154.204773718982</v>
      </c>
      <c r="AT222" s="58">
        <f t="shared" si="69"/>
        <v>-16314.499180833602</v>
      </c>
      <c r="AU222" s="58">
        <f t="shared" si="70"/>
        <v>5596.3254115396303</v>
      </c>
      <c r="AV222" s="58">
        <f t="shared" si="71"/>
        <v>-5253.1808867284562</v>
      </c>
      <c r="AW222" s="58">
        <f t="shared" si="57"/>
        <v>-744.36067148208144</v>
      </c>
      <c r="AX222" s="58">
        <f t="shared" si="72"/>
        <v>804.4245417832318</v>
      </c>
      <c r="AY222" s="33">
        <f t="shared" si="58"/>
        <v>25.659583991366212</v>
      </c>
      <c r="AZ222" s="33">
        <f t="shared" si="59"/>
        <v>722.48000811001509</v>
      </c>
      <c r="BA222" s="39">
        <f t="shared" si="60"/>
        <v>-64.824759709045225</v>
      </c>
      <c r="BB222" s="39">
        <f t="shared" si="61"/>
        <v>43.566996089431257</v>
      </c>
      <c r="BC222" s="45">
        <f t="shared" si="62"/>
        <v>-705.19549576440238</v>
      </c>
      <c r="BD222" s="45">
        <f t="shared" si="63"/>
        <v>38.377537583785546</v>
      </c>
      <c r="BE222" s="64">
        <f t="shared" si="64"/>
        <v>567845740.79872406</v>
      </c>
      <c r="BF222" s="65">
        <f t="shared" si="65"/>
        <v>2225504618.6004109</v>
      </c>
      <c r="BG222" s="66">
        <f t="shared" si="66"/>
        <v>585153516.34716105</v>
      </c>
    </row>
    <row r="223" spans="43:59" x14ac:dyDescent="0.25">
      <c r="AQ223" s="7">
        <v>208</v>
      </c>
      <c r="AR223" s="58">
        <f t="shared" si="67"/>
        <v>104</v>
      </c>
      <c r="AS223" s="58">
        <f t="shared" si="68"/>
        <v>21859.32239555354</v>
      </c>
      <c r="AT223" s="58">
        <f t="shared" si="69"/>
        <v>-18840.536556474926</v>
      </c>
      <c r="AU223" s="58">
        <f t="shared" si="70"/>
        <v>5224.1450757985895</v>
      </c>
      <c r="AV223" s="58">
        <f t="shared" si="71"/>
        <v>-4850.9686158368404</v>
      </c>
      <c r="AW223" s="58">
        <f t="shared" si="57"/>
        <v>-680.52209692606175</v>
      </c>
      <c r="AX223" s="58">
        <f t="shared" si="72"/>
        <v>734.14485121676728</v>
      </c>
      <c r="AY223" s="33">
        <f t="shared" si="58"/>
        <v>-43.245034223558029</v>
      </c>
      <c r="AZ223" s="33">
        <f t="shared" si="59"/>
        <v>612.6411468907836</v>
      </c>
      <c r="BA223" s="39">
        <f t="shared" si="60"/>
        <v>-55.643410286473426</v>
      </c>
      <c r="BB223" s="39">
        <f t="shared" si="61"/>
        <v>38.337596421877016</v>
      </c>
      <c r="BC223" s="45">
        <f t="shared" si="62"/>
        <v>-581.63365241603026</v>
      </c>
      <c r="BD223" s="45">
        <f t="shared" si="63"/>
        <v>83.166107904106681</v>
      </c>
      <c r="BE223" s="64">
        <f t="shared" si="64"/>
        <v>697280945.85359895</v>
      </c>
      <c r="BF223" s="65">
        <f t="shared" si="65"/>
        <v>2583979420.2802563</v>
      </c>
      <c r="BG223" s="66">
        <f t="shared" si="66"/>
        <v>736172920.58990419</v>
      </c>
    </row>
    <row r="224" spans="43:59" x14ac:dyDescent="0.25">
      <c r="AQ224" s="7">
        <v>209</v>
      </c>
      <c r="AR224" s="58">
        <f t="shared" si="67"/>
        <v>104.5</v>
      </c>
      <c r="AS224" s="58">
        <f t="shared" si="68"/>
        <v>24386.329671337076</v>
      </c>
      <c r="AT224" s="58">
        <f t="shared" si="69"/>
        <v>-21174.252757991253</v>
      </c>
      <c r="AU224" s="58">
        <f t="shared" si="70"/>
        <v>4883.8840273355581</v>
      </c>
      <c r="AV224" s="58">
        <f t="shared" si="71"/>
        <v>-4483.8961902284564</v>
      </c>
      <c r="AW224" s="58">
        <f t="shared" si="57"/>
        <v>-613.58576077232919</v>
      </c>
      <c r="AX224" s="58">
        <f t="shared" si="72"/>
        <v>655.94953693655054</v>
      </c>
      <c r="AY224" s="33">
        <f t="shared" si="58"/>
        <v>-79.506413345584591</v>
      </c>
      <c r="AZ224" s="33">
        <f t="shared" si="59"/>
        <v>519.74820931726242</v>
      </c>
      <c r="BA224" s="39">
        <f t="shared" si="60"/>
        <v>-48.732831832998315</v>
      </c>
      <c r="BB224" s="39">
        <f t="shared" si="61"/>
        <v>34.226970971100968</v>
      </c>
      <c r="BC224" s="45">
        <f t="shared" si="62"/>
        <v>-485.34651559374623</v>
      </c>
      <c r="BD224" s="45">
        <f t="shared" si="63"/>
        <v>101.97435664818718</v>
      </c>
      <c r="BE224" s="64">
        <f t="shared" si="64"/>
        <v>841452659.21482098</v>
      </c>
      <c r="BF224" s="65">
        <f t="shared" si="65"/>
        <v>2941980296.7117434</v>
      </c>
      <c r="BG224" s="66">
        <f t="shared" si="66"/>
        <v>901677768.67206848</v>
      </c>
    </row>
    <row r="225" spans="43:59" x14ac:dyDescent="0.25">
      <c r="AQ225" s="7">
        <v>210</v>
      </c>
      <c r="AR225" s="58">
        <f t="shared" si="67"/>
        <v>105</v>
      </c>
      <c r="AS225" s="58">
        <f t="shared" si="68"/>
        <v>26751.573464908317</v>
      </c>
      <c r="AT225" s="58">
        <f t="shared" si="69"/>
        <v>-23334.207160988411</v>
      </c>
      <c r="AU225" s="58">
        <f t="shared" si="70"/>
        <v>4577.0911469493931</v>
      </c>
      <c r="AV225" s="58">
        <f t="shared" si="71"/>
        <v>-4155.9214217601811</v>
      </c>
      <c r="AW225" s="58">
        <f t="shared" si="57"/>
        <v>-552.1595500106489</v>
      </c>
      <c r="AX225" s="58">
        <f t="shared" si="72"/>
        <v>583.66774939385266</v>
      </c>
      <c r="AY225" s="33">
        <f t="shared" si="58"/>
        <v>-97.384634633648375</v>
      </c>
      <c r="AZ225" s="33">
        <f t="shared" si="59"/>
        <v>444.75232539469334</v>
      </c>
      <c r="BA225" s="39">
        <f t="shared" si="60"/>
        <v>-43.38340447597637</v>
      </c>
      <c r="BB225" s="39">
        <f t="shared" si="61"/>
        <v>30.932678516940779</v>
      </c>
      <c r="BC225" s="45">
        <f t="shared" si="62"/>
        <v>-411.39151090102416</v>
      </c>
      <c r="BD225" s="45">
        <f t="shared" si="63"/>
        <v>107.98274548221852</v>
      </c>
      <c r="BE225" s="64">
        <f t="shared" si="64"/>
        <v>996332075.49880314</v>
      </c>
      <c r="BF225" s="65">
        <f t="shared" si="65"/>
        <v>3296878988.4964104</v>
      </c>
      <c r="BG225" s="66">
        <f t="shared" si="66"/>
        <v>1077621426.4997404</v>
      </c>
    </row>
    <row r="226" spans="43:59" x14ac:dyDescent="0.25">
      <c r="AQ226" s="7">
        <v>211</v>
      </c>
      <c r="AR226" s="58">
        <f t="shared" si="67"/>
        <v>105.5</v>
      </c>
      <c r="AS226" s="58">
        <f t="shared" si="68"/>
        <v>28971.099094631682</v>
      </c>
      <c r="AT226" s="58">
        <f t="shared" si="69"/>
        <v>-25339.209403194272</v>
      </c>
      <c r="AU226" s="58">
        <f t="shared" si="70"/>
        <v>4301.0113719440687</v>
      </c>
      <c r="AV226" s="58">
        <f t="shared" si="71"/>
        <v>-3864.087547063255</v>
      </c>
      <c r="AW226" s="58">
        <f t="shared" si="57"/>
        <v>-498.58773361645495</v>
      </c>
      <c r="AX226" s="58">
        <f t="shared" si="72"/>
        <v>521.02567801629732</v>
      </c>
      <c r="AY226" s="33">
        <f t="shared" si="58"/>
        <v>-105.1623733785639</v>
      </c>
      <c r="AZ226" s="33">
        <f t="shared" si="59"/>
        <v>384.95274261122711</v>
      </c>
      <c r="BA226" s="39">
        <f t="shared" si="60"/>
        <v>-39.140797254556347</v>
      </c>
      <c r="BB226" s="39">
        <f t="shared" si="61"/>
        <v>28.245329509836711</v>
      </c>
      <c r="BC226" s="45">
        <f t="shared" si="62"/>
        <v>-354.28456298333469</v>
      </c>
      <c r="BD226" s="45">
        <f t="shared" si="63"/>
        <v>107.82760589523348</v>
      </c>
      <c r="BE226" s="64">
        <f t="shared" si="64"/>
        <v>1158894293.1925442</v>
      </c>
      <c r="BF226" s="65">
        <f t="shared" si="65"/>
        <v>3647028267.7790499</v>
      </c>
      <c r="BG226" s="66">
        <f t="shared" si="66"/>
        <v>1260934824.7803862</v>
      </c>
    </row>
    <row r="227" spans="43:59" x14ac:dyDescent="0.25">
      <c r="AQ227" s="7">
        <v>212</v>
      </c>
      <c r="AR227" s="58">
        <f t="shared" si="67"/>
        <v>106</v>
      </c>
      <c r="AS227" s="58">
        <f t="shared" si="68"/>
        <v>31059.281313901662</v>
      </c>
      <c r="AT227" s="58">
        <f t="shared" si="69"/>
        <v>-27206.124966973861</v>
      </c>
      <c r="AU227" s="58">
        <f t="shared" si="70"/>
        <v>4051.7175051358413</v>
      </c>
      <c r="AV227" s="58">
        <f t="shared" si="71"/>
        <v>-3603.5747080551064</v>
      </c>
      <c r="AW227" s="58">
        <f t="shared" si="57"/>
        <v>-452.76675387269484</v>
      </c>
      <c r="AX227" s="58">
        <f t="shared" si="72"/>
        <v>467.99570880427888</v>
      </c>
      <c r="AY227" s="33">
        <f t="shared" si="58"/>
        <v>-107.44110361268731</v>
      </c>
      <c r="AZ227" s="33">
        <f t="shared" si="59"/>
        <v>337.17058665324674</v>
      </c>
      <c r="BA227" s="39">
        <f t="shared" si="60"/>
        <v>-35.705869388435637</v>
      </c>
      <c r="BB227" s="39">
        <f t="shared" si="61"/>
        <v>26.018326234429093</v>
      </c>
      <c r="BC227" s="45">
        <f t="shared" si="62"/>
        <v>-309.61978087157189</v>
      </c>
      <c r="BD227" s="45">
        <f t="shared" si="63"/>
        <v>104.80679591660304</v>
      </c>
      <c r="BE227" s="64">
        <f t="shared" si="64"/>
        <v>1326822813.4032207</v>
      </c>
      <c r="BF227" s="65">
        <f t="shared" si="65"/>
        <v>3991345943.3502235</v>
      </c>
      <c r="BG227" s="66">
        <f t="shared" si="66"/>
        <v>1449261255.5844803</v>
      </c>
    </row>
    <row r="228" spans="43:59" x14ac:dyDescent="0.25">
      <c r="AQ228" s="7">
        <v>213</v>
      </c>
      <c r="AR228" s="58">
        <f t="shared" si="67"/>
        <v>106.5</v>
      </c>
      <c r="AS228" s="58">
        <f t="shared" si="68"/>
        <v>33028.544222235498</v>
      </c>
      <c r="AT228" s="58">
        <f t="shared" si="69"/>
        <v>-28949.412857400879</v>
      </c>
      <c r="AU228" s="58">
        <f t="shared" si="70"/>
        <v>3825.334128199494</v>
      </c>
      <c r="AV228" s="58">
        <f t="shared" si="71"/>
        <v>-3369.5768536529667</v>
      </c>
      <c r="AW228" s="58">
        <f t="shared" si="57"/>
        <v>-413.79344788422009</v>
      </c>
      <c r="AX228" s="58">
        <f t="shared" si="72"/>
        <v>423.38862203530044</v>
      </c>
      <c r="AY228" s="33">
        <f t="shared" si="58"/>
        <v>-106.75936438909935</v>
      </c>
      <c r="AZ228" s="33">
        <f t="shared" si="59"/>
        <v>298.67620531008902</v>
      </c>
      <c r="BA228" s="39">
        <f t="shared" si="60"/>
        <v>-32.875806960920933</v>
      </c>
      <c r="BB228" s="39">
        <f t="shared" si="61"/>
        <v>24.147247432906092</v>
      </c>
      <c r="BC228" s="45">
        <f t="shared" si="62"/>
        <v>-274.15827653419984</v>
      </c>
      <c r="BD228" s="45">
        <f t="shared" si="63"/>
        <v>100.56516929230533</v>
      </c>
      <c r="BE228" s="64">
        <f t="shared" si="64"/>
        <v>1498302662.2000065</v>
      </c>
      <c r="BF228" s="65">
        <f t="shared" si="65"/>
        <v>4329083264.2658501</v>
      </c>
      <c r="BG228" s="66">
        <f t="shared" si="66"/>
        <v>1640756294.7287419</v>
      </c>
    </row>
    <row r="229" spans="43:59" x14ac:dyDescent="0.25">
      <c r="AQ229" s="7">
        <v>214</v>
      </c>
      <c r="AR229" s="58">
        <f t="shared" si="67"/>
        <v>107</v>
      </c>
      <c r="AS229" s="58">
        <f t="shared" si="68"/>
        <v>34889.487105349719</v>
      </c>
      <c r="AT229" s="58">
        <f t="shared" si="69"/>
        <v>-30581.277706472949</v>
      </c>
      <c r="AU229" s="58">
        <f t="shared" si="70"/>
        <v>3618.4374042573841</v>
      </c>
      <c r="AV229" s="58">
        <f t="shared" si="71"/>
        <v>-3157.8825426353164</v>
      </c>
      <c r="AW229" s="58">
        <f t="shared" si="57"/>
        <v>-380.61413682591456</v>
      </c>
      <c r="AX229" s="58">
        <f t="shared" si="72"/>
        <v>385.8185555191439</v>
      </c>
      <c r="AY229" s="33">
        <f t="shared" si="58"/>
        <v>-104.52657094228965</v>
      </c>
      <c r="AZ229" s="33">
        <f t="shared" si="59"/>
        <v>267.33663474066219</v>
      </c>
      <c r="BA229" s="39">
        <f t="shared" si="60"/>
        <v>-30.50920917811565</v>
      </c>
      <c r="BB229" s="39">
        <f t="shared" si="61"/>
        <v>22.556280911965647</v>
      </c>
      <c r="BC229" s="45">
        <f t="shared" si="62"/>
        <v>-245.57835670550929</v>
      </c>
      <c r="BD229" s="45">
        <f t="shared" si="63"/>
        <v>95.925639866516079</v>
      </c>
      <c r="BE229" s="64">
        <f t="shared" si="64"/>
        <v>1671880538.0178888</v>
      </c>
      <c r="BF229" s="65">
        <f t="shared" si="65"/>
        <v>4659695894.9782314</v>
      </c>
      <c r="BG229" s="66">
        <f t="shared" si="66"/>
        <v>1833947396.4940925</v>
      </c>
    </row>
    <row r="230" spans="43:59" x14ac:dyDescent="0.25">
      <c r="AQ230" s="7">
        <v>215</v>
      </c>
      <c r="AR230" s="58">
        <f t="shared" si="67"/>
        <v>107.5</v>
      </c>
      <c r="AS230" s="58">
        <f t="shared" si="68"/>
        <v>36651.129040375177</v>
      </c>
      <c r="AT230" s="58">
        <f t="shared" si="69"/>
        <v>-32111.991658350715</v>
      </c>
      <c r="AU230" s="58">
        <f t="shared" si="70"/>
        <v>3428.1303358444266</v>
      </c>
      <c r="AV230" s="58">
        <f t="shared" si="71"/>
        <v>-2964.9732648757445</v>
      </c>
      <c r="AW230" s="58">
        <f t="shared" si="57"/>
        <v>-352.25519621468669</v>
      </c>
      <c r="AX230" s="58">
        <f t="shared" si="72"/>
        <v>354.02455143849534</v>
      </c>
      <c r="AY230" s="33">
        <f t="shared" si="58"/>
        <v>-101.53229709147746</v>
      </c>
      <c r="AZ230" s="33">
        <f t="shared" si="59"/>
        <v>241.53896685856034</v>
      </c>
      <c r="BA230" s="39">
        <f t="shared" si="60"/>
        <v>-28.504938328736561</v>
      </c>
      <c r="BB230" s="39">
        <f t="shared" si="61"/>
        <v>21.189334536758</v>
      </c>
      <c r="BC230" s="45">
        <f t="shared" si="62"/>
        <v>-222.21796079447267</v>
      </c>
      <c r="BD230" s="45">
        <f t="shared" si="63"/>
        <v>91.296250043176997</v>
      </c>
      <c r="BE230" s="64">
        <f t="shared" si="64"/>
        <v>1846369981.4604721</v>
      </c>
      <c r="BF230" s="65">
        <f t="shared" si="65"/>
        <v>4982770262.9822397</v>
      </c>
      <c r="BG230" s="66">
        <f t="shared" si="66"/>
        <v>2027636808.8534489</v>
      </c>
    </row>
    <row r="231" spans="43:59" x14ac:dyDescent="0.25">
      <c r="AQ231" s="7">
        <v>216</v>
      </c>
      <c r="AR231" s="58">
        <f t="shared" si="67"/>
        <v>108</v>
      </c>
      <c r="AS231" s="58">
        <f t="shared" si="68"/>
        <v>38321.162308770552</v>
      </c>
      <c r="AT231" s="58">
        <f t="shared" si="69"/>
        <v>-33550.225221858775</v>
      </c>
      <c r="AU231" s="58">
        <f t="shared" si="70"/>
        <v>3252.0027377370834</v>
      </c>
      <c r="AV231" s="58">
        <f t="shared" si="71"/>
        <v>-2787.9609891564969</v>
      </c>
      <c r="AW231" s="58">
        <f t="shared" si="57"/>
        <v>-327.88733916598687</v>
      </c>
      <c r="AX231" s="58">
        <f t="shared" si="72"/>
        <v>326.95061879326357</v>
      </c>
      <c r="AY231" s="33">
        <f t="shared" si="58"/>
        <v>-98.221458605288205</v>
      </c>
      <c r="AZ231" s="33">
        <f t="shared" si="59"/>
        <v>220.07408315117584</v>
      </c>
      <c r="BA231" s="39">
        <f t="shared" si="60"/>
        <v>-26.788972878977656</v>
      </c>
      <c r="BB231" s="39">
        <f t="shared" si="61"/>
        <v>20.004158973462296</v>
      </c>
      <c r="BC231" s="45">
        <f t="shared" si="62"/>
        <v>-202.87690768172101</v>
      </c>
      <c r="BD231" s="45">
        <f t="shared" si="63"/>
        <v>86.872376668625449</v>
      </c>
      <c r="BE231" s="64">
        <f t="shared" si="64"/>
        <v>2020785979.1096449</v>
      </c>
      <c r="BF231" s="65">
        <f t="shared" si="65"/>
        <v>5297980089.9205837</v>
      </c>
      <c r="BG231" s="66">
        <f t="shared" si="66"/>
        <v>2220833959.564528</v>
      </c>
    </row>
    <row r="232" spans="43:59" x14ac:dyDescent="0.25">
      <c r="AQ232" s="7">
        <v>217</v>
      </c>
      <c r="AR232" s="58">
        <f t="shared" si="67"/>
        <v>108.5</v>
      </c>
      <c r="AS232" s="58">
        <f t="shared" si="68"/>
        <v>39906.17776024335</v>
      </c>
      <c r="AT232" s="58">
        <f t="shared" si="69"/>
        <v>-34903.336889087863</v>
      </c>
      <c r="AU232" s="58">
        <f t="shared" si="70"/>
        <v>3088.0590681540898</v>
      </c>
      <c r="AV232" s="58">
        <f t="shared" si="71"/>
        <v>-2624.485679759865</v>
      </c>
      <c r="AW232" s="58">
        <f t="shared" si="57"/>
        <v>-306.82778898802957</v>
      </c>
      <c r="AX232" s="58">
        <f t="shared" si="72"/>
        <v>303.7412813223014</v>
      </c>
      <c r="AY232" s="33">
        <f t="shared" si="58"/>
        <v>-94.844359298952838</v>
      </c>
      <c r="AZ232" s="33">
        <f t="shared" si="59"/>
        <v>202.0336283450342</v>
      </c>
      <c r="BA232" s="39">
        <f t="shared" si="60"/>
        <v>-25.306014774376777</v>
      </c>
      <c r="BB232" s="39">
        <f t="shared" si="61"/>
        <v>18.968402746071966</v>
      </c>
      <c r="BC232" s="45">
        <f t="shared" si="62"/>
        <v>-186.67741491469997</v>
      </c>
      <c r="BD232" s="45">
        <f t="shared" si="63"/>
        <v>82.739250231195228</v>
      </c>
      <c r="BE232" s="64">
        <f t="shared" si="64"/>
        <v>2194298892.3518863</v>
      </c>
      <c r="BF232" s="65">
        <f t="shared" si="65"/>
        <v>5605059797.6167936</v>
      </c>
      <c r="BG232" s="66">
        <f t="shared" si="66"/>
        <v>2412707620.3551002</v>
      </c>
    </row>
    <row r="233" spans="43:59" x14ac:dyDescent="0.25">
      <c r="AQ233" s="7">
        <v>218</v>
      </c>
      <c r="AR233" s="58">
        <f t="shared" si="67"/>
        <v>109</v>
      </c>
      <c r="AS233" s="58">
        <f t="shared" si="68"/>
        <v>41411.853820696895</v>
      </c>
      <c r="AT233" s="58">
        <f t="shared" si="69"/>
        <v>-36177.612068802504</v>
      </c>
      <c r="AU233" s="58">
        <f t="shared" si="70"/>
        <v>2934.6451736600752</v>
      </c>
      <c r="AV233" s="58">
        <f t="shared" si="71"/>
        <v>-2472.6150390987141</v>
      </c>
      <c r="AW233" s="58">
        <f t="shared" si="57"/>
        <v>-288.52215278015035</v>
      </c>
      <c r="AX233" s="58">
        <f t="shared" si="72"/>
        <v>283.71220317387656</v>
      </c>
      <c r="AY233" s="33">
        <f t="shared" si="58"/>
        <v>-91.539832588496125</v>
      </c>
      <c r="AZ233" s="33">
        <f t="shared" si="59"/>
        <v>186.73027240540574</v>
      </c>
      <c r="BA233" s="39">
        <f t="shared" si="60"/>
        <v>-24.013992159406332</v>
      </c>
      <c r="BB233" s="39">
        <f t="shared" si="61"/>
        <v>18.056918089429313</v>
      </c>
      <c r="BC233" s="45">
        <f t="shared" si="62"/>
        <v>-172.96832803224791</v>
      </c>
      <c r="BD233" s="45">
        <f t="shared" si="63"/>
        <v>78.925012679041529</v>
      </c>
      <c r="BE233" s="64">
        <f t="shared" si="64"/>
        <v>2366201280.0716944</v>
      </c>
      <c r="BF233" s="65">
        <f t="shared" si="65"/>
        <v>5903787646.0714588</v>
      </c>
      <c r="BG233" s="66">
        <f t="shared" si="66"/>
        <v>2602551428.0104265</v>
      </c>
    </row>
    <row r="234" spans="43:59" x14ac:dyDescent="0.25">
      <c r="AQ234" s="7">
        <v>219</v>
      </c>
      <c r="AR234" s="58">
        <f t="shared" si="67"/>
        <v>109.5</v>
      </c>
      <c r="AS234" s="58">
        <f t="shared" si="68"/>
        <v>42843.111138429413</v>
      </c>
      <c r="AT234" s="58">
        <f t="shared" si="69"/>
        <v>-37378.455562955125</v>
      </c>
      <c r="AU234" s="58">
        <f t="shared" si="70"/>
        <v>2790.38409727</v>
      </c>
      <c r="AV234" s="58">
        <f t="shared" si="71"/>
        <v>-2330.7589375117759</v>
      </c>
      <c r="AW234" s="58">
        <f t="shared" si="57"/>
        <v>-272.52216446399677</v>
      </c>
      <c r="AX234" s="58">
        <f t="shared" si="72"/>
        <v>266.31752132402141</v>
      </c>
      <c r="AY234" s="33">
        <f t="shared" si="58"/>
        <v>-88.382149110144766</v>
      </c>
      <c r="AZ234" s="33">
        <f t="shared" si="59"/>
        <v>173.63897270215799</v>
      </c>
      <c r="BA234" s="39">
        <f t="shared" si="60"/>
        <v>-22.880370909804739</v>
      </c>
      <c r="BB234" s="39">
        <f t="shared" si="61"/>
        <v>17.24988812260143</v>
      </c>
      <c r="BC234" s="45">
        <f t="shared" si="62"/>
        <v>-161.25964444404724</v>
      </c>
      <c r="BD234" s="45">
        <f t="shared" si="63"/>
        <v>75.428660499262037</v>
      </c>
      <c r="BE234" s="64">
        <f t="shared" si="64"/>
        <v>2535883500.1987758</v>
      </c>
      <c r="BF234" s="65">
        <f t="shared" si="65"/>
        <v>6193974669.087904</v>
      </c>
      <c r="BG234" s="66">
        <f t="shared" si="66"/>
        <v>2789758556.7872658</v>
      </c>
    </row>
    <row r="235" spans="43:59" x14ac:dyDescent="0.25">
      <c r="AQ235" s="7">
        <v>220</v>
      </c>
      <c r="AR235" s="58">
        <f t="shared" si="67"/>
        <v>110</v>
      </c>
      <c r="AS235" s="58">
        <f t="shared" si="68"/>
        <v>44204.237916506412</v>
      </c>
      <c r="AT235" s="58">
        <f t="shared" si="69"/>
        <v>-38510.545341545512</v>
      </c>
      <c r="AU235" s="58">
        <f t="shared" si="70"/>
        <v>2654.1230150380015</v>
      </c>
      <c r="AV235" s="58">
        <f t="shared" si="71"/>
        <v>-2197.6001768497654</v>
      </c>
      <c r="AW235" s="58">
        <f t="shared" si="57"/>
        <v>-258.46506432031771</v>
      </c>
      <c r="AX235" s="58">
        <f t="shared" si="72"/>
        <v>251.12091679003709</v>
      </c>
      <c r="AY235" s="33">
        <f t="shared" si="58"/>
        <v>-85.407948311476332</v>
      </c>
      <c r="AZ235" s="33">
        <f t="shared" si="59"/>
        <v>162.35447246342207</v>
      </c>
      <c r="BA235" s="39">
        <f t="shared" si="60"/>
        <v>-21.879624301231875</v>
      </c>
      <c r="BB235" s="39">
        <f t="shared" si="61"/>
        <v>16.531502298978523</v>
      </c>
      <c r="BC235" s="45">
        <f t="shared" si="62"/>
        <v>-151.17749170760951</v>
      </c>
      <c r="BD235" s="45">
        <f t="shared" si="63"/>
        <v>72.234942027636478</v>
      </c>
      <c r="BE235" s="64">
        <f t="shared" si="64"/>
        <v>2702815415.7452621</v>
      </c>
      <c r="BF235" s="65">
        <f t="shared" si="65"/>
        <v>6475457175.7735023</v>
      </c>
      <c r="BG235" s="66">
        <f t="shared" si="66"/>
        <v>2973802771.2010345</v>
      </c>
    </row>
    <row r="236" spans="43:59" x14ac:dyDescent="0.25">
      <c r="AQ236" s="7">
        <v>221</v>
      </c>
      <c r="AR236" s="58">
        <f t="shared" si="67"/>
        <v>110.5</v>
      </c>
      <c r="AS236" s="58">
        <f t="shared" si="68"/>
        <v>45498.991290985374</v>
      </c>
      <c r="AT236" s="58">
        <f t="shared" si="69"/>
        <v>-39577.955315371641</v>
      </c>
      <c r="AU236" s="58">
        <f t="shared" si="70"/>
        <v>2524.8904828778427</v>
      </c>
      <c r="AV236" s="58">
        <f t="shared" si="71"/>
        <v>-2072.0397184547469</v>
      </c>
      <c r="AW236" s="58">
        <f t="shared" si="57"/>
        <v>-246.05625385338192</v>
      </c>
      <c r="AX236" s="58">
        <f t="shared" si="72"/>
        <v>237.77200430953047</v>
      </c>
      <c r="AY236" s="33">
        <f t="shared" si="58"/>
        <v>-82.631944280389973</v>
      </c>
      <c r="AZ236" s="33">
        <f t="shared" si="59"/>
        <v>152.56066155957143</v>
      </c>
      <c r="BA236" s="39">
        <f t="shared" si="60"/>
        <v>-20.991461579355576</v>
      </c>
      <c r="BB236" s="39">
        <f t="shared" si="61"/>
        <v>15.889004146066364</v>
      </c>
      <c r="BC236" s="45">
        <f t="shared" si="62"/>
        <v>-142.43284799363639</v>
      </c>
      <c r="BD236" s="45">
        <f t="shared" si="63"/>
        <v>69.322338603892689</v>
      </c>
      <c r="BE236" s="64">
        <f t="shared" si="64"/>
        <v>2866532433.5338769</v>
      </c>
      <c r="BF236" s="65">
        <f t="shared" si="65"/>
        <v>6748091513.3895645</v>
      </c>
      <c r="BG236" s="66">
        <f t="shared" si="66"/>
        <v>3154224008.8914218</v>
      </c>
    </row>
    <row r="237" spans="43:59" x14ac:dyDescent="0.25">
      <c r="AQ237" s="7">
        <v>222</v>
      </c>
      <c r="AR237" s="58">
        <f t="shared" si="67"/>
        <v>111</v>
      </c>
      <c r="AS237" s="58">
        <f t="shared" si="68"/>
        <v>46730.679500692626</v>
      </c>
      <c r="AT237" s="58">
        <f t="shared" si="69"/>
        <v>-40584.253674060325</v>
      </c>
      <c r="AU237" s="58">
        <f t="shared" si="70"/>
        <v>2401.8623559511516</v>
      </c>
      <c r="AV237" s="58">
        <f t="shared" si="71"/>
        <v>-1953.1537162999816</v>
      </c>
      <c r="AW237" s="58">
        <f t="shared" si="57"/>
        <v>-235.05530780791432</v>
      </c>
      <c r="AX237" s="58">
        <f t="shared" si="72"/>
        <v>225.98772941945847</v>
      </c>
      <c r="AY237" s="33">
        <f t="shared" si="58"/>
        <v>-80.0562041029754</v>
      </c>
      <c r="AZ237" s="33">
        <f t="shared" si="59"/>
        <v>144.00841647778068</v>
      </c>
      <c r="BA237" s="39">
        <f t="shared" si="60"/>
        <v>-20.1995646394228</v>
      </c>
      <c r="BB237" s="39">
        <f t="shared" si="61"/>
        <v>15.31199606345289</v>
      </c>
      <c r="BC237" s="45">
        <f t="shared" si="62"/>
        <v>-134.79953906551611</v>
      </c>
      <c r="BD237" s="45">
        <f t="shared" si="63"/>
        <v>66.667316878224909</v>
      </c>
      <c r="BE237" s="64">
        <f t="shared" si="64"/>
        <v>3026624677.9601326</v>
      </c>
      <c r="BF237" s="65">
        <f t="shared" si="65"/>
        <v>7011750306.3858442</v>
      </c>
      <c r="BG237" s="66">
        <f t="shared" si="66"/>
        <v>3330617237.6620493</v>
      </c>
    </row>
    <row r="238" spans="43:59" x14ac:dyDescent="0.25">
      <c r="AQ238" s="7">
        <v>223</v>
      </c>
      <c r="AR238" s="58">
        <f t="shared" si="67"/>
        <v>111.5</v>
      </c>
      <c r="AS238" s="58">
        <f t="shared" si="68"/>
        <v>47902.228765192209</v>
      </c>
      <c r="AT238" s="58">
        <f t="shared" si="69"/>
        <v>-41532.58206603289</v>
      </c>
      <c r="AU238" s="58">
        <f t="shared" si="70"/>
        <v>2284.3347020471942</v>
      </c>
      <c r="AV238" s="58">
        <f t="shared" si="71"/>
        <v>-1840.1598515902524</v>
      </c>
      <c r="AW238" s="58">
        <f t="shared" si="57"/>
        <v>-225.26490992235711</v>
      </c>
      <c r="AX238" s="58">
        <f t="shared" si="72"/>
        <v>215.53793323126297</v>
      </c>
      <c r="AY238" s="33">
        <f t="shared" si="58"/>
        <v>-77.675681820659477</v>
      </c>
      <c r="AZ238" s="33">
        <f t="shared" si="59"/>
        <v>136.49946301629461</v>
      </c>
      <c r="BA238" s="39">
        <f t="shared" si="60"/>
        <v>-19.490671727018942</v>
      </c>
      <c r="BB238" s="39">
        <f t="shared" si="61"/>
        <v>14.791924485541845</v>
      </c>
      <c r="BC238" s="45">
        <f t="shared" si="62"/>
        <v>-128.09855637467868</v>
      </c>
      <c r="BD238" s="45">
        <f t="shared" si="63"/>
        <v>64.246545729426501</v>
      </c>
      <c r="BE238" s="64">
        <f t="shared" si="64"/>
        <v>3182728474.1273699</v>
      </c>
      <c r="BF238" s="65">
        <f t="shared" si="65"/>
        <v>7266319685.6729107</v>
      </c>
      <c r="BG238" s="66">
        <f t="shared" si="66"/>
        <v>3502623719.4155002</v>
      </c>
    </row>
    <row r="239" spans="43:59" x14ac:dyDescent="0.25">
      <c r="AQ239" s="7">
        <v>224</v>
      </c>
      <c r="AR239" s="58">
        <f t="shared" si="67"/>
        <v>112</v>
      </c>
      <c r="AS239" s="58">
        <f t="shared" si="68"/>
        <v>49016.238002475511</v>
      </c>
      <c r="AT239" s="58">
        <f t="shared" si="69"/>
        <v>-42425.71975017411</v>
      </c>
      <c r="AU239" s="58">
        <f t="shared" si="70"/>
        <v>2171.7022470860156</v>
      </c>
      <c r="AV239" s="58">
        <f t="shared" si="71"/>
        <v>-1732.3908849746208</v>
      </c>
      <c r="AW239" s="58">
        <f t="shared" si="57"/>
        <v>-216.52217227516371</v>
      </c>
      <c r="AX239" s="58">
        <f t="shared" si="72"/>
        <v>206.23421125104551</v>
      </c>
      <c r="AY239" s="33">
        <f t="shared" si="58"/>
        <v>-75.481537175957769</v>
      </c>
      <c r="AZ239" s="33">
        <f t="shared" si="59"/>
        <v>129.87452305284063</v>
      </c>
      <c r="BA239" s="39">
        <f t="shared" si="60"/>
        <v>-18.853902515481021</v>
      </c>
      <c r="BB239" s="39">
        <f t="shared" si="61"/>
        <v>14.321693533024174</v>
      </c>
      <c r="BC239" s="45">
        <f t="shared" si="62"/>
        <v>-122.1867325837249</v>
      </c>
      <c r="BD239" s="45">
        <f t="shared" si="63"/>
        <v>62.037994665180705</v>
      </c>
      <c r="BE239" s="64">
        <f t="shared" si="64"/>
        <v>3334519560.3892293</v>
      </c>
      <c r="BF239" s="65">
        <f t="shared" si="65"/>
        <v>7511697199.3381405</v>
      </c>
      <c r="BG239" s="66">
        <f t="shared" si="66"/>
        <v>3669924071.7551699</v>
      </c>
    </row>
    <row r="240" spans="43:59" x14ac:dyDescent="0.25">
      <c r="AQ240" s="7">
        <v>225</v>
      </c>
      <c r="AR240" s="58">
        <f t="shared" si="67"/>
        <v>112.5</v>
      </c>
      <c r="AS240" s="58">
        <f t="shared" si="68"/>
        <v>50075.02385448412</v>
      </c>
      <c r="AT240" s="58">
        <f t="shared" si="69"/>
        <v>-43266.135916255043</v>
      </c>
      <c r="AU240" s="58">
        <f t="shared" si="70"/>
        <v>2063.4411609484337</v>
      </c>
      <c r="AV240" s="58">
        <f t="shared" si="71"/>
        <v>-1629.273779349098</v>
      </c>
      <c r="AW240" s="58">
        <f t="shared" si="57"/>
        <v>-208.69183894025599</v>
      </c>
      <c r="AX240" s="58">
        <f t="shared" si="72"/>
        <v>197.92131496940024</v>
      </c>
      <c r="AY240" s="33">
        <f t="shared" si="58"/>
        <v>-73.46312647032677</v>
      </c>
      <c r="AZ240" s="33">
        <f t="shared" si="59"/>
        <v>124.00452552490967</v>
      </c>
      <c r="BA240" s="39">
        <f t="shared" si="60"/>
        <v>-18.280253924870259</v>
      </c>
      <c r="BB240" s="39">
        <f t="shared" si="61"/>
        <v>13.895371511650019</v>
      </c>
      <c r="BC240" s="45">
        <f t="shared" si="62"/>
        <v>-116.94845854505895</v>
      </c>
      <c r="BD240" s="45">
        <f t="shared" si="63"/>
        <v>60.021417932840571</v>
      </c>
      <c r="BE240" s="64">
        <f t="shared" si="64"/>
        <v>3481707615.7154689</v>
      </c>
      <c r="BF240" s="65">
        <f t="shared" si="65"/>
        <v>7747790203.6554728</v>
      </c>
      <c r="BG240" s="66">
        <f t="shared" si="66"/>
        <v>3832232692.2081981</v>
      </c>
    </row>
    <row r="241" spans="43:59" x14ac:dyDescent="0.25">
      <c r="AQ241" s="7">
        <v>226</v>
      </c>
      <c r="AR241" s="58">
        <f t="shared" si="67"/>
        <v>113</v>
      </c>
      <c r="AS241" s="58">
        <f t="shared" si="68"/>
        <v>51080.657955090806</v>
      </c>
      <c r="AT241" s="58">
        <f t="shared" si="69"/>
        <v>-44056.032641558413</v>
      </c>
      <c r="AU241" s="58">
        <f t="shared" si="70"/>
        <v>1959.0952414783058</v>
      </c>
      <c r="AV241" s="58">
        <f t="shared" si="71"/>
        <v>-1530.313121864398</v>
      </c>
      <c r="AW241" s="58">
        <f t="shared" si="57"/>
        <v>-201.660957795554</v>
      </c>
      <c r="AX241" s="58">
        <f t="shared" si="72"/>
        <v>190.47049637299389</v>
      </c>
      <c r="AY241" s="33">
        <f t="shared" si="58"/>
        <v>-71.609188946476635</v>
      </c>
      <c r="AZ241" s="33">
        <f t="shared" si="59"/>
        <v>118.78402600403659</v>
      </c>
      <c r="BA241" s="39">
        <f t="shared" si="60"/>
        <v>-17.762218602363465</v>
      </c>
      <c r="BB241" s="39">
        <f t="shared" si="61"/>
        <v>13.507965404069379</v>
      </c>
      <c r="BC241" s="45">
        <f t="shared" si="62"/>
        <v>-112.28955024671389</v>
      </c>
      <c r="BD241" s="45">
        <f t="shared" si="63"/>
        <v>58.178504964887928</v>
      </c>
      <c r="BE241" s="64">
        <f t="shared" si="64"/>
        <v>3624031800.6587863</v>
      </c>
      <c r="BF241" s="65">
        <f t="shared" si="65"/>
        <v>7974514600.2738428</v>
      </c>
      <c r="BG241" s="66">
        <f t="shared" si="66"/>
        <v>3989293229.5431981</v>
      </c>
    </row>
    <row r="242" spans="43:59" x14ac:dyDescent="0.25">
      <c r="AQ242" s="7">
        <v>227</v>
      </c>
      <c r="AR242" s="58">
        <f t="shared" si="67"/>
        <v>113.5</v>
      </c>
      <c r="AS242" s="58">
        <f t="shared" si="68"/>
        <v>52034.997956105515</v>
      </c>
      <c r="AT242" s="58">
        <f t="shared" si="69"/>
        <v>-44797.380390443985</v>
      </c>
      <c r="AU242" s="58">
        <f t="shared" si="70"/>
        <v>1858.2647625805287</v>
      </c>
      <c r="AV242" s="58">
        <f t="shared" si="71"/>
        <v>-1435.0778736779012</v>
      </c>
      <c r="AW242" s="58">
        <f t="shared" si="57"/>
        <v>-195.33468943998992</v>
      </c>
      <c r="AX242" s="58">
        <f t="shared" si="72"/>
        <v>183.77433249529537</v>
      </c>
      <c r="AY242" s="33">
        <f t="shared" si="58"/>
        <v>-69.908542028985323</v>
      </c>
      <c r="AZ242" s="33">
        <f t="shared" si="59"/>
        <v>114.12623219270057</v>
      </c>
      <c r="BA242" s="39">
        <f t="shared" si="60"/>
        <v>-17.293492790276854</v>
      </c>
      <c r="BB242" s="39">
        <f t="shared" si="61"/>
        <v>13.155245777693285</v>
      </c>
      <c r="BC242" s="45">
        <f t="shared" si="62"/>
        <v>-108.13265462072772</v>
      </c>
      <c r="BD242" s="45">
        <f t="shared" si="63"/>
        <v>56.49285452490151</v>
      </c>
      <c r="BE242" s="64">
        <f t="shared" si="64"/>
        <v>3761257089.7504797</v>
      </c>
      <c r="BF242" s="65">
        <f t="shared" si="65"/>
        <v>8191793828.1911392</v>
      </c>
      <c r="BG242" s="66">
        <f t="shared" si="66"/>
        <v>4140874869.9857759</v>
      </c>
    </row>
    <row r="243" spans="43:59" x14ac:dyDescent="0.25">
      <c r="AQ243" s="7">
        <v>228</v>
      </c>
      <c r="AR243" s="58">
        <f t="shared" si="67"/>
        <v>114</v>
      </c>
      <c r="AS243" s="58">
        <f t="shared" si="68"/>
        <v>52939.713501215781</v>
      </c>
      <c r="AT243" s="58">
        <f t="shared" si="69"/>
        <v>-45491.947535721025</v>
      </c>
      <c r="AU243" s="58">
        <f t="shared" si="70"/>
        <v>1760.5974178605338</v>
      </c>
      <c r="AV243" s="58">
        <f t="shared" si="71"/>
        <v>-1343.1907074302535</v>
      </c>
      <c r="AW243" s="58">
        <f t="shared" si="57"/>
        <v>-189.63299582848873</v>
      </c>
      <c r="AX243" s="58">
        <f t="shared" si="72"/>
        <v>177.74267849870785</v>
      </c>
      <c r="AY243" s="33">
        <f t="shared" si="58"/>
        <v>-68.35047543135623</v>
      </c>
      <c r="AZ243" s="33">
        <f t="shared" si="59"/>
        <v>109.95920799269646</v>
      </c>
      <c r="BA243" s="39">
        <f t="shared" si="60"/>
        <v>-16.868750199084431</v>
      </c>
      <c r="BB243" s="39">
        <f t="shared" si="61"/>
        <v>12.833609512672052</v>
      </c>
      <c r="BC243" s="45">
        <f t="shared" si="62"/>
        <v>-104.41377019804808</v>
      </c>
      <c r="BD243" s="45">
        <f t="shared" si="63"/>
        <v>54.949860993339342</v>
      </c>
      <c r="BE243" s="64">
        <f t="shared" si="64"/>
        <v>3893171229.1707869</v>
      </c>
      <c r="BF243" s="65">
        <f t="shared" si="65"/>
        <v>8399558046.9466543</v>
      </c>
      <c r="BG243" s="66">
        <f t="shared" si="66"/>
        <v>4286769265.1241298</v>
      </c>
    </row>
    <row r="244" spans="43:59" x14ac:dyDescent="0.25">
      <c r="AQ244" s="7">
        <v>229</v>
      </c>
      <c r="AR244" s="58">
        <f t="shared" si="67"/>
        <v>114.5</v>
      </c>
      <c r="AS244" s="58">
        <f t="shared" si="68"/>
        <v>53796.308085667493</v>
      </c>
      <c r="AT244" s="58">
        <f t="shared" si="69"/>
        <v>-46141.325054623812</v>
      </c>
      <c r="AU244" s="58">
        <f t="shared" si="70"/>
        <v>1665.7809199462895</v>
      </c>
      <c r="AV244" s="58">
        <f t="shared" si="71"/>
        <v>-1254.3193681808996</v>
      </c>
      <c r="AW244" s="58">
        <f t="shared" si="57"/>
        <v>-184.48801067728306</v>
      </c>
      <c r="AX244" s="58">
        <f t="shared" si="72"/>
        <v>172.29948413674319</v>
      </c>
      <c r="AY244" s="33">
        <f t="shared" si="58"/>
        <v>-66.92496061865981</v>
      </c>
      <c r="AZ244" s="33">
        <f t="shared" si="59"/>
        <v>106.22295067596065</v>
      </c>
      <c r="BA244" s="39">
        <f t="shared" si="60"/>
        <v>-16.48346521880546</v>
      </c>
      <c r="BB244" s="39">
        <f t="shared" si="61"/>
        <v>12.539971211043175</v>
      </c>
      <c r="BC244" s="45">
        <f t="shared" si="62"/>
        <v>-101.0795848398178</v>
      </c>
      <c r="BD244" s="45">
        <f t="shared" si="63"/>
        <v>53.536562249739355</v>
      </c>
      <c r="BE244" s="64">
        <f t="shared" si="64"/>
        <v>4019582193.8371663</v>
      </c>
      <c r="BF244" s="65">
        <f t="shared" si="65"/>
        <v>8597743465.9636841</v>
      </c>
      <c r="BG244" s="66">
        <f t="shared" si="66"/>
        <v>4426787970.6624699</v>
      </c>
    </row>
    <row r="245" spans="43:59" x14ac:dyDescent="0.25">
      <c r="AQ245" s="7">
        <v>230</v>
      </c>
      <c r="AR245" s="58">
        <f t="shared" si="67"/>
        <v>115</v>
      </c>
      <c r="AS245" s="58">
        <f t="shared" si="68"/>
        <v>54606.137544305981</v>
      </c>
      <c r="AT245" s="58">
        <f t="shared" si="69"/>
        <v>-46746.947303197172</v>
      </c>
      <c r="AU245" s="58">
        <f t="shared" si="70"/>
        <v>1573.536914607648</v>
      </c>
      <c r="AV245" s="58">
        <f t="shared" si="71"/>
        <v>-1168.169626112528</v>
      </c>
      <c r="AW245" s="58">
        <f t="shared" si="57"/>
        <v>-179.84194006885045</v>
      </c>
      <c r="AX245" s="58">
        <f t="shared" si="72"/>
        <v>167.38027387565469</v>
      </c>
      <c r="AY245" s="33">
        <f t="shared" si="58"/>
        <v>-65.622747675000667</v>
      </c>
      <c r="AZ245" s="33">
        <f t="shared" si="59"/>
        <v>102.86712091053607</v>
      </c>
      <c r="BA245" s="39">
        <f t="shared" si="60"/>
        <v>-16.133773431888294</v>
      </c>
      <c r="BB245" s="39">
        <f t="shared" si="61"/>
        <v>12.271676578852228</v>
      </c>
      <c r="BC245" s="45">
        <f t="shared" si="62"/>
        <v>-98.085418961961494</v>
      </c>
      <c r="BD245" s="45">
        <f t="shared" si="63"/>
        <v>52.241476386266399</v>
      </c>
      <c r="BE245" s="64">
        <f t="shared" si="64"/>
        <v>4140316047.4512749</v>
      </c>
      <c r="BF245" s="65">
        <f t="shared" si="65"/>
        <v>8786291787.5117397</v>
      </c>
      <c r="BG245" s="66">
        <f t="shared" si="66"/>
        <v>4560760296.0227013</v>
      </c>
    </row>
    <row r="246" spans="43:59" x14ac:dyDescent="0.25">
      <c r="AQ246" s="7">
        <v>231</v>
      </c>
      <c r="AR246" s="58">
        <f t="shared" si="67"/>
        <v>115.5</v>
      </c>
      <c r="AS246" s="58">
        <f t="shared" si="68"/>
        <v>55370.425759101192</v>
      </c>
      <c r="AT246" s="58">
        <f t="shared" si="69"/>
        <v>-47310.10958201898</v>
      </c>
      <c r="AU246" s="58">
        <f t="shared" si="70"/>
        <v>1483.6159445732228</v>
      </c>
      <c r="AV246" s="58">
        <f t="shared" si="71"/>
        <v>-1084.4794891747006</v>
      </c>
      <c r="AW246" s="58">
        <f t="shared" si="57"/>
        <v>-175.6453772564285</v>
      </c>
      <c r="AX246" s="58">
        <f t="shared" si="72"/>
        <v>162.93013999534907</v>
      </c>
      <c r="AY246" s="33">
        <f t="shared" si="58"/>
        <v>-64.435394429075231</v>
      </c>
      <c r="AZ246" s="33">
        <f t="shared" si="59"/>
        <v>99.849265419415573</v>
      </c>
      <c r="BA246" s="39">
        <f t="shared" si="60"/>
        <v>-15.816360627639323</v>
      </c>
      <c r="BB246" s="39">
        <f t="shared" si="61"/>
        <v>12.026432803443267</v>
      </c>
      <c r="BC246" s="45">
        <f t="shared" si="62"/>
        <v>-95.393622199713946</v>
      </c>
      <c r="BD246" s="45">
        <f t="shared" si="63"/>
        <v>51.054441772490236</v>
      </c>
      <c r="BE246" s="64">
        <f t="shared" si="64"/>
        <v>4255215130.7730179</v>
      </c>
      <c r="BF246" s="65">
        <f t="shared" si="65"/>
        <v>8965149739.4112091</v>
      </c>
      <c r="BG246" s="66">
        <f t="shared" si="66"/>
        <v>4688531487.5372238</v>
      </c>
    </row>
    <row r="247" spans="43:59" x14ac:dyDescent="0.25">
      <c r="AQ247" s="7">
        <v>232</v>
      </c>
      <c r="AR247" s="58">
        <f t="shared" si="67"/>
        <v>116</v>
      </c>
      <c r="AS247" s="58">
        <f t="shared" si="68"/>
        <v>56090.278059230746</v>
      </c>
      <c r="AT247" s="58">
        <f t="shared" si="69"/>
        <v>-47831.983059106911</v>
      </c>
      <c r="AU247" s="58">
        <f t="shared" si="70"/>
        <v>1395.7932559450085</v>
      </c>
      <c r="AV247" s="58">
        <f t="shared" si="71"/>
        <v>-1003.0144191770261</v>
      </c>
      <c r="AW247" s="58">
        <f t="shared" si="57"/>
        <v>-171.85594273014496</v>
      </c>
      <c r="AX247" s="58">
        <f t="shared" si="72"/>
        <v>158.90213459439369</v>
      </c>
      <c r="AY247" s="33">
        <f t="shared" si="58"/>
        <v>-63.355255868463345</v>
      </c>
      <c r="AZ247" s="33">
        <f t="shared" si="59"/>
        <v>97.133414673777608</v>
      </c>
      <c r="BA247" s="39">
        <f t="shared" si="60"/>
        <v>-15.528373811388855</v>
      </c>
      <c r="BB247" s="39">
        <f t="shared" si="61"/>
        <v>11.802252194382357</v>
      </c>
      <c r="BC247" s="45">
        <f t="shared" si="62"/>
        <v>-92.972313050292755</v>
      </c>
      <c r="BD247" s="45">
        <f t="shared" si="63"/>
        <v>49.966467726233709</v>
      </c>
      <c r="BE247" s="64">
        <f t="shared" si="64"/>
        <v>4364136519.6458864</v>
      </c>
      <c r="BF247" s="65">
        <f t="shared" si="65"/>
        <v>9134268679.6798801</v>
      </c>
      <c r="BG247" s="66">
        <f t="shared" si="66"/>
        <v>4809961184.9476128</v>
      </c>
    </row>
    <row r="248" spans="43:59" x14ac:dyDescent="0.25">
      <c r="AQ248" s="7">
        <v>233</v>
      </c>
      <c r="AR248" s="58">
        <f t="shared" si="67"/>
        <v>116.5</v>
      </c>
      <c r="AS248" s="58">
        <f t="shared" si="68"/>
        <v>56766.692694361984</v>
      </c>
      <c r="AT248" s="58">
        <f t="shared" si="69"/>
        <v>-48313.627501871124</v>
      </c>
      <c r="AU248" s="58">
        <f t="shared" si="70"/>
        <v>1309.8652845799361</v>
      </c>
      <c r="AV248" s="58">
        <f t="shared" si="71"/>
        <v>-923.56335187982927</v>
      </c>
      <c r="AW248" s="58">
        <f t="shared" si="57"/>
        <v>-168.43718113524983</v>
      </c>
      <c r="AX248" s="58">
        <f t="shared" si="72"/>
        <v>155.25597374242409</v>
      </c>
      <c r="AY248" s="33">
        <f t="shared" si="58"/>
        <v>-62.375451372814211</v>
      </c>
      <c r="AZ248" s="33">
        <f t="shared" si="59"/>
        <v>94.688968548894962</v>
      </c>
      <c r="BA248" s="39">
        <f t="shared" si="60"/>
        <v>-15.267349346250063</v>
      </c>
      <c r="BB248" s="39">
        <f t="shared" si="61"/>
        <v>11.59740626397401</v>
      </c>
      <c r="BC248" s="45">
        <f t="shared" si="62"/>
        <v>-90.794380416185547</v>
      </c>
      <c r="BD248" s="45">
        <f t="shared" si="63"/>
        <v>48.969598929555112</v>
      </c>
      <c r="BE248" s="64">
        <f t="shared" si="64"/>
        <v>4466950706.5992756</v>
      </c>
      <c r="BF248" s="65">
        <f t="shared" si="65"/>
        <v>9293604259.6575909</v>
      </c>
      <c r="BG248" s="66">
        <f t="shared" si="66"/>
        <v>4924922103.7331743</v>
      </c>
    </row>
    <row r="249" spans="43:59" x14ac:dyDescent="0.25">
      <c r="AQ249" s="7">
        <v>234</v>
      </c>
      <c r="AR249" s="58">
        <f t="shared" si="67"/>
        <v>117</v>
      </c>
      <c r="AS249" s="58">
        <f t="shared" si="68"/>
        <v>57400.570689010048</v>
      </c>
      <c r="AT249" s="58">
        <f t="shared" si="69"/>
        <v>-48756.002181093238</v>
      </c>
      <c r="AU249" s="58">
        <f t="shared" si="70"/>
        <v>1225.6466940123112</v>
      </c>
      <c r="AV249" s="58">
        <f t="shared" si="71"/>
        <v>-845.93536500861728</v>
      </c>
      <c r="AW249" s="58">
        <f t="shared" si="57"/>
        <v>-165.35766220881484</v>
      </c>
      <c r="AX249" s="58">
        <f t="shared" si="72"/>
        <v>151.95698745744099</v>
      </c>
      <c r="AY249" s="33">
        <f t="shared" si="58"/>
        <v>-61.489820694479484</v>
      </c>
      <c r="AZ249" s="33">
        <f t="shared" si="59"/>
        <v>92.489804924825066</v>
      </c>
      <c r="BA249" s="39">
        <f t="shared" si="60"/>
        <v>-15.031154558599013</v>
      </c>
      <c r="BB249" s="39">
        <f t="shared" si="61"/>
        <v>11.410388091037584</v>
      </c>
      <c r="BC249" s="45">
        <f t="shared" si="62"/>
        <v>-88.836686955736354</v>
      </c>
      <c r="BD249" s="45">
        <f t="shared" si="63"/>
        <v>48.056794441578333</v>
      </c>
      <c r="BE249" s="64">
        <f t="shared" si="64"/>
        <v>4563540469.262804</v>
      </c>
      <c r="BF249" s="65">
        <f t="shared" si="65"/>
        <v>9443116135.2890759</v>
      </c>
      <c r="BG249" s="66">
        <f t="shared" si="66"/>
        <v>5033298905.5641117</v>
      </c>
    </row>
    <row r="250" spans="43:59" x14ac:dyDescent="0.25">
      <c r="AQ250" s="7">
        <v>235</v>
      </c>
      <c r="AR250" s="58">
        <f t="shared" si="67"/>
        <v>117.5</v>
      </c>
      <c r="AS250" s="58">
        <f t="shared" si="68"/>
        <v>57992.724328240103</v>
      </c>
      <c r="AT250" s="58">
        <f t="shared" si="69"/>
        <v>-49159.97524016536</v>
      </c>
      <c r="AU250" s="58">
        <f t="shared" si="70"/>
        <v>1142.9678629079037</v>
      </c>
      <c r="AV250" s="58">
        <f t="shared" si="71"/>
        <v>-769.95687127989675</v>
      </c>
      <c r="AW250" s="58">
        <f t="shared" si="57"/>
        <v>-162.59024474576796</v>
      </c>
      <c r="AX250" s="58">
        <f t="shared" si="72"/>
        <v>148.97526452801768</v>
      </c>
      <c r="AY250" s="33">
        <f t="shared" si="58"/>
        <v>-60.692875443322031</v>
      </c>
      <c r="AZ250" s="33">
        <f t="shared" si="59"/>
        <v>90.513562285317718</v>
      </c>
      <c r="BA250" s="39">
        <f t="shared" si="60"/>
        <v>-14.817940013618815</v>
      </c>
      <c r="BB250" s="39">
        <f t="shared" si="61"/>
        <v>11.239881307730256</v>
      </c>
      <c r="BC250" s="45">
        <f t="shared" si="62"/>
        <v>-87.079429288827114</v>
      </c>
      <c r="BD250" s="45">
        <f t="shared" si="63"/>
        <v>47.221820934969706</v>
      </c>
      <c r="BE250" s="64">
        <f t="shared" si="64"/>
        <v>4653799896.0977993</v>
      </c>
      <c r="BF250" s="65">
        <f t="shared" si="65"/>
        <v>9582767718.5578346</v>
      </c>
      <c r="BG250" s="66">
        <f t="shared" si="66"/>
        <v>5134987226.702363</v>
      </c>
    </row>
    <row r="251" spans="43:59" x14ac:dyDescent="0.25">
      <c r="AQ251" s="7">
        <v>236</v>
      </c>
      <c r="AR251" s="58">
        <f t="shared" si="67"/>
        <v>118</v>
      </c>
      <c r="AS251" s="58">
        <f t="shared" si="68"/>
        <v>58543.884479100831</v>
      </c>
      <c r="AT251" s="58">
        <f t="shared" si="69"/>
        <v>-49526.331767739306</v>
      </c>
      <c r="AU251" s="58">
        <f t="shared" si="70"/>
        <v>1061.6727405350198</v>
      </c>
      <c r="AV251" s="58">
        <f t="shared" si="71"/>
        <v>-695.46923901588787</v>
      </c>
      <c r="AW251" s="58">
        <f t="shared" si="57"/>
        <v>-160.11147164400779</v>
      </c>
      <c r="AX251" s="58">
        <f t="shared" si="72"/>
        <v>146.28495277471484</v>
      </c>
      <c r="AY251" s="33">
        <f t="shared" si="58"/>
        <v>-59.979750188880935</v>
      </c>
      <c r="AZ251" s="33">
        <f t="shared" si="59"/>
        <v>88.741059180785555</v>
      </c>
      <c r="BA251" s="39">
        <f t="shared" si="60"/>
        <v>-14.62610031579605</v>
      </c>
      <c r="BB251" s="39">
        <f t="shared" si="61"/>
        <v>11.084734421277243</v>
      </c>
      <c r="BC251" s="45">
        <f t="shared" si="62"/>
        <v>-85.505621139330813</v>
      </c>
      <c r="BD251" s="45">
        <f t="shared" si="63"/>
        <v>46.459159172652043</v>
      </c>
      <c r="BE251" s="64">
        <f t="shared" si="64"/>
        <v>4737633545.6225433</v>
      </c>
      <c r="BF251" s="65">
        <f t="shared" si="65"/>
        <v>9712525962.7893066</v>
      </c>
      <c r="BG251" s="66">
        <f t="shared" si="66"/>
        <v>5229892840.0293159</v>
      </c>
    </row>
    <row r="252" spans="43:59" x14ac:dyDescent="0.25">
      <c r="AQ252" s="7">
        <v>237</v>
      </c>
      <c r="AR252" s="58">
        <f t="shared" si="67"/>
        <v>118.5</v>
      </c>
      <c r="AS252" s="58">
        <f t="shared" si="68"/>
        <v>59054.70691541284</v>
      </c>
      <c r="AT252" s="58">
        <f t="shared" si="69"/>
        <v>-49855.780768150413</v>
      </c>
      <c r="AU252" s="58">
        <f t="shared" si="70"/>
        <v>981.61700471301583</v>
      </c>
      <c r="AV252" s="58">
        <f t="shared" si="71"/>
        <v>-622.32676262853045</v>
      </c>
      <c r="AW252" s="58">
        <f t="shared" si="57"/>
        <v>-157.90107100671096</v>
      </c>
      <c r="AX252" s="58">
        <f t="shared" si="72"/>
        <v>143.86368412349938</v>
      </c>
      <c r="AY252" s="33">
        <f t="shared" si="58"/>
        <v>-59.346155618438466</v>
      </c>
      <c r="AZ252" s="33">
        <f t="shared" si="59"/>
        <v>87.155822176721429</v>
      </c>
      <c r="BA252" s="39">
        <f t="shared" si="60"/>
        <v>-14.454241774528811</v>
      </c>
      <c r="BB252" s="39">
        <f t="shared" si="61"/>
        <v>10.943939463993646</v>
      </c>
      <c r="BC252" s="45">
        <f t="shared" si="62"/>
        <v>-84.10067361374368</v>
      </c>
      <c r="BD252" s="45">
        <f t="shared" si="63"/>
        <v>45.763922482784317</v>
      </c>
      <c r="BE252" s="64">
        <f t="shared" si="64"/>
        <v>4814955719.7729282</v>
      </c>
      <c r="BF252" s="65">
        <f t="shared" si="65"/>
        <v>9832361176.8467083</v>
      </c>
      <c r="BG252" s="66">
        <f t="shared" si="66"/>
        <v>5317930930.9768009</v>
      </c>
    </row>
    <row r="253" spans="43:59" x14ac:dyDescent="0.25">
      <c r="AQ253" s="7">
        <v>238</v>
      </c>
      <c r="AR253" s="58">
        <f t="shared" si="67"/>
        <v>119</v>
      </c>
      <c r="AS253" s="58">
        <f t="shared" si="68"/>
        <v>59525.777783893507</v>
      </c>
      <c r="AT253" s="58">
        <f t="shared" si="69"/>
        <v>-50148.961188949237</v>
      </c>
      <c r="AU253" s="58">
        <f t="shared" si="70"/>
        <v>902.66646920966036</v>
      </c>
      <c r="AV253" s="58">
        <f t="shared" si="71"/>
        <v>-550.3949205667808</v>
      </c>
      <c r="AW253" s="58">
        <f t="shared" si="57"/>
        <v>-155.94154361736125</v>
      </c>
      <c r="AX253" s="58">
        <f t="shared" si="72"/>
        <v>141.69210056051486</v>
      </c>
      <c r="AY253" s="33">
        <f t="shared" si="58"/>
        <v>-58.788335133164829</v>
      </c>
      <c r="AZ253" s="33">
        <f t="shared" si="59"/>
        <v>85.743700452513053</v>
      </c>
      <c r="BA253" s="39">
        <f t="shared" si="60"/>
        <v>-14.301155641502143</v>
      </c>
      <c r="BB253" s="39">
        <f t="shared" si="61"/>
        <v>10.816614179811928</v>
      </c>
      <c r="BC253" s="45">
        <f t="shared" si="62"/>
        <v>-82.852052842694278</v>
      </c>
      <c r="BD253" s="45">
        <f t="shared" si="63"/>
        <v>45.131785928189892</v>
      </c>
      <c r="BE253" s="64">
        <f t="shared" si="64"/>
        <v>4885689835.5867052</v>
      </c>
      <c r="BF253" s="65">
        <f t="shared" si="65"/>
        <v>9942246864.2429333</v>
      </c>
      <c r="BG253" s="66">
        <f t="shared" si="66"/>
        <v>5399025471.2786646</v>
      </c>
    </row>
    <row r="254" spans="43:59" x14ac:dyDescent="0.25">
      <c r="AQ254" s="7">
        <v>239</v>
      </c>
      <c r="AR254" s="58">
        <f t="shared" si="67"/>
        <v>119.5</v>
      </c>
      <c r="AS254" s="58">
        <f t="shared" si="68"/>
        <v>59957.618325546173</v>
      </c>
      <c r="AT254" s="58">
        <f t="shared" si="69"/>
        <v>-50406.447136662558</v>
      </c>
      <c r="AU254" s="58">
        <f t="shared" si="70"/>
        <v>824.69569740097972</v>
      </c>
      <c r="AV254" s="58">
        <f t="shared" si="71"/>
        <v>-479.54887028652337</v>
      </c>
      <c r="AW254" s="58">
        <f t="shared" si="57"/>
        <v>-154.21782123770879</v>
      </c>
      <c r="AX254" s="58">
        <f t="shared" si="72"/>
        <v>139.75346217717177</v>
      </c>
      <c r="AY254" s="33">
        <f t="shared" si="58"/>
        <v>-58.3030256048078</v>
      </c>
      <c r="AZ254" s="33">
        <f t="shared" si="59"/>
        <v>84.492550146158877</v>
      </c>
      <c r="BA254" s="39">
        <f t="shared" si="60"/>
        <v>-14.165795905764094</v>
      </c>
      <c r="BB254" s="39">
        <f t="shared" si="61"/>
        <v>10.701987120805656</v>
      </c>
      <c r="BC254" s="45">
        <f t="shared" si="62"/>
        <v>-81.748999727136876</v>
      </c>
      <c r="BD254" s="45">
        <f t="shared" si="63"/>
        <v>44.558924910207239</v>
      </c>
      <c r="BE254" s="64">
        <f t="shared" si="64"/>
        <v>4949767882.2411194</v>
      </c>
      <c r="BF254" s="65">
        <f t="shared" si="65"/>
        <v>10042159583.968126</v>
      </c>
      <c r="BG254" s="66">
        <f t="shared" si="66"/>
        <v>5473108677.3686123</v>
      </c>
    </row>
    <row r="255" spans="43:59" x14ac:dyDescent="0.25">
      <c r="AQ255" s="7">
        <v>240</v>
      </c>
      <c r="AR255" s="58">
        <f t="shared" si="67"/>
        <v>120</v>
      </c>
      <c r="AS255" s="58">
        <f t="shared" si="68"/>
        <v>60350.688946591952</v>
      </c>
      <c r="AT255" s="58">
        <f t="shared" si="69"/>
        <v>-50628.752389033674</v>
      </c>
      <c r="AU255" s="58">
        <f t="shared" si="70"/>
        <v>747.58678678212527</v>
      </c>
      <c r="AV255" s="58">
        <f t="shared" si="71"/>
        <v>-409.6721391979375</v>
      </c>
      <c r="AW255" s="58">
        <f t="shared" si="57"/>
        <v>-152.71698340097646</v>
      </c>
      <c r="AX255" s="58">
        <f t="shared" si="72"/>
        <v>138.03332248426676</v>
      </c>
      <c r="AY255" s="33">
        <f t="shared" si="58"/>
        <v>-57.887422611058234</v>
      </c>
      <c r="AZ255" s="33">
        <f t="shared" si="59"/>
        <v>83.391975285759216</v>
      </c>
      <c r="BA255" s="39">
        <f t="shared" si="60"/>
        <v>-14.047260847129264</v>
      </c>
      <c r="BB255" s="39">
        <f t="shared" si="61"/>
        <v>10.599385155376329</v>
      </c>
      <c r="BC255" s="45">
        <f t="shared" si="62"/>
        <v>-80.782299942788967</v>
      </c>
      <c r="BD255" s="45">
        <f t="shared" si="63"/>
        <v>44.041962043131214</v>
      </c>
      <c r="BE255" s="64">
        <f t="shared" si="64"/>
        <v>5007129952.7702065</v>
      </c>
      <c r="BF255" s="65">
        <f t="shared" si="65"/>
        <v>10132078830.44273</v>
      </c>
      <c r="BG255" s="66">
        <f t="shared" si="66"/>
        <v>5540120542.5932884</v>
      </c>
    </row>
    <row r="256" spans="43:59" x14ac:dyDescent="0.25">
      <c r="AQ256" s="7">
        <v>241</v>
      </c>
      <c r="AR256" s="58">
        <f t="shared" si="67"/>
        <v>120.5</v>
      </c>
      <c r="AS256" s="58">
        <f t="shared" si="68"/>
        <v>60705.39271705789</v>
      </c>
      <c r="AT256" s="58">
        <f t="shared" si="69"/>
        <v>-50816.334293322107</v>
      </c>
      <c r="AU256" s="58">
        <f t="shared" si="70"/>
        <v>671.22829508163704</v>
      </c>
      <c r="AV256" s="58">
        <f t="shared" si="71"/>
        <v>-340.65547795580414</v>
      </c>
      <c r="AW256" s="58">
        <f t="shared" si="57"/>
        <v>-151.42802290002561</v>
      </c>
      <c r="AX256" s="58">
        <f t="shared" si="72"/>
        <v>136.51925926061563</v>
      </c>
      <c r="AY256" s="33">
        <f t="shared" si="58"/>
        <v>-57.539150228341406</v>
      </c>
      <c r="AZ256" s="33">
        <f t="shared" si="59"/>
        <v>82.433115017300977</v>
      </c>
      <c r="BA256" s="39">
        <f t="shared" si="60"/>
        <v>-13.94477771502422</v>
      </c>
      <c r="BB256" s="39">
        <f t="shared" si="61"/>
        <v>10.508222989958057</v>
      </c>
      <c r="BC256" s="45">
        <f t="shared" si="62"/>
        <v>-79.944094956659995</v>
      </c>
      <c r="BD256" s="45">
        <f t="shared" si="63"/>
        <v>43.577921253356607</v>
      </c>
      <c r="BE256" s="64">
        <f t="shared" si="64"/>
        <v>5057723841.6604052</v>
      </c>
      <c r="BF256" s="65">
        <f t="shared" si="65"/>
        <v>10211986930.49165</v>
      </c>
      <c r="BG256" s="66">
        <f t="shared" si="66"/>
        <v>5600008434.3138065</v>
      </c>
    </row>
    <row r="257" spans="43:59" x14ac:dyDescent="0.25">
      <c r="AQ257" s="7">
        <v>242</v>
      </c>
      <c r="AR257" s="58">
        <f t="shared" si="67"/>
        <v>121</v>
      </c>
      <c r="AS257" s="58">
        <f t="shared" si="68"/>
        <v>61022.078361736203</v>
      </c>
      <c r="AT257" s="58">
        <f t="shared" si="69"/>
        <v>-50969.597124892432</v>
      </c>
      <c r="AU257" s="58">
        <f t="shared" si="70"/>
        <v>595.51428363162427</v>
      </c>
      <c r="AV257" s="58">
        <f t="shared" si="71"/>
        <v>-272.39584832549633</v>
      </c>
      <c r="AW257" s="58">
        <f t="shared" si="57"/>
        <v>-150.34165216678798</v>
      </c>
      <c r="AX257" s="58">
        <f t="shared" si="72"/>
        <v>135.20065161886538</v>
      </c>
      <c r="AY257" s="33">
        <f t="shared" si="58"/>
        <v>-57.25623532798344</v>
      </c>
      <c r="AZ257" s="33">
        <f t="shared" si="59"/>
        <v>81.608469054017391</v>
      </c>
      <c r="BA257" s="39">
        <f t="shared" si="60"/>
        <v>-13.857690030159748</v>
      </c>
      <c r="BB257" s="39">
        <f t="shared" si="61"/>
        <v>10.427994385040275</v>
      </c>
      <c r="BC257" s="45">
        <f t="shared" si="62"/>
        <v>-79.227726808644803</v>
      </c>
      <c r="BD257" s="45">
        <f t="shared" si="63"/>
        <v>43.164188179807724</v>
      </c>
      <c r="BE257" s="64">
        <f t="shared" si="64"/>
        <v>5101504701.0636549</v>
      </c>
      <c r="BF257" s="65">
        <f t="shared" si="65"/>
        <v>10281868955.627014</v>
      </c>
      <c r="BG257" s="66">
        <f t="shared" si="66"/>
        <v>5652726748.5303059</v>
      </c>
    </row>
    <row r="258" spans="43:59" x14ac:dyDescent="0.25">
      <c r="AQ258" s="7">
        <v>243</v>
      </c>
      <c r="AR258" s="58">
        <f t="shared" si="67"/>
        <v>121.5</v>
      </c>
      <c r="AS258" s="58">
        <f t="shared" si="68"/>
        <v>61301.042797031165</v>
      </c>
      <c r="AT258" s="58">
        <f t="shared" si="69"/>
        <v>-51088.894967602821</v>
      </c>
      <c r="AU258" s="58">
        <f t="shared" si="70"/>
        <v>520.34345754823028</v>
      </c>
      <c r="AV258" s="58">
        <f t="shared" si="71"/>
        <v>-204.79552251606364</v>
      </c>
      <c r="AW258" s="58">
        <f t="shared" si="57"/>
        <v>-149.4501443292171</v>
      </c>
      <c r="AX258" s="58">
        <f t="shared" si="72"/>
        <v>134.06849587869232</v>
      </c>
      <c r="AY258" s="33">
        <f t="shared" si="58"/>
        <v>-57.037086258009502</v>
      </c>
      <c r="AZ258" s="33">
        <f t="shared" si="59"/>
        <v>80.911754999775326</v>
      </c>
      <c r="BA258" s="39">
        <f t="shared" si="60"/>
        <v>-13.785447109288842</v>
      </c>
      <c r="BB258" s="39">
        <f t="shared" si="61"/>
        <v>10.358264809015978</v>
      </c>
      <c r="BC258" s="45">
        <f t="shared" si="62"/>
        <v>-78.627610961918762</v>
      </c>
      <c r="BD258" s="45">
        <f t="shared" si="63"/>
        <v>42.798476069901021</v>
      </c>
      <c r="BE258" s="64">
        <f t="shared" si="64"/>
        <v>5138434749.6469946</v>
      </c>
      <c r="BF258" s="65">
        <f t="shared" si="65"/>
        <v>10341712648.247503</v>
      </c>
      <c r="BG258" s="66">
        <f t="shared" si="66"/>
        <v>5698236615.9564266</v>
      </c>
    </row>
    <row r="259" spans="43:59" x14ac:dyDescent="0.25">
      <c r="AQ259" s="7">
        <v>244</v>
      </c>
      <c r="AR259" s="58">
        <f t="shared" si="67"/>
        <v>122</v>
      </c>
      <c r="AS259" s="58">
        <f t="shared" si="68"/>
        <v>61542.533257764124</v>
      </c>
      <c r="AT259" s="58">
        <f t="shared" si="69"/>
        <v>-51174.534166876016</v>
      </c>
      <c r="AU259" s="58">
        <f t="shared" si="70"/>
        <v>445.61838538362173</v>
      </c>
      <c r="AV259" s="58">
        <f t="shared" si="71"/>
        <v>-137.76127457671748</v>
      </c>
      <c r="AW259" s="58">
        <f t="shared" si="57"/>
        <v>-148.74720400994849</v>
      </c>
      <c r="AX259" s="58">
        <f t="shared" si="72"/>
        <v>133.11525435595982</v>
      </c>
      <c r="AY259" s="33">
        <f t="shared" si="58"/>
        <v>-56.880475773932183</v>
      </c>
      <c r="AZ259" s="33">
        <f t="shared" si="59"/>
        <v>80.337792558714384</v>
      </c>
      <c r="BA259" s="39">
        <f t="shared" si="60"/>
        <v>-13.727595495406749</v>
      </c>
      <c r="BB259" s="39">
        <f t="shared" si="61"/>
        <v>10.298665323631621</v>
      </c>
      <c r="BC259" s="45">
        <f t="shared" si="62"/>
        <v>-78.139132740609554</v>
      </c>
      <c r="BD259" s="45">
        <f t="shared" si="63"/>
        <v>42.478796473613812</v>
      </c>
      <c r="BE259" s="64">
        <f t="shared" si="64"/>
        <v>5168483029.1723394</v>
      </c>
      <c r="BF259" s="65">
        <f t="shared" si="65"/>
        <v>10391508360.62785</v>
      </c>
      <c r="BG259" s="66">
        <f t="shared" si="66"/>
        <v>5736505654.5511246</v>
      </c>
    </row>
    <row r="260" spans="43:59" x14ac:dyDescent="0.25">
      <c r="AQ260" s="7">
        <v>245</v>
      </c>
      <c r="AR260" s="58">
        <f t="shared" si="67"/>
        <v>122.5</v>
      </c>
      <c r="AS260" s="58">
        <f t="shared" si="68"/>
        <v>61746.749049954691</v>
      </c>
      <c r="AT260" s="58">
        <f t="shared" si="69"/>
        <v>-51226.775397369878</v>
      </c>
      <c r="AU260" s="58">
        <f t="shared" si="70"/>
        <v>371.24478337864747</v>
      </c>
      <c r="AV260" s="58">
        <f t="shared" si="71"/>
        <v>-71.203647398737573</v>
      </c>
      <c r="AW260" s="58">
        <f t="shared" si="57"/>
        <v>-148.22786396929015</v>
      </c>
      <c r="AX260" s="58">
        <f t="shared" si="72"/>
        <v>132.33473239712106</v>
      </c>
      <c r="AY260" s="33">
        <f t="shared" si="58"/>
        <v>-56.785528092358398</v>
      </c>
      <c r="AZ260" s="33">
        <f t="shared" si="59"/>
        <v>79.882410726412928</v>
      </c>
      <c r="BA260" s="39">
        <f t="shared" si="60"/>
        <v>-13.683772042002799</v>
      </c>
      <c r="BB260" s="39">
        <f t="shared" si="61"/>
        <v>10.248887535485169</v>
      </c>
      <c r="BC260" s="45">
        <f t="shared" si="62"/>
        <v>-77.758563834928964</v>
      </c>
      <c r="BD260" s="45">
        <f t="shared" si="63"/>
        <v>42.203434135222977</v>
      </c>
      <c r="BE260" s="64">
        <f t="shared" si="64"/>
        <v>5191625204.8130207</v>
      </c>
      <c r="BF260" s="65">
        <f t="shared" si="65"/>
        <v>10431249005.796246</v>
      </c>
      <c r="BG260" s="66">
        <f t="shared" si="66"/>
        <v>5767507764.4291115</v>
      </c>
    </row>
    <row r="261" spans="43:59" x14ac:dyDescent="0.25">
      <c r="AQ261" s="7">
        <v>246</v>
      </c>
      <c r="AR261" s="58">
        <f t="shared" si="67"/>
        <v>123</v>
      </c>
      <c r="AS261" s="58">
        <f t="shared" si="68"/>
        <v>61913.842958647852</v>
      </c>
      <c r="AT261" s="58">
        <f t="shared" si="69"/>
        <v>-51245.835379519609</v>
      </c>
      <c r="AU261" s="58">
        <f t="shared" si="70"/>
        <v>297.13085139400238</v>
      </c>
      <c r="AV261" s="58">
        <f t="shared" si="71"/>
        <v>-5.0362812001770436</v>
      </c>
      <c r="AW261" s="58">
        <f t="shared" si="57"/>
        <v>-147.8884045504511</v>
      </c>
      <c r="AX261" s="58">
        <f t="shared" si="72"/>
        <v>131.72197998139202</v>
      </c>
      <c r="AY261" s="33">
        <f t="shared" si="58"/>
        <v>-56.751709971277656</v>
      </c>
      <c r="AZ261" s="33">
        <f t="shared" si="59"/>
        <v>79.542374932505382</v>
      </c>
      <c r="BA261" s="39">
        <f t="shared" si="60"/>
        <v>-13.653698454192984</v>
      </c>
      <c r="BB261" s="39">
        <f t="shared" si="61"/>
        <v>10.208679481308863</v>
      </c>
      <c r="BC261" s="45">
        <f t="shared" si="62"/>
        <v>-77.48299612498046</v>
      </c>
      <c r="BD261" s="45">
        <f t="shared" si="63"/>
        <v>41.970925567577787</v>
      </c>
      <c r="BE261" s="64">
        <f t="shared" si="64"/>
        <v>5207843405.9998121</v>
      </c>
      <c r="BF261" s="65">
        <f t="shared" si="65"/>
        <v>10460930019.589237</v>
      </c>
      <c r="BG261" s="66">
        <f t="shared" si="66"/>
        <v>5791222961.8538208</v>
      </c>
    </row>
    <row r="262" spans="43:59" x14ac:dyDescent="0.25">
      <c r="AQ262" s="7">
        <v>247</v>
      </c>
      <c r="AR262" s="58">
        <f t="shared" si="67"/>
        <v>123.5</v>
      </c>
      <c r="AS262" s="58">
        <f t="shared" si="68"/>
        <v>62043.922333776049</v>
      </c>
      <c r="AT262" s="58">
        <f t="shared" si="69"/>
        <v>-51231.888272622025</v>
      </c>
      <c r="AU262" s="58">
        <f t="shared" si="70"/>
        <v>223.18664911877681</v>
      </c>
      <c r="AV262" s="58">
        <f t="shared" si="71"/>
        <v>60.824708790518969</v>
      </c>
      <c r="AW262" s="58">
        <f t="shared" si="57"/>
        <v>-147.72629360106225</v>
      </c>
      <c r="AX262" s="58">
        <f t="shared" si="72"/>
        <v>131.27321503324907</v>
      </c>
      <c r="AY262" s="33">
        <f t="shared" si="58"/>
        <v>-56.778825764512881</v>
      </c>
      <c r="AZ262" s="33">
        <f t="shared" si="59"/>
        <v>79.315331823193972</v>
      </c>
      <c r="BA262" s="39">
        <f t="shared" si="60"/>
        <v>-13.637177134642943</v>
      </c>
      <c r="BB262" s="39">
        <f t="shared" si="61"/>
        <v>10.177842342365015</v>
      </c>
      <c r="BC262" s="45">
        <f t="shared" si="62"/>
        <v>-77.310290701906439</v>
      </c>
      <c r="BD262" s="45">
        <f t="shared" si="63"/>
        <v>41.780040867690083</v>
      </c>
      <c r="BE262" s="64">
        <f t="shared" si="64"/>
        <v>5217126105.2763491</v>
      </c>
      <c r="BF262" s="65">
        <f t="shared" si="65"/>
        <v>10480549333.341543</v>
      </c>
      <c r="BG262" s="66">
        <f t="shared" si="66"/>
        <v>5807637249.6971607</v>
      </c>
    </row>
    <row r="263" spans="43:59" x14ac:dyDescent="0.25">
      <c r="AQ263" s="7">
        <v>248</v>
      </c>
      <c r="AR263" s="58">
        <f t="shared" si="67"/>
        <v>124</v>
      </c>
      <c r="AS263" s="58">
        <f t="shared" si="68"/>
        <v>62137.04987163531</v>
      </c>
      <c r="AT263" s="58">
        <f t="shared" si="69"/>
        <v>-51185.066766347612</v>
      </c>
      <c r="AU263" s="58">
        <f t="shared" si="70"/>
        <v>149.32350231824569</v>
      </c>
      <c r="AV263" s="58">
        <f t="shared" si="71"/>
        <v>126.46131630714351</v>
      </c>
      <c r="AW263" s="58">
        <f t="shared" si="57"/>
        <v>-147.74014515735456</v>
      </c>
      <c r="AX263" s="58">
        <f t="shared" si="72"/>
        <v>130.98576627750768</v>
      </c>
      <c r="AY263" s="33">
        <f t="shared" si="58"/>
        <v>-56.867016451698603</v>
      </c>
      <c r="AZ263" s="33">
        <f t="shared" si="59"/>
        <v>79.199769975291915</v>
      </c>
      <c r="BA263" s="39">
        <f t="shared" si="60"/>
        <v>-13.634088220439153</v>
      </c>
      <c r="BB263" s="39">
        <f t="shared" si="61"/>
        <v>10.156227906523842</v>
      </c>
      <c r="BC263" s="45">
        <f t="shared" si="62"/>
        <v>-77.23904048521679</v>
      </c>
      <c r="BD263" s="45">
        <f t="shared" si="63"/>
        <v>41.629768395691919</v>
      </c>
      <c r="BE263" s="64">
        <f t="shared" si="64"/>
        <v>5219468033.2553577</v>
      </c>
      <c r="BF263" s="65">
        <f t="shared" si="65"/>
        <v>10490107356.817921</v>
      </c>
      <c r="BG263" s="66">
        <f t="shared" si="66"/>
        <v>5816742522.3514805</v>
      </c>
    </row>
    <row r="264" spans="43:59" x14ac:dyDescent="0.25">
      <c r="AQ264" s="7">
        <v>249</v>
      </c>
      <c r="AR264" s="58">
        <f t="shared" si="67"/>
        <v>124.5</v>
      </c>
      <c r="AS264" s="58">
        <f t="shared" si="68"/>
        <v>62193.244104649762</v>
      </c>
      <c r="AT264" s="58">
        <f t="shared" si="69"/>
        <v>-51105.462887409347</v>
      </c>
      <c r="AU264" s="58">
        <f t="shared" si="70"/>
        <v>75.453429739568406</v>
      </c>
      <c r="AV264" s="58">
        <f t="shared" si="71"/>
        <v>191.95419944589736</v>
      </c>
      <c r="AW264" s="58">
        <f t="shared" si="57"/>
        <v>-147.92969571432207</v>
      </c>
      <c r="AX264" s="58">
        <f t="shared" si="72"/>
        <v>130.85803406270708</v>
      </c>
      <c r="AY264" s="33">
        <f t="shared" si="58"/>
        <v>-57.016762707607789</v>
      </c>
      <c r="AZ264" s="33">
        <f t="shared" si="59"/>
        <v>79.194995353597278</v>
      </c>
      <c r="BA264" s="39">
        <f t="shared" si="60"/>
        <v>-13.644387730315936</v>
      </c>
      <c r="BB264" s="39">
        <f t="shared" si="61"/>
        <v>10.143736716544542</v>
      </c>
      <c r="BC264" s="45">
        <f t="shared" si="62"/>
        <v>-77.268545276398328</v>
      </c>
      <c r="BD264" s="45">
        <f t="shared" si="63"/>
        <v>41.519301992565261</v>
      </c>
      <c r="BE264" s="64">
        <f t="shared" si="64"/>
        <v>5214870128.3220758</v>
      </c>
      <c r="BF264" s="65">
        <f t="shared" si="65"/>
        <v>10489606971.131104</v>
      </c>
      <c r="BG264" s="66">
        <f t="shared" si="66"/>
        <v>5818536503.6211424</v>
      </c>
    </row>
    <row r="265" spans="43:59" x14ac:dyDescent="0.25">
      <c r="AQ265" s="7">
        <v>250</v>
      </c>
      <c r="AR265" s="58">
        <f t="shared" si="67"/>
        <v>125</v>
      </c>
      <c r="AS265" s="58">
        <f t="shared" si="68"/>
        <v>62212.479607555259</v>
      </c>
      <c r="AT265" s="58">
        <f t="shared" si="69"/>
        <v>-50993.128533428557</v>
      </c>
      <c r="AU265" s="58">
        <f t="shared" si="70"/>
        <v>1.4885818824073738</v>
      </c>
      <c r="AV265" s="58">
        <f t="shared" si="71"/>
        <v>257.38321647725093</v>
      </c>
      <c r="AW265" s="58">
        <f t="shared" si="57"/>
        <v>-148.29579739091628</v>
      </c>
      <c r="AX265" s="58">
        <f t="shared" si="72"/>
        <v>130.88946810407947</v>
      </c>
      <c r="AY265" s="33">
        <f t="shared" si="58"/>
        <v>-57.228892145449407</v>
      </c>
      <c r="AZ265" s="33">
        <f t="shared" si="59"/>
        <v>79.301120787283764</v>
      </c>
      <c r="BA265" s="39">
        <f t="shared" si="60"/>
        <v>-13.668106771402535</v>
      </c>
      <c r="BB265" s="39">
        <f t="shared" si="61"/>
        <v>10.140316860606736</v>
      </c>
      <c r="BC265" s="45">
        <f t="shared" si="62"/>
        <v>-77.39879847406435</v>
      </c>
      <c r="BD265" s="45">
        <f t="shared" si="63"/>
        <v>41.448030456188988</v>
      </c>
      <c r="BE265" s="64">
        <f t="shared" si="64"/>
        <v>5203339520.2464619</v>
      </c>
      <c r="BF265" s="65">
        <f t="shared" si="65"/>
        <v>10479053531.518026</v>
      </c>
      <c r="BG265" s="66">
        <f t="shared" si="66"/>
        <v>5813022716.6199408</v>
      </c>
    </row>
    <row r="266" spans="43:59" x14ac:dyDescent="0.25">
      <c r="AQ266" s="7">
        <v>251</v>
      </c>
      <c r="AR266" s="58">
        <f t="shared" si="67"/>
        <v>125.5</v>
      </c>
      <c r="AS266" s="58">
        <f t="shared" si="68"/>
        <v>62194.686923822599</v>
      </c>
      <c r="AT266" s="58">
        <f t="shared" si="69"/>
        <v>-50848.075741676927</v>
      </c>
      <c r="AU266" s="58">
        <f t="shared" si="70"/>
        <v>-72.659316813050765</v>
      </c>
      <c r="AV266" s="58">
        <f t="shared" si="71"/>
        <v>322.82795052929066</v>
      </c>
      <c r="AW266" s="58">
        <f t="shared" si="57"/>
        <v>-148.84042775458852</v>
      </c>
      <c r="AX266" s="58">
        <f t="shared" si="72"/>
        <v>131.08056157893876</v>
      </c>
      <c r="AY266" s="33">
        <f t="shared" si="58"/>
        <v>-57.50459094851017</v>
      </c>
      <c r="AZ266" s="33">
        <f t="shared" si="59"/>
        <v>79.519069171324276</v>
      </c>
      <c r="BA266" s="39">
        <f t="shared" si="60"/>
        <v>-13.705351782224476</v>
      </c>
      <c r="BB266" s="39">
        <f t="shared" si="61"/>
        <v>10.145963376976116</v>
      </c>
      <c r="BC266" s="45">
        <f t="shared" si="62"/>
        <v>-77.630485023853893</v>
      </c>
      <c r="BD266" s="45">
        <f t="shared" si="63"/>
        <v>41.415529030638361</v>
      </c>
      <c r="BE266" s="64">
        <f t="shared" si="64"/>
        <v>5184889547.3558731</v>
      </c>
      <c r="BF266" s="65">
        <f t="shared" si="65"/>
        <v>10458454879.970064</v>
      </c>
      <c r="BG266" s="66">
        <f t="shared" si="66"/>
        <v>5800210485.1715412</v>
      </c>
    </row>
    <row r="267" spans="43:59" x14ac:dyDescent="0.25">
      <c r="AQ267" s="7">
        <v>252</v>
      </c>
      <c r="AR267" s="58">
        <f t="shared" si="67"/>
        <v>126</v>
      </c>
      <c r="AS267" s="58">
        <f t="shared" si="68"/>
        <v>62139.752211946754</v>
      </c>
      <c r="AT267" s="58">
        <f t="shared" si="69"/>
        <v>-50670.276696214918</v>
      </c>
      <c r="AU267" s="58">
        <f t="shared" si="70"/>
        <v>-147.07953069034502</v>
      </c>
      <c r="AV267" s="58">
        <f t="shared" si="71"/>
        <v>388.36823131876002</v>
      </c>
      <c r="AW267" s="58">
        <f t="shared" si="57"/>
        <v>-149.56671651327872</v>
      </c>
      <c r="AX267" s="58">
        <f t="shared" si="72"/>
        <v>131.43286146626951</v>
      </c>
      <c r="AY267" s="33">
        <f t="shared" si="58"/>
        <v>-57.845420194745657</v>
      </c>
      <c r="AZ267" s="33">
        <f t="shared" si="59"/>
        <v>79.850590516363255</v>
      </c>
      <c r="BA267" s="39">
        <f t="shared" si="60"/>
        <v>-13.7563058152169</v>
      </c>
      <c r="BB267" s="39">
        <f t="shared" si="61"/>
        <v>10.160718259454063</v>
      </c>
      <c r="BC267" s="45">
        <f t="shared" si="62"/>
        <v>-77.964990503316173</v>
      </c>
      <c r="BD267" s="45">
        <f t="shared" si="63"/>
        <v>41.421552690452188</v>
      </c>
      <c r="BE267" s="64">
        <f t="shared" si="64"/>
        <v>5159539807.3984756</v>
      </c>
      <c r="BF267" s="65">
        <f t="shared" si="65"/>
        <v>10427821367.835293</v>
      </c>
      <c r="BG267" s="66">
        <f t="shared" si="66"/>
        <v>5780114966.6661425</v>
      </c>
    </row>
    <row r="268" spans="43:59" x14ac:dyDescent="0.25">
      <c r="AQ268" s="7">
        <v>253</v>
      </c>
      <c r="AR268" s="58">
        <f t="shared" si="67"/>
        <v>126.5</v>
      </c>
      <c r="AS268" s="58">
        <f t="shared" si="68"/>
        <v>62047.516607037418</v>
      </c>
      <c r="AT268" s="58">
        <f t="shared" si="69"/>
        <v>-50459.663472872257</v>
      </c>
      <c r="AU268" s="58">
        <f t="shared" si="70"/>
        <v>-221.86288894698438</v>
      </c>
      <c r="AV268" s="58">
        <f t="shared" si="71"/>
        <v>454.08466205189478</v>
      </c>
      <c r="AW268" s="58">
        <f t="shared" si="57"/>
        <v>-150.47898973356149</v>
      </c>
      <c r="AX268" s="58">
        <f t="shared" si="72"/>
        <v>131.94899547878651</v>
      </c>
      <c r="AY268" s="33">
        <f t="shared" si="58"/>
        <v>-58.253337281881137</v>
      </c>
      <c r="AZ268" s="33">
        <f t="shared" si="59"/>
        <v>80.298293394679604</v>
      </c>
      <c r="BA268" s="39">
        <f t="shared" si="60"/>
        <v>-13.821230888588625</v>
      </c>
      <c r="BB268" s="39">
        <f t="shared" si="61"/>
        <v>10.184671064538492</v>
      </c>
      <c r="BC268" s="45">
        <f t="shared" si="62"/>
        <v>-78.404421563091731</v>
      </c>
      <c r="BD268" s="45">
        <f t="shared" si="63"/>
        <v>41.466031019568412</v>
      </c>
      <c r="BE268" s="64">
        <f t="shared" si="64"/>
        <v>5127316242.7076893</v>
      </c>
      <c r="BF268" s="65">
        <f t="shared" si="65"/>
        <v>10387165888.635046</v>
      </c>
      <c r="BG268" s="66">
        <f t="shared" si="66"/>
        <v>5752757216.7803106</v>
      </c>
    </row>
    <row r="269" spans="43:59" x14ac:dyDescent="0.25">
      <c r="AQ269" s="7">
        <v>254</v>
      </c>
      <c r="AR269" s="58">
        <f t="shared" si="67"/>
        <v>127</v>
      </c>
      <c r="AS269" s="58">
        <f t="shared" si="68"/>
        <v>61917.775288847231</v>
      </c>
      <c r="AT269" s="58">
        <f t="shared" si="69"/>
        <v>-50216.127517411456</v>
      </c>
      <c r="AU269" s="58">
        <f t="shared" si="70"/>
        <v>-297.10238381376513</v>
      </c>
      <c r="AV269" s="58">
        <f t="shared" si="71"/>
        <v>520.05915979128804</v>
      </c>
      <c r="AW269" s="58">
        <f t="shared" si="57"/>
        <v>-151.58283271954275</v>
      </c>
      <c r="AX269" s="58">
        <f t="shared" si="72"/>
        <v>132.632716409804</v>
      </c>
      <c r="AY269" s="33">
        <f t="shared" si="58"/>
        <v>-58.730722979292366</v>
      </c>
      <c r="AZ269" s="33">
        <f t="shared" si="59"/>
        <v>80.865691781225834</v>
      </c>
      <c r="BA269" s="39">
        <f t="shared" si="60"/>
        <v>-13.900471465090279</v>
      </c>
      <c r="BB269" s="39">
        <f t="shared" si="61"/>
        <v>10.217960135545503</v>
      </c>
      <c r="BC269" s="45">
        <f t="shared" si="62"/>
        <v>-78.951638275160093</v>
      </c>
      <c r="BD269" s="45">
        <f t="shared" si="63"/>
        <v>41.54906449303266</v>
      </c>
      <c r="BE269" s="64">
        <f t="shared" si="64"/>
        <v>5088251260.7723923</v>
      </c>
      <c r="BF269" s="65">
        <f t="shared" si="65"/>
        <v>10336503921.467228</v>
      </c>
      <c r="BG269" s="66">
        <f t="shared" si="66"/>
        <v>5718164286.9312372</v>
      </c>
    </row>
    <row r="270" spans="43:59" x14ac:dyDescent="0.25">
      <c r="AQ270" s="7">
        <v>255</v>
      </c>
      <c r="AR270" s="58">
        <f t="shared" si="67"/>
        <v>127.5</v>
      </c>
      <c r="AS270" s="58">
        <f t="shared" si="68"/>
        <v>61750.276242850407</v>
      </c>
      <c r="AT270" s="58">
        <f t="shared" si="69"/>
        <v>-49939.518847964588</v>
      </c>
      <c r="AU270" s="58">
        <f t="shared" si="70"/>
        <v>-372.89380017353653</v>
      </c>
      <c r="AV270" s="58">
        <f t="shared" si="71"/>
        <v>586.37551799619007</v>
      </c>
      <c r="AW270" s="58">
        <f t="shared" si="57"/>
        <v>-152.88517320816527</v>
      </c>
      <c r="AX270" s="58">
        <f t="shared" si="72"/>
        <v>133.48896523025437</v>
      </c>
      <c r="AY270" s="33">
        <f t="shared" si="58"/>
        <v>-59.280414771253398</v>
      </c>
      <c r="AZ270" s="33">
        <f t="shared" si="59"/>
        <v>81.55726878936926</v>
      </c>
      <c r="BA270" s="39">
        <f t="shared" si="60"/>
        <v>-13.994459145246674</v>
      </c>
      <c r="BB270" s="39">
        <f t="shared" si="61"/>
        <v>10.260774473859271</v>
      </c>
      <c r="BC270" s="45">
        <f t="shared" si="62"/>
        <v>-79.6102992916652</v>
      </c>
      <c r="BD270" s="45">
        <f t="shared" si="63"/>
        <v>41.670921967025841</v>
      </c>
      <c r="BE270" s="64">
        <f t="shared" si="64"/>
        <v>5042383891.8399982</v>
      </c>
      <c r="BF270" s="65">
        <f t="shared" si="65"/>
        <v>10275853585.507854</v>
      </c>
      <c r="BG270" s="66">
        <f t="shared" si="66"/>
        <v>5676369355.8241119</v>
      </c>
    </row>
    <row r="271" spans="43:59" x14ac:dyDescent="0.25">
      <c r="AQ271" s="7">
        <v>256</v>
      </c>
      <c r="AR271" s="58">
        <f t="shared" si="67"/>
        <v>128</v>
      </c>
      <c r="AS271" s="58">
        <f t="shared" si="68"/>
        <v>61544.718696112621</v>
      </c>
      <c r="AT271" s="58">
        <f t="shared" si="69"/>
        <v>-49629.644968312714</v>
      </c>
      <c r="AU271" s="58">
        <f t="shared" si="70"/>
        <v>-449.33638677761917</v>
      </c>
      <c r="AV271" s="58">
        <f t="shared" si="71"/>
        <v>653.12000061131721</v>
      </c>
      <c r="AW271" s="58">
        <f t="shared" si="57"/>
        <v>-154.39438712528258</v>
      </c>
      <c r="AX271" s="58">
        <f t="shared" si="72"/>
        <v>134.52395484715896</v>
      </c>
      <c r="AY271" s="33">
        <f t="shared" si="58"/>
        <v>-59.905747318956799</v>
      </c>
      <c r="AZ271" s="33">
        <f t="shared" si="59"/>
        <v>82.378559376638407</v>
      </c>
      <c r="BA271" s="39">
        <f t="shared" si="60"/>
        <v>-14.103718696202609</v>
      </c>
      <c r="BB271" s="39">
        <f t="shared" si="61"/>
        <v>10.313356303571474</v>
      </c>
      <c r="BC271" s="45">
        <f t="shared" si="62"/>
        <v>-80.384921110123173</v>
      </c>
      <c r="BD271" s="45">
        <f t="shared" si="63"/>
        <v>41.832039166949066</v>
      </c>
      <c r="BE271" s="64">
        <f t="shared" si="64"/>
        <v>4989759985.7445879</v>
      </c>
      <c r="BF271" s="65">
        <f t="shared" si="65"/>
        <v>10205235706.275162</v>
      </c>
      <c r="BG271" s="66">
        <f t="shared" si="66"/>
        <v>5627411896.9761477</v>
      </c>
    </row>
    <row r="272" spans="43:59" x14ac:dyDescent="0.25">
      <c r="AQ272" s="7">
        <v>257</v>
      </c>
      <c r="AR272" s="58">
        <f t="shared" si="67"/>
        <v>128.5</v>
      </c>
      <c r="AS272" s="58">
        <f t="shared" si="68"/>
        <v>61300.751204333152</v>
      </c>
      <c r="AT272" s="58">
        <f t="shared" si="69"/>
        <v>-49286.269473651155</v>
      </c>
      <c r="AU272" s="58">
        <f t="shared" si="70"/>
        <v>-526.53358034026041</v>
      </c>
      <c r="AV272" s="58">
        <f t="shared" si="71"/>
        <v>720.38197803489675</v>
      </c>
      <c r="AW272" s="58">
        <f t="shared" ref="AW272:AW335" si="73">(AY272+BA272+BC272)</f>
        <v>-156.12042982940608</v>
      </c>
      <c r="AX272" s="58">
        <f t="shared" si="72"/>
        <v>135.74527710197785</v>
      </c>
      <c r="AY272" s="33">
        <f t="shared" ref="AY272:AY335" si="74">$H$27*(($H$23-AS272)/(BE272+$H$28^2)^(3/2))</f>
        <v>-60.610601062014126</v>
      </c>
      <c r="AZ272" s="33">
        <f t="shared" ref="AZ272:AZ335" si="75">$H$27*(($I$23-AT272)/(BE272+$H$28^2)^(3/2))</f>
        <v>83.336254777525511</v>
      </c>
      <c r="BA272" s="39">
        <f t="shared" ref="BA272:BA335" si="76">$H$35*(($H$31-AS272)/(BF272+$H$36^2)^(3/2))</f>
        <v>-14.228875576000263</v>
      </c>
      <c r="BB272" s="39">
        <f t="shared" ref="BB272:BB335" si="77">$H$35*(($I$31-AT272)/(BF272+$H$36^2)^(3/2))</f>
        <v>10.376004393681963</v>
      </c>
      <c r="BC272" s="45">
        <f t="shared" ref="BC272:BC335" si="78">$H$43*(($H$39-AS272)/(BG272+$H$44^2)^(3/2))</f>
        <v>-81.280953191391674</v>
      </c>
      <c r="BD272" s="45">
        <f t="shared" ref="BD272:BD335" si="79">$H$43*(($I$39-AT272)/(BG272+$H$44^2)^(3/2))</f>
        <v>42.03301793077037</v>
      </c>
      <c r="BE272" s="64">
        <f t="shared" ref="BE272:BE335" si="80">($H$23-AS272)^2+($I$23-AT272)^2</f>
        <v>4930432450.7763519</v>
      </c>
      <c r="BF272" s="65">
        <f t="shared" ref="BF272:BF335" si="81">($H$31-AS272)^2+($I$31-AT272)^2</f>
        <v>10124673894.491261</v>
      </c>
      <c r="BG272" s="66">
        <f t="shared" ref="BG272:BG335" si="82">($H$39-AS272)^2+($I$39-AT272)^2</f>
        <v>5571337884.6787062</v>
      </c>
    </row>
    <row r="273" spans="43:59" x14ac:dyDescent="0.25">
      <c r="AQ273" s="7">
        <v>258</v>
      </c>
      <c r="AR273" s="58">
        <f t="shared" ref="AR273:AR336" si="83">AR272+$H$9</f>
        <v>129</v>
      </c>
      <c r="AS273" s="58">
        <f t="shared" ref="AS273:AS336" si="84">AS272+(AU272*$H$9)+(AW272*$H$9^2)*(1/2)</f>
        <v>61017.969360434348</v>
      </c>
      <c r="AT273" s="58">
        <f t="shared" ref="AT273:AT336" si="85">AT272+(AV272*$H$9)+(AX272*$H$9^2)*(1/2)</f>
        <v>-48909.110324995956</v>
      </c>
      <c r="AU273" s="58">
        <f t="shared" ref="AU273:AU336" si="86">AU272+AW272*$H$9</f>
        <v>-604.59379525496342</v>
      </c>
      <c r="AV273" s="58">
        <f t="shared" ref="AV273:AV336" si="87">AV272+AX272*$H$9</f>
        <v>788.25461658588563</v>
      </c>
      <c r="AW273" s="58">
        <f t="shared" si="73"/>
        <v>-158.07499657818656</v>
      </c>
      <c r="AX273" s="58">
        <f t="shared" ref="AX273:AX336" si="88">(AZ273+BB273+BD273)</f>
        <v>137.16203638012703</v>
      </c>
      <c r="AY273" s="33">
        <f t="shared" si="74"/>
        <v>-61.39946021140171</v>
      </c>
      <c r="AZ273" s="33">
        <f t="shared" si="75"/>
        <v>84.43833224715938</v>
      </c>
      <c r="BA273" s="39">
        <f t="shared" si="76"/>
        <v>-14.370665158685513</v>
      </c>
      <c r="BB273" s="39">
        <f t="shared" si="77"/>
        <v>10.449078222515968</v>
      </c>
      <c r="BC273" s="45">
        <f t="shared" si="78"/>
        <v>-82.304871208099328</v>
      </c>
      <c r="BD273" s="45">
        <f t="shared" si="79"/>
        <v>42.274625910451682</v>
      </c>
      <c r="BE273" s="64">
        <f t="shared" si="80"/>
        <v>4864461538.1110964</v>
      </c>
      <c r="BF273" s="65">
        <f t="shared" si="81"/>
        <v>10034194638.570824</v>
      </c>
      <c r="BG273" s="66">
        <f t="shared" si="82"/>
        <v>5508200041.5079956</v>
      </c>
    </row>
    <row r="274" spans="43:59" x14ac:dyDescent="0.25">
      <c r="AQ274" s="7">
        <v>259</v>
      </c>
      <c r="AR274" s="58">
        <f t="shared" si="83"/>
        <v>129.5</v>
      </c>
      <c r="AS274" s="58">
        <f t="shared" si="84"/>
        <v>60695.9130882346</v>
      </c>
      <c r="AT274" s="58">
        <f t="shared" si="85"/>
        <v>-48497.837762155497</v>
      </c>
      <c r="AU274" s="58">
        <f t="shared" si="86"/>
        <v>-683.63129354405669</v>
      </c>
      <c r="AV274" s="58">
        <f t="shared" si="87"/>
        <v>856.83563477594919</v>
      </c>
      <c r="AW274" s="58">
        <f t="shared" si="73"/>
        <v>-160.27171692574296</v>
      </c>
      <c r="AX274" s="58">
        <f t="shared" si="88"/>
        <v>138.78501416502536</v>
      </c>
      <c r="AY274" s="33">
        <f t="shared" si="74"/>
        <v>-62.277481664184357</v>
      </c>
      <c r="AZ274" s="33">
        <f t="shared" si="75"/>
        <v>85.69421472140003</v>
      </c>
      <c r="BA274" s="39">
        <f t="shared" si="76"/>
        <v>-14.529943920381198</v>
      </c>
      <c r="BB274" s="39">
        <f t="shared" si="77"/>
        <v>10.533003092960874</v>
      </c>
      <c r="BC274" s="45">
        <f t="shared" si="78"/>
        <v>-83.464291341177429</v>
      </c>
      <c r="BD274" s="45">
        <f t="shared" si="79"/>
        <v>42.557796350664475</v>
      </c>
      <c r="BE274" s="64">
        <f t="shared" si="80"/>
        <v>4791915176.1218328</v>
      </c>
      <c r="BF274" s="65">
        <f t="shared" si="81"/>
        <v>9933827411.9913788</v>
      </c>
      <c r="BG274" s="66">
        <f t="shared" si="82"/>
        <v>5438058131.2365656</v>
      </c>
    </row>
    <row r="275" spans="43:59" x14ac:dyDescent="0.25">
      <c r="AQ275" s="7">
        <v>260</v>
      </c>
      <c r="AR275" s="58">
        <f t="shared" si="83"/>
        <v>130</v>
      </c>
      <c r="AS275" s="58">
        <f t="shared" si="84"/>
        <v>60334.063476846859</v>
      </c>
      <c r="AT275" s="58">
        <f t="shared" si="85"/>
        <v>-48052.07181799689</v>
      </c>
      <c r="AU275" s="58">
        <f t="shared" si="86"/>
        <v>-763.7671520069282</v>
      </c>
      <c r="AV275" s="58">
        <f t="shared" si="87"/>
        <v>926.22814185846187</v>
      </c>
      <c r="AW275" s="58">
        <f t="shared" si="73"/>
        <v>-162.72638894622258</v>
      </c>
      <c r="AX275" s="58">
        <f t="shared" si="88"/>
        <v>140.62687005719297</v>
      </c>
      <c r="AY275" s="33">
        <f t="shared" si="74"/>
        <v>-63.250576707117595</v>
      </c>
      <c r="AZ275" s="33">
        <f t="shared" si="75"/>
        <v>87.11496628105678</v>
      </c>
      <c r="BA275" s="39">
        <f t="shared" si="76"/>
        <v>-14.707702913254476</v>
      </c>
      <c r="BB275" s="39">
        <f t="shared" si="77"/>
        <v>10.628276335655407</v>
      </c>
      <c r="BC275" s="45">
        <f t="shared" si="78"/>
        <v>-84.768109325850517</v>
      </c>
      <c r="BD275" s="45">
        <f t="shared" si="79"/>
        <v>42.883627440480787</v>
      </c>
      <c r="BE275" s="64">
        <f t="shared" si="80"/>
        <v>4712869359.8261967</v>
      </c>
      <c r="BF275" s="65">
        <f t="shared" si="81"/>
        <v>9823604797.0639305</v>
      </c>
      <c r="BG275" s="66">
        <f t="shared" si="82"/>
        <v>5360979301.8586788</v>
      </c>
    </row>
    <row r="276" spans="43:59" x14ac:dyDescent="0.25">
      <c r="AQ276" s="7">
        <v>261</v>
      </c>
      <c r="AR276" s="58">
        <f t="shared" si="83"/>
        <v>130.5</v>
      </c>
      <c r="AS276" s="58">
        <f t="shared" si="84"/>
        <v>59931.839102225116</v>
      </c>
      <c r="AT276" s="58">
        <f t="shared" si="85"/>
        <v>-47571.37938831051</v>
      </c>
      <c r="AU276" s="58">
        <f t="shared" si="86"/>
        <v>-845.13034648003952</v>
      </c>
      <c r="AV276" s="58">
        <f t="shared" si="87"/>
        <v>996.54157688705834</v>
      </c>
      <c r="AW276" s="58">
        <f t="shared" si="73"/>
        <v>-165.45726064330859</v>
      </c>
      <c r="AX276" s="58">
        <f t="shared" si="88"/>
        <v>142.70238626408863</v>
      </c>
      <c r="AY276" s="33">
        <f t="shared" si="74"/>
        <v>-64.325507785055905</v>
      </c>
      <c r="AZ276" s="33">
        <f t="shared" si="75"/>
        <v>88.713530937249942</v>
      </c>
      <c r="BA276" s="39">
        <f t="shared" si="76"/>
        <v>-14.905083936841178</v>
      </c>
      <c r="BB276" s="39">
        <f t="shared" si="77"/>
        <v>10.73547477176224</v>
      </c>
      <c r="BC276" s="45">
        <f t="shared" si="78"/>
        <v>-86.226668921411502</v>
      </c>
      <c r="BD276" s="45">
        <f t="shared" si="79"/>
        <v>43.253380555076454</v>
      </c>
      <c r="BE276" s="64">
        <f t="shared" si="80"/>
        <v>4627408601.8172264</v>
      </c>
      <c r="BF276" s="65">
        <f t="shared" si="81"/>
        <v>9703562626.9367886</v>
      </c>
      <c r="BG276" s="66">
        <f t="shared" si="82"/>
        <v>5277038484.4545088</v>
      </c>
    </row>
    <row r="277" spans="43:59" x14ac:dyDescent="0.25">
      <c r="AQ277" s="7">
        <v>262</v>
      </c>
      <c r="AR277" s="58">
        <f t="shared" si="83"/>
        <v>131</v>
      </c>
      <c r="AS277" s="58">
        <f t="shared" si="84"/>
        <v>59488.591771404681</v>
      </c>
      <c r="AT277" s="58">
        <f t="shared" si="85"/>
        <v>-47055.270801583967</v>
      </c>
      <c r="AU277" s="58">
        <f t="shared" si="86"/>
        <v>-927.85897680169387</v>
      </c>
      <c r="AV277" s="58">
        <f t="shared" si="87"/>
        <v>1067.8927700191027</v>
      </c>
      <c r="AW277" s="58">
        <f t="shared" si="73"/>
        <v>-168.48536772752277</v>
      </c>
      <c r="AX277" s="58">
        <f t="shared" si="88"/>
        <v>145.02876444633779</v>
      </c>
      <c r="AY277" s="33">
        <f t="shared" si="74"/>
        <v>-65.510003107767119</v>
      </c>
      <c r="AZ277" s="33">
        <f t="shared" si="75"/>
        <v>90.505024348446454</v>
      </c>
      <c r="BA277" s="39">
        <f t="shared" si="76"/>
        <v>-15.123398919317051</v>
      </c>
      <c r="BB277" s="39">
        <f t="shared" si="77"/>
        <v>10.855263649197347</v>
      </c>
      <c r="BC277" s="45">
        <f t="shared" si="78"/>
        <v>-87.851965700438612</v>
      </c>
      <c r="BD277" s="45">
        <f t="shared" si="79"/>
        <v>43.66847644869398</v>
      </c>
      <c r="BE277" s="64">
        <f t="shared" si="80"/>
        <v>4535626452.3228092</v>
      </c>
      <c r="BF277" s="65">
        <f t="shared" si="81"/>
        <v>9573740148.0431042</v>
      </c>
      <c r="BG277" s="66">
        <f t="shared" si="82"/>
        <v>5186318854.8217649</v>
      </c>
    </row>
    <row r="278" spans="43:59" x14ac:dyDescent="0.25">
      <c r="AQ278" s="7">
        <v>263</v>
      </c>
      <c r="AR278" s="58">
        <f t="shared" si="83"/>
        <v>131.5</v>
      </c>
      <c r="AS278" s="58">
        <f t="shared" si="84"/>
        <v>59003.601612037892</v>
      </c>
      <c r="AT278" s="58">
        <f t="shared" si="85"/>
        <v>-46503.195821018628</v>
      </c>
      <c r="AU278" s="58">
        <f t="shared" si="86"/>
        <v>-1012.1016606654553</v>
      </c>
      <c r="AV278" s="58">
        <f t="shared" si="87"/>
        <v>1140.4071522422716</v>
      </c>
      <c r="AW278" s="58">
        <f t="shared" si="73"/>
        <v>-171.83493922747323</v>
      </c>
      <c r="AX278" s="58">
        <f t="shared" si="88"/>
        <v>147.62598621002127</v>
      </c>
      <c r="AY278" s="33">
        <f t="shared" si="74"/>
        <v>-66.812892474966063</v>
      </c>
      <c r="AZ278" s="33">
        <f t="shared" si="75"/>
        <v>92.507090795960352</v>
      </c>
      <c r="BA278" s="39">
        <f t="shared" si="76"/>
        <v>-15.364153151434413</v>
      </c>
      <c r="BB278" s="39">
        <f t="shared" si="77"/>
        <v>10.988407318475236</v>
      </c>
      <c r="BC278" s="45">
        <f t="shared" si="78"/>
        <v>-89.657893601072743</v>
      </c>
      <c r="BD278" s="45">
        <f t="shared" si="79"/>
        <v>44.13048809558569</v>
      </c>
      <c r="BE278" s="64">
        <f t="shared" si="80"/>
        <v>4437626097.5938482</v>
      </c>
      <c r="BF278" s="65">
        <f t="shared" si="81"/>
        <v>9434180205.661974</v>
      </c>
      <c r="BG278" s="66">
        <f t="shared" si="82"/>
        <v>5088912366.2499046</v>
      </c>
    </row>
    <row r="279" spans="43:59" x14ac:dyDescent="0.25">
      <c r="AQ279" s="7">
        <v>264</v>
      </c>
      <c r="AR279" s="58">
        <f t="shared" si="83"/>
        <v>132</v>
      </c>
      <c r="AS279" s="58">
        <f t="shared" si="84"/>
        <v>58476.071414301725</v>
      </c>
      <c r="AT279" s="58">
        <f t="shared" si="85"/>
        <v>-45914.538996621239</v>
      </c>
      <c r="AU279" s="58">
        <f t="shared" si="86"/>
        <v>-1098.0191302791918</v>
      </c>
      <c r="AV279" s="58">
        <f t="shared" si="87"/>
        <v>1214.2201453472824</v>
      </c>
      <c r="AW279" s="58">
        <f t="shared" si="73"/>
        <v>-175.53388528332684</v>
      </c>
      <c r="AX279" s="58">
        <f t="shared" si="88"/>
        <v>150.51725163794762</v>
      </c>
      <c r="AY279" s="33">
        <f t="shared" si="74"/>
        <v>-68.24426843747095</v>
      </c>
      <c r="AZ279" s="33">
        <f t="shared" si="75"/>
        <v>94.740341301950878</v>
      </c>
      <c r="BA279" s="39">
        <f t="shared" si="76"/>
        <v>-15.629073181508005</v>
      </c>
      <c r="BB279" s="39">
        <f t="shared" si="77"/>
        <v>11.135781979641958</v>
      </c>
      <c r="BC279" s="45">
        <f t="shared" si="78"/>
        <v>-91.660543664347884</v>
      </c>
      <c r="BD279" s="45">
        <f t="shared" si="79"/>
        <v>44.641128356354791</v>
      </c>
      <c r="BE279" s="64">
        <f t="shared" si="80"/>
        <v>4333521047.700017</v>
      </c>
      <c r="BF279" s="65">
        <f t="shared" si="81"/>
        <v>9284929455.827261</v>
      </c>
      <c r="BG279" s="66">
        <f t="shared" si="82"/>
        <v>4984920363.5671482</v>
      </c>
    </row>
    <row r="280" spans="43:59" x14ac:dyDescent="0.25">
      <c r="AQ280" s="7">
        <v>265</v>
      </c>
      <c r="AR280" s="58">
        <f t="shared" si="83"/>
        <v>132.5</v>
      </c>
      <c r="AS280" s="58">
        <f t="shared" si="84"/>
        <v>57905.120113501711</v>
      </c>
      <c r="AT280" s="58">
        <f t="shared" si="85"/>
        <v>-45288.614267492856</v>
      </c>
      <c r="AU280" s="58">
        <f t="shared" si="86"/>
        <v>-1185.7860729208553</v>
      </c>
      <c r="AV280" s="58">
        <f t="shared" si="87"/>
        <v>1289.4787711662561</v>
      </c>
      <c r="AW280" s="58">
        <f t="shared" si="73"/>
        <v>-179.61438512774575</v>
      </c>
      <c r="AX280" s="58">
        <f t="shared" si="88"/>
        <v>153.72951429428775</v>
      </c>
      <c r="AY280" s="33">
        <f t="shared" si="74"/>
        <v>-69.815677808265875</v>
      </c>
      <c r="AZ280" s="33">
        <f t="shared" si="75"/>
        <v>97.2288934742447</v>
      </c>
      <c r="BA280" s="39">
        <f t="shared" si="76"/>
        <v>-15.920140392556263</v>
      </c>
      <c r="BB280" s="39">
        <f t="shared" si="77"/>
        <v>11.298390914050179</v>
      </c>
      <c r="BC280" s="45">
        <f t="shared" si="78"/>
        <v>-93.878566926923611</v>
      </c>
      <c r="BD280" s="45">
        <f t="shared" si="79"/>
        <v>45.20222990599288</v>
      </c>
      <c r="BE280" s="64">
        <f t="shared" si="80"/>
        <v>4223435927.1011419</v>
      </c>
      <c r="BF280" s="65">
        <f t="shared" si="81"/>
        <v>9126038607.5187416</v>
      </c>
      <c r="BG280" s="66">
        <f t="shared" si="82"/>
        <v>4874454290.7390499</v>
      </c>
    </row>
    <row r="281" spans="43:59" x14ac:dyDescent="0.25">
      <c r="AQ281" s="7">
        <v>266</v>
      </c>
      <c r="AR281" s="58">
        <f t="shared" si="83"/>
        <v>133</v>
      </c>
      <c r="AS281" s="58">
        <f t="shared" si="84"/>
        <v>57289.775278900313</v>
      </c>
      <c r="AT281" s="58">
        <f t="shared" si="85"/>
        <v>-44624.658692622943</v>
      </c>
      <c r="AU281" s="58">
        <f t="shared" si="86"/>
        <v>-1275.5932654847281</v>
      </c>
      <c r="AV281" s="58">
        <f t="shared" si="87"/>
        <v>1366.3435283133999</v>
      </c>
      <c r="AW281" s="58">
        <f t="shared" si="73"/>
        <v>-184.11359792249047</v>
      </c>
      <c r="AX281" s="58">
        <f t="shared" si="88"/>
        <v>157.29413644608525</v>
      </c>
      <c r="AY281" s="33">
        <f t="shared" si="74"/>
        <v>-71.540349618146152</v>
      </c>
      <c r="AZ281" s="33">
        <f t="shared" si="75"/>
        <v>100.00103992867923</v>
      </c>
      <c r="BA281" s="39">
        <f t="shared" si="76"/>
        <v>-16.23963155814403</v>
      </c>
      <c r="BB281" s="39">
        <f t="shared" si="77"/>
        <v>11.477382719208595</v>
      </c>
      <c r="BC281" s="45">
        <f t="shared" si="78"/>
        <v>-96.333616746200292</v>
      </c>
      <c r="BD281" s="45">
        <f t="shared" si="79"/>
        <v>45.815713798197422</v>
      </c>
      <c r="BE281" s="64">
        <f t="shared" si="80"/>
        <v>4107507384.1733174</v>
      </c>
      <c r="BF281" s="65">
        <f t="shared" si="81"/>
        <v>8957562699.9484577</v>
      </c>
      <c r="BG281" s="66">
        <f t="shared" si="82"/>
        <v>4757636506.9503012</v>
      </c>
    </row>
    <row r="282" spans="43:59" x14ac:dyDescent="0.25">
      <c r="AQ282" s="7">
        <v>267</v>
      </c>
      <c r="AR282" s="58">
        <f t="shared" si="83"/>
        <v>133.5</v>
      </c>
      <c r="AS282" s="58">
        <f t="shared" si="84"/>
        <v>56628.964446417638</v>
      </c>
      <c r="AT282" s="58">
        <f t="shared" si="85"/>
        <v>-43921.825161410481</v>
      </c>
      <c r="AU282" s="58">
        <f t="shared" si="86"/>
        <v>-1367.6500644459734</v>
      </c>
      <c r="AV282" s="58">
        <f t="shared" si="87"/>
        <v>1444.9905965364426</v>
      </c>
      <c r="AW282" s="58">
        <f t="shared" si="73"/>
        <v>-189.07452508985551</v>
      </c>
      <c r="AX282" s="58">
        <f t="shared" si="88"/>
        <v>161.24769528023245</v>
      </c>
      <c r="AY282" s="33">
        <f t="shared" si="74"/>
        <v>-73.433466900885065</v>
      </c>
      <c r="AZ282" s="33">
        <f t="shared" si="75"/>
        <v>103.09008056990925</v>
      </c>
      <c r="BA282" s="39">
        <f t="shared" si="76"/>
        <v>-16.590168033123483</v>
      </c>
      <c r="BB282" s="39">
        <f t="shared" si="77"/>
        <v>11.674073198601427</v>
      </c>
      <c r="BC282" s="45">
        <f t="shared" si="78"/>
        <v>-99.050890155846957</v>
      </c>
      <c r="BD282" s="45">
        <f t="shared" si="79"/>
        <v>46.483541511721782</v>
      </c>
      <c r="BE282" s="64">
        <f t="shared" si="80"/>
        <v>3985885139.3475952</v>
      </c>
      <c r="BF282" s="65">
        <f t="shared" si="81"/>
        <v>8779561420.8680592</v>
      </c>
      <c r="BG282" s="66">
        <f t="shared" si="82"/>
        <v>4634601229.4050055</v>
      </c>
    </row>
    <row r="283" spans="43:59" x14ac:dyDescent="0.25">
      <c r="AQ283" s="7">
        <v>268</v>
      </c>
      <c r="AR283" s="58">
        <f t="shared" si="83"/>
        <v>134</v>
      </c>
      <c r="AS283" s="58">
        <f t="shared" si="84"/>
        <v>55921.505098558417</v>
      </c>
      <c r="AT283" s="58">
        <f t="shared" si="85"/>
        <v>-43179.173901232229</v>
      </c>
      <c r="AU283" s="58">
        <f t="shared" si="86"/>
        <v>-1462.1873269909011</v>
      </c>
      <c r="AV283" s="58">
        <f t="shared" si="87"/>
        <v>1525.6144441765589</v>
      </c>
      <c r="AW283" s="58">
        <f t="shared" si="73"/>
        <v>-194.54706045040757</v>
      </c>
      <c r="AX283" s="58">
        <f t="shared" si="88"/>
        <v>165.63298029892175</v>
      </c>
      <c r="AY283" s="33">
        <f t="shared" si="74"/>
        <v>-75.512491205375454</v>
      </c>
      <c r="AZ283" s="33">
        <f t="shared" si="75"/>
        <v>106.53536545900666</v>
      </c>
      <c r="BA283" s="39">
        <f t="shared" si="76"/>
        <v>-16.974775709129613</v>
      </c>
      <c r="BB283" s="39">
        <f t="shared" si="77"/>
        <v>11.889971730649433</v>
      </c>
      <c r="BC283" s="45">
        <f t="shared" si="78"/>
        <v>-102.05979353590251</v>
      </c>
      <c r="BD283" s="45">
        <f t="shared" si="79"/>
        <v>47.207643109265653</v>
      </c>
      <c r="BE283" s="64">
        <f t="shared" si="80"/>
        <v>3858733195.8570962</v>
      </c>
      <c r="BF283" s="65">
        <f t="shared" si="81"/>
        <v>8592099473.2479286</v>
      </c>
      <c r="BG283" s="66">
        <f t="shared" si="82"/>
        <v>4505495625.2295666</v>
      </c>
    </row>
    <row r="284" spans="43:59" x14ac:dyDescent="0.25">
      <c r="AQ284" s="7">
        <v>269</v>
      </c>
      <c r="AR284" s="58">
        <f t="shared" si="83"/>
        <v>134.5</v>
      </c>
      <c r="AS284" s="58">
        <f t="shared" si="84"/>
        <v>55166.093052506665</v>
      </c>
      <c r="AT284" s="58">
        <f t="shared" si="85"/>
        <v>-42395.662556606578</v>
      </c>
      <c r="AU284" s="58">
        <f t="shared" si="86"/>
        <v>-1559.4608572161048</v>
      </c>
      <c r="AV284" s="58">
        <f t="shared" si="87"/>
        <v>1608.4309343260197</v>
      </c>
      <c r="AW284" s="58">
        <f t="shared" si="73"/>
        <v>-200.58927436117585</v>
      </c>
      <c r="AX284" s="58">
        <f t="shared" si="88"/>
        <v>170.5002347627215</v>
      </c>
      <c r="AY284" s="33">
        <f t="shared" si="74"/>
        <v>-77.79755045150543</v>
      </c>
      <c r="AZ284" s="33">
        <f t="shared" si="75"/>
        <v>110.38361069178244</v>
      </c>
      <c r="BA284" s="39">
        <f t="shared" si="76"/>
        <v>-17.396958494054765</v>
      </c>
      <c r="BB284" s="39">
        <f t="shared" si="77"/>
        <v>12.126813164667817</v>
      </c>
      <c r="BC284" s="45">
        <f t="shared" si="78"/>
        <v>-105.39476541561565</v>
      </c>
      <c r="BD284" s="45">
        <f t="shared" si="79"/>
        <v>47.989810906271259</v>
      </c>
      <c r="BE284" s="64">
        <f t="shared" si="80"/>
        <v>3726231242.5403094</v>
      </c>
      <c r="BF284" s="65">
        <f t="shared" si="81"/>
        <v>8395246999.5238752</v>
      </c>
      <c r="BG284" s="66">
        <f t="shared" si="82"/>
        <v>4370481080.1183462</v>
      </c>
    </row>
    <row r="285" spans="43:59" x14ac:dyDescent="0.25">
      <c r="AQ285" s="7">
        <v>270</v>
      </c>
      <c r="AR285" s="58">
        <f t="shared" si="83"/>
        <v>135</v>
      </c>
      <c r="AS285" s="58">
        <f t="shared" si="84"/>
        <v>54361.288964603467</v>
      </c>
      <c r="AT285" s="58">
        <f t="shared" si="85"/>
        <v>-41570.134560098224</v>
      </c>
      <c r="AU285" s="58">
        <f t="shared" si="86"/>
        <v>-1659.7554943966927</v>
      </c>
      <c r="AV285" s="58">
        <f t="shared" si="87"/>
        <v>1693.6810517073804</v>
      </c>
      <c r="AW285" s="58">
        <f t="shared" si="73"/>
        <v>-207.26899079122893</v>
      </c>
      <c r="AX285" s="58">
        <f t="shared" si="88"/>
        <v>175.90871132434353</v>
      </c>
      <c r="AY285" s="33">
        <f t="shared" si="74"/>
        <v>-80.31190259516255</v>
      </c>
      <c r="AZ285" s="33">
        <f t="shared" si="75"/>
        <v>114.6905714503835</v>
      </c>
      <c r="BA285" s="39">
        <f t="shared" si="76"/>
        <v>-17.860788918813508</v>
      </c>
      <c r="BB285" s="39">
        <f t="shared" si="77"/>
        <v>12.386596584294903</v>
      </c>
      <c r="BC285" s="45">
        <f t="shared" si="78"/>
        <v>-109.09629927725285</v>
      </c>
      <c r="BD285" s="45">
        <f t="shared" si="79"/>
        <v>48.83154328966512</v>
      </c>
      <c r="BE285" s="64">
        <f t="shared" si="80"/>
        <v>3588576285.0551262</v>
      </c>
      <c r="BF285" s="65">
        <f t="shared" si="81"/>
        <v>8189080075.0238953</v>
      </c>
      <c r="BG285" s="66">
        <f t="shared" si="82"/>
        <v>4229734678.0808797</v>
      </c>
    </row>
    <row r="286" spans="43:59" x14ac:dyDescent="0.25">
      <c r="AQ286" s="7">
        <v>271</v>
      </c>
      <c r="AR286" s="58">
        <f t="shared" si="83"/>
        <v>135.5</v>
      </c>
      <c r="AS286" s="58">
        <f t="shared" si="84"/>
        <v>53505.502593556215</v>
      </c>
      <c r="AT286" s="58">
        <f t="shared" si="85"/>
        <v>-40701.305445328995</v>
      </c>
      <c r="AU286" s="58">
        <f t="shared" si="86"/>
        <v>-1763.3899897923072</v>
      </c>
      <c r="AV286" s="58">
        <f t="shared" si="87"/>
        <v>1781.6354073695522</v>
      </c>
      <c r="AW286" s="58">
        <f t="shared" si="73"/>
        <v>-214.6657326853942</v>
      </c>
      <c r="AX286" s="58">
        <f t="shared" si="88"/>
        <v>181.92863574751675</v>
      </c>
      <c r="AY286" s="33">
        <f t="shared" si="74"/>
        <v>-83.082489342747991</v>
      </c>
      <c r="AZ286" s="33">
        <f t="shared" si="75"/>
        <v>119.52318681941719</v>
      </c>
      <c r="BA286" s="39">
        <f t="shared" si="76"/>
        <v>-18.371020617879989</v>
      </c>
      <c r="BB286" s="39">
        <f t="shared" si="77"/>
        <v>12.671632664562221</v>
      </c>
      <c r="BC286" s="45">
        <f t="shared" si="78"/>
        <v>-113.21222272476622</v>
      </c>
      <c r="BD286" s="45">
        <f t="shared" si="79"/>
        <v>49.733816263537349</v>
      </c>
      <c r="BE286" s="64">
        <f t="shared" si="80"/>
        <v>3445984550.6807051</v>
      </c>
      <c r="BF286" s="65">
        <f t="shared" si="81"/>
        <v>7973681285.3918476</v>
      </c>
      <c r="BG286" s="66">
        <f t="shared" si="82"/>
        <v>4083450935.3187113</v>
      </c>
    </row>
    <row r="287" spans="43:59" x14ac:dyDescent="0.25">
      <c r="AQ287" s="7">
        <v>272</v>
      </c>
      <c r="AR287" s="58">
        <f t="shared" si="83"/>
        <v>136</v>
      </c>
      <c r="AS287" s="58">
        <f t="shared" si="84"/>
        <v>52596.974382074382</v>
      </c>
      <c r="AT287" s="58">
        <f t="shared" si="85"/>
        <v>-39787.746662175778</v>
      </c>
      <c r="AU287" s="58">
        <f t="shared" si="86"/>
        <v>-1870.7228561350043</v>
      </c>
      <c r="AV287" s="58">
        <f t="shared" si="87"/>
        <v>1872.5997252433106</v>
      </c>
      <c r="AW287" s="58">
        <f t="shared" si="73"/>
        <v>-222.87313201991074</v>
      </c>
      <c r="AX287" s="58">
        <f t="shared" si="88"/>
        <v>188.64370559592913</v>
      </c>
      <c r="AY287" s="33">
        <f t="shared" si="74"/>
        <v>-86.140595406340267</v>
      </c>
      <c r="AZ287" s="33">
        <f t="shared" si="75"/>
        <v>124.96235402583955</v>
      </c>
      <c r="BA287" s="39">
        <f t="shared" si="76"/>
        <v>-18.933228994443542</v>
      </c>
      <c r="BB287" s="39">
        <f t="shared" si="77"/>
        <v>12.984601861108324</v>
      </c>
      <c r="BC287" s="45">
        <f t="shared" si="78"/>
        <v>-117.79930761912694</v>
      </c>
      <c r="BD287" s="45">
        <f t="shared" si="79"/>
        <v>50.696749708981272</v>
      </c>
      <c r="BE287" s="64">
        <f t="shared" si="80"/>
        <v>3298693723.25173</v>
      </c>
      <c r="BF287" s="65">
        <f t="shared" si="81"/>
        <v>7749140407.1285591</v>
      </c>
      <c r="BG287" s="66">
        <f t="shared" si="82"/>
        <v>3931843842.557539</v>
      </c>
    </row>
    <row r="288" spans="43:59" x14ac:dyDescent="0.25">
      <c r="AQ288" s="7">
        <v>273</v>
      </c>
      <c r="AR288" s="58">
        <f t="shared" si="83"/>
        <v>136.5</v>
      </c>
      <c r="AS288" s="58">
        <f t="shared" si="84"/>
        <v>51633.753812504394</v>
      </c>
      <c r="AT288" s="58">
        <f t="shared" si="85"/>
        <v>-38827.866336354629</v>
      </c>
      <c r="AU288" s="58">
        <f t="shared" si="86"/>
        <v>-1982.1594221449598</v>
      </c>
      <c r="AV288" s="58">
        <f t="shared" si="87"/>
        <v>1966.9215780412751</v>
      </c>
      <c r="AW288" s="58">
        <f t="shared" si="73"/>
        <v>-232.00192770674141</v>
      </c>
      <c r="AX288" s="58">
        <f t="shared" si="88"/>
        <v>196.15429708732435</v>
      </c>
      <c r="AY288" s="33">
        <f t="shared" si="74"/>
        <v>-89.522628586836049</v>
      </c>
      <c r="AZ288" s="33">
        <f t="shared" si="75"/>
        <v>131.10655143338226</v>
      </c>
      <c r="BA288" s="39">
        <f t="shared" si="76"/>
        <v>-19.553988545444994</v>
      </c>
      <c r="BB288" s="39">
        <f t="shared" si="77"/>
        <v>13.328626355930705</v>
      </c>
      <c r="BC288" s="45">
        <f t="shared" si="78"/>
        <v>-122.92531057446035</v>
      </c>
      <c r="BD288" s="45">
        <f t="shared" si="79"/>
        <v>51.719119298011378</v>
      </c>
      <c r="BE288" s="64">
        <f t="shared" si="80"/>
        <v>3146965579.5492768</v>
      </c>
      <c r="BF288" s="65">
        <f t="shared" si="81"/>
        <v>7515555216.2314014</v>
      </c>
      <c r="BG288" s="66">
        <f t="shared" si="82"/>
        <v>3775149285.0385385</v>
      </c>
    </row>
    <row r="289" spans="43:59" x14ac:dyDescent="0.25">
      <c r="AQ289" s="7">
        <v>274</v>
      </c>
      <c r="AR289" s="58">
        <f t="shared" si="83"/>
        <v>137</v>
      </c>
      <c r="AS289" s="58">
        <f t="shared" si="84"/>
        <v>50613.673860468567</v>
      </c>
      <c r="AT289" s="58">
        <f t="shared" si="85"/>
        <v>-37819.886260198073</v>
      </c>
      <c r="AU289" s="58">
        <f t="shared" si="86"/>
        <v>-2098.1603859983306</v>
      </c>
      <c r="AV289" s="58">
        <f t="shared" si="87"/>
        <v>2064.9987265849372</v>
      </c>
      <c r="AW289" s="58">
        <f t="shared" si="73"/>
        <v>-242.18370789330237</v>
      </c>
      <c r="AX289" s="58">
        <f t="shared" si="88"/>
        <v>204.58161902998563</v>
      </c>
      <c r="AY289" s="33">
        <f t="shared" si="74"/>
        <v>-93.271032457699661</v>
      </c>
      <c r="AZ289" s="33">
        <f t="shared" si="75"/>
        <v>138.07661901737831</v>
      </c>
      <c r="BA289" s="39">
        <f t="shared" si="76"/>
        <v>-20.241098351748082</v>
      </c>
      <c r="BB289" s="39">
        <f t="shared" si="77"/>
        <v>13.707359609622966</v>
      </c>
      <c r="BC289" s="45">
        <f t="shared" si="78"/>
        <v>-128.67157708385463</v>
      </c>
      <c r="BD289" s="45">
        <f t="shared" si="79"/>
        <v>52.797640402984378</v>
      </c>
      <c r="BE289" s="64">
        <f t="shared" si="80"/>
        <v>2991089117.8724265</v>
      </c>
      <c r="BF289" s="65">
        <f t="shared" si="81"/>
        <v>7273032458.0109024</v>
      </c>
      <c r="BG289" s="66">
        <f t="shared" si="82"/>
        <v>3613627929.1869416</v>
      </c>
    </row>
    <row r="290" spans="43:59" x14ac:dyDescent="0.25">
      <c r="AQ290" s="7">
        <v>275</v>
      </c>
      <c r="AR290" s="58">
        <f t="shared" si="83"/>
        <v>137.5</v>
      </c>
      <c r="AS290" s="58">
        <f t="shared" si="84"/>
        <v>49534.320703982739</v>
      </c>
      <c r="AT290" s="58">
        <f t="shared" si="85"/>
        <v>-36761.814194526858</v>
      </c>
      <c r="AU290" s="58">
        <f t="shared" si="86"/>
        <v>-2219.2522399449817</v>
      </c>
      <c r="AV290" s="58">
        <f t="shared" si="87"/>
        <v>2167.28953609993</v>
      </c>
      <c r="AW290" s="58">
        <f t="shared" si="73"/>
        <v>-253.57559348817591</v>
      </c>
      <c r="AX290" s="58">
        <f t="shared" si="88"/>
        <v>214.07314708484461</v>
      </c>
      <c r="AY290" s="33">
        <f t="shared" si="74"/>
        <v>-97.435332949760237</v>
      </c>
      <c r="AZ290" s="33">
        <f t="shared" si="75"/>
        <v>146.02213628778603</v>
      </c>
      <c r="BA290" s="39">
        <f t="shared" si="76"/>
        <v>-21.003871533916097</v>
      </c>
      <c r="BB290" s="39">
        <f t="shared" si="77"/>
        <v>14.125098628862277</v>
      </c>
      <c r="BC290" s="45">
        <f t="shared" si="78"/>
        <v>-135.13638900449959</v>
      </c>
      <c r="BD290" s="45">
        <f t="shared" si="79"/>
        <v>53.925912168196305</v>
      </c>
      <c r="BE290" s="64">
        <f t="shared" si="80"/>
        <v>2831384295.2365227</v>
      </c>
      <c r="BF290" s="65">
        <f t="shared" si="81"/>
        <v>7021689022.5277758</v>
      </c>
      <c r="BG290" s="66">
        <f t="shared" si="82"/>
        <v>3447568691.681951</v>
      </c>
    </row>
    <row r="291" spans="43:59" x14ac:dyDescent="0.25">
      <c r="AQ291" s="7">
        <v>276</v>
      </c>
      <c r="AR291" s="58">
        <f t="shared" si="83"/>
        <v>138</v>
      </c>
      <c r="AS291" s="58">
        <f t="shared" si="84"/>
        <v>48392.997634824227</v>
      </c>
      <c r="AT291" s="58">
        <f t="shared" si="85"/>
        <v>-35651.410283091289</v>
      </c>
      <c r="AU291" s="58">
        <f t="shared" si="86"/>
        <v>-2346.0400366890699</v>
      </c>
      <c r="AV291" s="58">
        <f t="shared" si="87"/>
        <v>2274.3261096423525</v>
      </c>
      <c r="AW291" s="58">
        <f t="shared" si="73"/>
        <v>-266.36610518155078</v>
      </c>
      <c r="AX291" s="58">
        <f t="shared" si="88"/>
        <v>224.80980853035516</v>
      </c>
      <c r="AY291" s="33">
        <f t="shared" si="74"/>
        <v>-102.07329557533677</v>
      </c>
      <c r="AZ291" s="33">
        <f t="shared" si="75"/>
        <v>155.13003286825622</v>
      </c>
      <c r="BA291" s="39">
        <f t="shared" si="76"/>
        <v>-21.853510645189548</v>
      </c>
      <c r="BB291" s="39">
        <f t="shared" si="77"/>
        <v>14.586925783195571</v>
      </c>
      <c r="BC291" s="45">
        <f t="shared" si="78"/>
        <v>-142.43929896102443</v>
      </c>
      <c r="BD291" s="45">
        <f t="shared" si="79"/>
        <v>55.09284987890338</v>
      </c>
      <c r="BE291" s="64">
        <f t="shared" si="80"/>
        <v>2668206524.1108108</v>
      </c>
      <c r="BF291" s="65">
        <f t="shared" si="81"/>
        <v>6761653386.3122044</v>
      </c>
      <c r="BG291" s="66">
        <f t="shared" si="82"/>
        <v>3277292943.1129141</v>
      </c>
    </row>
    <row r="292" spans="43:59" x14ac:dyDescent="0.25">
      <c r="AQ292" s="7">
        <v>277</v>
      </c>
      <c r="AR292" s="58">
        <f t="shared" si="83"/>
        <v>138.5</v>
      </c>
      <c r="AS292" s="58">
        <f t="shared" si="84"/>
        <v>47186.681853331997</v>
      </c>
      <c r="AT292" s="58">
        <f t="shared" si="85"/>
        <v>-34486.146002203815</v>
      </c>
      <c r="AU292" s="58">
        <f t="shared" si="86"/>
        <v>-2479.2230892798452</v>
      </c>
      <c r="AV292" s="58">
        <f t="shared" si="87"/>
        <v>2386.7310139075303</v>
      </c>
      <c r="AW292" s="58">
        <f t="shared" si="73"/>
        <v>-280.78250009852195</v>
      </c>
      <c r="AX292" s="58">
        <f t="shared" si="88"/>
        <v>237.01558876135118</v>
      </c>
      <c r="AY292" s="33">
        <f t="shared" si="74"/>
        <v>-107.25211737972434</v>
      </c>
      <c r="AZ292" s="33">
        <f t="shared" si="75"/>
        <v>165.63636134943434</v>
      </c>
      <c r="BA292" s="39">
        <f t="shared" si="76"/>
        <v>-22.803599968244505</v>
      </c>
      <c r="BB292" s="39">
        <f t="shared" si="77"/>
        <v>15.098889386704634</v>
      </c>
      <c r="BC292" s="45">
        <f t="shared" si="78"/>
        <v>-150.72678275055307</v>
      </c>
      <c r="BD292" s="45">
        <f t="shared" si="79"/>
        <v>56.28033802521221</v>
      </c>
      <c r="BE292" s="64">
        <f t="shared" si="80"/>
        <v>2501952126.3126669</v>
      </c>
      <c r="BF292" s="65">
        <f t="shared" si="81"/>
        <v>6493067404.5902462</v>
      </c>
      <c r="BG292" s="66">
        <f t="shared" si="82"/>
        <v>3103159648.880095</v>
      </c>
    </row>
    <row r="293" spans="43:59" x14ac:dyDescent="0.25">
      <c r="AQ293" s="7">
        <v>278</v>
      </c>
      <c r="AR293" s="58">
        <f t="shared" si="83"/>
        <v>139</v>
      </c>
      <c r="AS293" s="58">
        <f t="shared" si="84"/>
        <v>45911.972496179762</v>
      </c>
      <c r="AT293" s="58">
        <f t="shared" si="85"/>
        <v>-33263.153546654881</v>
      </c>
      <c r="AU293" s="58">
        <f t="shared" si="86"/>
        <v>-2619.6143393291063</v>
      </c>
      <c r="AV293" s="58">
        <f t="shared" si="87"/>
        <v>2505.2388082882057</v>
      </c>
      <c r="AW293" s="58">
        <f t="shared" si="73"/>
        <v>-297.09988814283918</v>
      </c>
      <c r="AX293" s="58">
        <f t="shared" si="88"/>
        <v>250.97052915841394</v>
      </c>
      <c r="AY293" s="33">
        <f t="shared" si="74"/>
        <v>-113.04946924899299</v>
      </c>
      <c r="AZ293" s="33">
        <f t="shared" si="75"/>
        <v>177.84261209925032</v>
      </c>
      <c r="BA293" s="39">
        <f t="shared" si="76"/>
        <v>-23.870758998062431</v>
      </c>
      <c r="BB293" s="39">
        <f t="shared" si="77"/>
        <v>15.668235567798019</v>
      </c>
      <c r="BC293" s="45">
        <f t="shared" si="78"/>
        <v>-160.17965989578377</v>
      </c>
      <c r="BD293" s="45">
        <f t="shared" si="79"/>
        <v>57.459681491365622</v>
      </c>
      <c r="BE293" s="64">
        <f t="shared" si="80"/>
        <v>2333065005.7109389</v>
      </c>
      <c r="BF293" s="65">
        <f t="shared" si="81"/>
        <v>6216088573.1385937</v>
      </c>
      <c r="BG293" s="66">
        <f t="shared" si="82"/>
        <v>2925571720.9204574</v>
      </c>
    </row>
    <row r="294" spans="43:59" x14ac:dyDescent="0.25">
      <c r="AQ294" s="7">
        <v>279</v>
      </c>
      <c r="AR294" s="58">
        <f t="shared" si="83"/>
        <v>139.5</v>
      </c>
      <c r="AS294" s="58">
        <f t="shared" si="84"/>
        <v>44565.027840497351</v>
      </c>
      <c r="AT294" s="58">
        <f t="shared" si="85"/>
        <v>-31979.162826365977</v>
      </c>
      <c r="AU294" s="58">
        <f t="shared" si="86"/>
        <v>-2768.1642834005261</v>
      </c>
      <c r="AV294" s="58">
        <f t="shared" si="87"/>
        <v>2630.7240728674128</v>
      </c>
      <c r="AW294" s="58">
        <f t="shared" si="73"/>
        <v>-315.65239714124141</v>
      </c>
      <c r="AX294" s="58">
        <f t="shared" si="88"/>
        <v>267.02853307502414</v>
      </c>
      <c r="AY294" s="33">
        <f t="shared" si="74"/>
        <v>-119.55398428958546</v>
      </c>
      <c r="AZ294" s="33">
        <f t="shared" si="75"/>
        <v>192.13864698041328</v>
      </c>
      <c r="BA294" s="39">
        <f t="shared" si="76"/>
        <v>-25.075521436405239</v>
      </c>
      <c r="BB294" s="39">
        <f t="shared" si="77"/>
        <v>16.303708563951538</v>
      </c>
      <c r="BC294" s="45">
        <f t="shared" si="78"/>
        <v>-171.02289141525071</v>
      </c>
      <c r="BD294" s="45">
        <f t="shared" si="79"/>
        <v>58.586177530659327</v>
      </c>
      <c r="BE294" s="64">
        <f t="shared" si="80"/>
        <v>2162044890.2751274</v>
      </c>
      <c r="BF294" s="65">
        <f t="shared" si="81"/>
        <v>5930892931.6467457</v>
      </c>
      <c r="BG294" s="66">
        <f t="shared" si="82"/>
        <v>2744983955.1135259</v>
      </c>
    </row>
    <row r="295" spans="43:59" x14ac:dyDescent="0.25">
      <c r="AQ295" s="7">
        <v>280</v>
      </c>
      <c r="AR295" s="58">
        <f t="shared" si="83"/>
        <v>140</v>
      </c>
      <c r="AS295" s="58">
        <f t="shared" si="84"/>
        <v>43141.489149154426</v>
      </c>
      <c r="AT295" s="58">
        <f t="shared" si="85"/>
        <v>-30630.42222329789</v>
      </c>
      <c r="AU295" s="58">
        <f t="shared" si="86"/>
        <v>-2925.9904819711469</v>
      </c>
      <c r="AV295" s="58">
        <f t="shared" si="87"/>
        <v>2764.2383394049248</v>
      </c>
      <c r="AW295" s="58">
        <f t="shared" si="73"/>
        <v>-336.84644525572446</v>
      </c>
      <c r="AX295" s="58">
        <f t="shared" si="88"/>
        <v>285.64207111330637</v>
      </c>
      <c r="AY295" s="33">
        <f t="shared" si="74"/>
        <v>-126.86434296595847</v>
      </c>
      <c r="AZ295" s="33">
        <f t="shared" si="75"/>
        <v>209.03542253459619</v>
      </c>
      <c r="BA295" s="39">
        <f t="shared" si="76"/>
        <v>-26.443534738757467</v>
      </c>
      <c r="BB295" s="39">
        <f t="shared" si="77"/>
        <v>17.015943019242989</v>
      </c>
      <c r="BC295" s="45">
        <f t="shared" si="78"/>
        <v>-183.53856755100855</v>
      </c>
      <c r="BD295" s="45">
        <f t="shared" si="79"/>
        <v>59.590705559467175</v>
      </c>
      <c r="BE295" s="64">
        <f t="shared" si="80"/>
        <v>1989457618.9674017</v>
      </c>
      <c r="BF295" s="65">
        <f t="shared" si="81"/>
        <v>5637678862.0162449</v>
      </c>
      <c r="BG295" s="66">
        <f t="shared" si="82"/>
        <v>2561913076.3767176</v>
      </c>
    </row>
    <row r="296" spans="43:59" x14ac:dyDescent="0.25">
      <c r="AQ296" s="7">
        <v>281</v>
      </c>
      <c r="AR296" s="58">
        <f t="shared" si="83"/>
        <v>140.5</v>
      </c>
      <c r="AS296" s="58">
        <f t="shared" si="84"/>
        <v>41636.388102511883</v>
      </c>
      <c r="AT296" s="58">
        <f t="shared" si="85"/>
        <v>-29212.597794706264</v>
      </c>
      <c r="AU296" s="58">
        <f t="shared" si="86"/>
        <v>-3094.4137045990092</v>
      </c>
      <c r="AV296" s="58">
        <f t="shared" si="87"/>
        <v>2907.0593749615778</v>
      </c>
      <c r="AW296" s="58">
        <f t="shared" si="73"/>
        <v>-361.17555824798774</v>
      </c>
      <c r="AX296" s="58">
        <f t="shared" si="88"/>
        <v>307.39689533768978</v>
      </c>
      <c r="AY296" s="33">
        <f t="shared" si="74"/>
        <v>-135.08519850543121</v>
      </c>
      <c r="AZ296" s="33">
        <f t="shared" si="75"/>
        <v>229.21240538166336</v>
      </c>
      <c r="BA296" s="39">
        <f t="shared" si="76"/>
        <v>-28.00722324115743</v>
      </c>
      <c r="BB296" s="39">
        <f t="shared" si="77"/>
        <v>17.817980808276776</v>
      </c>
      <c r="BC296" s="45">
        <f t="shared" si="78"/>
        <v>-198.08313650139911</v>
      </c>
      <c r="BD296" s="45">
        <f t="shared" si="79"/>
        <v>60.366509147749618</v>
      </c>
      <c r="BE296" s="64">
        <f t="shared" si="80"/>
        <v>1815948126.958389</v>
      </c>
      <c r="BF296" s="65">
        <f t="shared" si="81"/>
        <v>5336672164.1328707</v>
      </c>
      <c r="BG296" s="66">
        <f t="shared" si="82"/>
        <v>2376950631.3222013</v>
      </c>
    </row>
    <row r="297" spans="43:59" x14ac:dyDescent="0.25">
      <c r="AQ297" s="7">
        <v>282</v>
      </c>
      <c r="AR297" s="58">
        <f t="shared" si="83"/>
        <v>141</v>
      </c>
      <c r="AS297" s="58">
        <f t="shared" si="84"/>
        <v>40044.034305431378</v>
      </c>
      <c r="AT297" s="58">
        <f t="shared" si="85"/>
        <v>-27720.643495308264</v>
      </c>
      <c r="AU297" s="58">
        <f t="shared" si="86"/>
        <v>-3275.0014837230028</v>
      </c>
      <c r="AV297" s="58">
        <f t="shared" si="87"/>
        <v>3060.7578226304227</v>
      </c>
      <c r="AW297" s="58">
        <f t="shared" si="73"/>
        <v>-389.23458671454898</v>
      </c>
      <c r="AX297" s="58">
        <f t="shared" si="88"/>
        <v>333.06139465679371</v>
      </c>
      <c r="AY297" s="33">
        <f t="shared" si="74"/>
        <v>-144.31631061375558</v>
      </c>
      <c r="AZ297" s="33">
        <f t="shared" si="75"/>
        <v>253.58733921683265</v>
      </c>
      <c r="BA297" s="39">
        <f t="shared" si="76"/>
        <v>-29.808134430664737</v>
      </c>
      <c r="BB297" s="39">
        <f t="shared" si="77"/>
        <v>18.725957126728581</v>
      </c>
      <c r="BC297" s="45">
        <f t="shared" si="78"/>
        <v>-215.11014167012868</v>
      </c>
      <c r="BD297" s="45">
        <f t="shared" si="79"/>
        <v>60.748098313232475</v>
      </c>
      <c r="BE297" s="64">
        <f t="shared" si="80"/>
        <v>1642257039.4609103</v>
      </c>
      <c r="BF297" s="65">
        <f t="shared" si="81"/>
        <v>5028133001.3719616</v>
      </c>
      <c r="BG297" s="66">
        <f t="shared" si="82"/>
        <v>2190779797.4436073</v>
      </c>
    </row>
    <row r="298" spans="43:59" x14ac:dyDescent="0.25">
      <c r="AQ298" s="7">
        <v>283</v>
      </c>
      <c r="AR298" s="58">
        <f t="shared" si="83"/>
        <v>141.5</v>
      </c>
      <c r="AS298" s="58">
        <f t="shared" si="84"/>
        <v>38357.879240230563</v>
      </c>
      <c r="AT298" s="58">
        <f t="shared" si="85"/>
        <v>-26148.631909660951</v>
      </c>
      <c r="AU298" s="58">
        <f t="shared" si="86"/>
        <v>-3469.6187770802771</v>
      </c>
      <c r="AV298" s="58">
        <f t="shared" si="87"/>
        <v>3227.2885199588195</v>
      </c>
      <c r="AW298" s="58">
        <f t="shared" si="73"/>
        <v>-421.72735991924964</v>
      </c>
      <c r="AX298" s="58">
        <f t="shared" si="88"/>
        <v>363.65742191498936</v>
      </c>
      <c r="AY298" s="33">
        <f t="shared" si="74"/>
        <v>-154.6273025753525</v>
      </c>
      <c r="AZ298" s="33">
        <f t="shared" si="75"/>
        <v>283.42038420972091</v>
      </c>
      <c r="BA298" s="39">
        <f t="shared" si="76"/>
        <v>-31.900312719273686</v>
      </c>
      <c r="BB298" s="39">
        <f t="shared" si="77"/>
        <v>19.760016595961961</v>
      </c>
      <c r="BC298" s="45">
        <f t="shared" si="78"/>
        <v>-235.19974462462346</v>
      </c>
      <c r="BD298" s="45">
        <f t="shared" si="79"/>
        <v>60.477021109306463</v>
      </c>
      <c r="BE298" s="64">
        <f t="shared" si="80"/>
        <v>1469242159.5907414</v>
      </c>
      <c r="BF298" s="65">
        <f t="shared" si="81"/>
        <v>4712365658.3574905</v>
      </c>
      <c r="BG298" s="66">
        <f t="shared" si="82"/>
        <v>2004197685.6675267</v>
      </c>
    </row>
    <row r="299" spans="43:59" x14ac:dyDescent="0.25">
      <c r="AQ299" s="7">
        <v>284</v>
      </c>
      <c r="AR299" s="58">
        <f t="shared" si="83"/>
        <v>142</v>
      </c>
      <c r="AS299" s="58">
        <f t="shared" si="84"/>
        <v>36570.35393170052</v>
      </c>
      <c r="AT299" s="58">
        <f t="shared" si="85"/>
        <v>-24489.530471942169</v>
      </c>
      <c r="AU299" s="58">
        <f t="shared" si="86"/>
        <v>-3680.4824570399019</v>
      </c>
      <c r="AV299" s="58">
        <f t="shared" si="87"/>
        <v>3409.1172309163144</v>
      </c>
      <c r="AW299" s="58">
        <f t="shared" si="73"/>
        <v>-459.45277002452144</v>
      </c>
      <c r="AX299" s="58">
        <f t="shared" si="88"/>
        <v>400.5622982382053</v>
      </c>
      <c r="AY299" s="33">
        <f t="shared" si="74"/>
        <v>-166.00192813826271</v>
      </c>
      <c r="AZ299" s="33">
        <f t="shared" si="75"/>
        <v>320.47135266199723</v>
      </c>
      <c r="BA299" s="39">
        <f t="shared" si="76"/>
        <v>-34.355253363509348</v>
      </c>
      <c r="BB299" s="39">
        <f t="shared" si="77"/>
        <v>20.945539057129093</v>
      </c>
      <c r="BC299" s="45">
        <f t="shared" si="78"/>
        <v>-259.09558852274938</v>
      </c>
      <c r="BD299" s="45">
        <f t="shared" si="79"/>
        <v>59.145406519078975</v>
      </c>
      <c r="BE299" s="64">
        <f t="shared" si="80"/>
        <v>1297906689.2371395</v>
      </c>
      <c r="BF299" s="65">
        <f t="shared" si="81"/>
        <v>4389732656.1328917</v>
      </c>
      <c r="BG299" s="66">
        <f t="shared" si="82"/>
        <v>1818145514.5847678</v>
      </c>
    </row>
    <row r="300" spans="43:59" x14ac:dyDescent="0.25">
      <c r="AQ300" s="7">
        <v>285</v>
      </c>
      <c r="AR300" s="58">
        <f t="shared" si="83"/>
        <v>142.5</v>
      </c>
      <c r="AS300" s="58">
        <f t="shared" si="84"/>
        <v>34672.681106927499</v>
      </c>
      <c r="AT300" s="58">
        <f t="shared" si="85"/>
        <v>-22734.901569204234</v>
      </c>
      <c r="AU300" s="58">
        <f t="shared" si="86"/>
        <v>-3910.2088420521627</v>
      </c>
      <c r="AV300" s="58">
        <f t="shared" si="87"/>
        <v>3609.3983800354172</v>
      </c>
      <c r="AW300" s="58">
        <f t="shared" si="73"/>
        <v>-503.23288779832058</v>
      </c>
      <c r="AX300" s="58">
        <f t="shared" si="88"/>
        <v>445.65435149064598</v>
      </c>
      <c r="AY300" s="33">
        <f t="shared" si="74"/>
        <v>-178.2168508234862</v>
      </c>
      <c r="AZ300" s="33">
        <f t="shared" si="75"/>
        <v>367.23819616563583</v>
      </c>
      <c r="BA300" s="39">
        <f t="shared" si="76"/>
        <v>-37.269345267655716</v>
      </c>
      <c r="BB300" s="39">
        <f t="shared" si="77"/>
        <v>22.314770817610629</v>
      </c>
      <c r="BC300" s="45">
        <f t="shared" si="78"/>
        <v>-287.74669170717868</v>
      </c>
      <c r="BD300" s="45">
        <f t="shared" si="79"/>
        <v>56.101384507399509</v>
      </c>
      <c r="BE300" s="64">
        <f t="shared" si="80"/>
        <v>1129436843.7650559</v>
      </c>
      <c r="BF300" s="65">
        <f t="shared" si="81"/>
        <v>4060675840.1652765</v>
      </c>
      <c r="BG300" s="66">
        <f t="shared" si="82"/>
        <v>1633750328.4972403</v>
      </c>
    </row>
    <row r="301" spans="43:59" x14ac:dyDescent="0.25">
      <c r="AQ301" s="7">
        <v>286</v>
      </c>
      <c r="AR301" s="58">
        <f t="shared" si="83"/>
        <v>143</v>
      </c>
      <c r="AS301" s="58">
        <f t="shared" si="84"/>
        <v>32654.67257492663</v>
      </c>
      <c r="AT301" s="58">
        <f t="shared" si="85"/>
        <v>-20874.495585250195</v>
      </c>
      <c r="AU301" s="58">
        <f t="shared" si="86"/>
        <v>-4161.8252859513232</v>
      </c>
      <c r="AV301" s="58">
        <f t="shared" si="87"/>
        <v>3832.2255557807403</v>
      </c>
      <c r="AW301" s="58">
        <f t="shared" si="73"/>
        <v>-553.69572523199406</v>
      </c>
      <c r="AX301" s="58">
        <f t="shared" si="88"/>
        <v>501.5123041089696</v>
      </c>
      <c r="AY301" s="33">
        <f t="shared" si="74"/>
        <v>-190.57702651390005</v>
      </c>
      <c r="AZ301" s="33">
        <f t="shared" si="75"/>
        <v>427.31465120504066</v>
      </c>
      <c r="BA301" s="39">
        <f t="shared" si="76"/>
        <v>-40.775334929955996</v>
      </c>
      <c r="BB301" s="39">
        <f t="shared" si="77"/>
        <v>23.908949324309393</v>
      </c>
      <c r="BC301" s="45">
        <f t="shared" si="78"/>
        <v>-322.34336378813799</v>
      </c>
      <c r="BD301" s="45">
        <f t="shared" si="79"/>
        <v>50.288703579619529</v>
      </c>
      <c r="BE301" s="64">
        <f t="shared" si="80"/>
        <v>965252737.69598293</v>
      </c>
      <c r="BF301" s="65">
        <f t="shared" si="81"/>
        <v>3725749021.616365</v>
      </c>
      <c r="BG301" s="66">
        <f t="shared" si="82"/>
        <v>1452384065.106056</v>
      </c>
    </row>
    <row r="302" spans="43:59" x14ac:dyDescent="0.25">
      <c r="AQ302" s="7">
        <v>287</v>
      </c>
      <c r="AR302" s="58">
        <f t="shared" si="83"/>
        <v>143.5</v>
      </c>
      <c r="AS302" s="58">
        <f t="shared" si="84"/>
        <v>30504.54796629697</v>
      </c>
      <c r="AT302" s="58">
        <f t="shared" si="85"/>
        <v>-18895.693769346206</v>
      </c>
      <c r="AU302" s="58">
        <f t="shared" si="86"/>
        <v>-4438.6731485673199</v>
      </c>
      <c r="AV302" s="58">
        <f t="shared" si="87"/>
        <v>4082.9817078352253</v>
      </c>
      <c r="AW302" s="58">
        <f t="shared" si="73"/>
        <v>-610.70278439217873</v>
      </c>
      <c r="AX302" s="58">
        <f t="shared" si="88"/>
        <v>571.65455733657336</v>
      </c>
      <c r="AY302" s="33">
        <f t="shared" si="74"/>
        <v>-201.33019425703282</v>
      </c>
      <c r="AZ302" s="33">
        <f t="shared" si="75"/>
        <v>505.89993697796262</v>
      </c>
      <c r="BA302" s="39">
        <f t="shared" si="76"/>
        <v>-45.060459264317103</v>
      </c>
      <c r="BB302" s="39">
        <f t="shared" si="77"/>
        <v>25.780910520705994</v>
      </c>
      <c r="BC302" s="45">
        <f t="shared" si="78"/>
        <v>-364.31213087082875</v>
      </c>
      <c r="BD302" s="45">
        <f t="shared" si="79"/>
        <v>39.973709837904771</v>
      </c>
      <c r="BE302" s="64">
        <f t="shared" si="80"/>
        <v>807078177.54133594</v>
      </c>
      <c r="BF302" s="65">
        <f t="shared" si="81"/>
        <v>3385670483.6918249</v>
      </c>
      <c r="BG302" s="66">
        <f t="shared" si="82"/>
        <v>1275749356.2356055</v>
      </c>
    </row>
    <row r="303" spans="43:59" x14ac:dyDescent="0.25">
      <c r="AQ303" s="7">
        <v>288</v>
      </c>
      <c r="AR303" s="58">
        <f t="shared" si="83"/>
        <v>144</v>
      </c>
      <c r="AS303" s="58">
        <f t="shared" si="84"/>
        <v>28208.873543964288</v>
      </c>
      <c r="AT303" s="58">
        <f t="shared" si="85"/>
        <v>-16782.746095761519</v>
      </c>
      <c r="AU303" s="58">
        <f t="shared" si="86"/>
        <v>-4744.0245407634093</v>
      </c>
      <c r="AV303" s="58">
        <f t="shared" si="87"/>
        <v>4368.8089865035117</v>
      </c>
      <c r="AW303" s="58">
        <f t="shared" si="73"/>
        <v>-671.91847600797848</v>
      </c>
      <c r="AX303" s="58">
        <f t="shared" si="88"/>
        <v>660.69369123204194</v>
      </c>
      <c r="AY303" s="33">
        <f t="shared" si="74"/>
        <v>-206.35082831344116</v>
      </c>
      <c r="AZ303" s="33">
        <f t="shared" si="75"/>
        <v>610.40832749453386</v>
      </c>
      <c r="BA303" s="39">
        <f t="shared" si="76"/>
        <v>-50.395919042899628</v>
      </c>
      <c r="BB303" s="39">
        <f t="shared" si="77"/>
        <v>27.997773122776479</v>
      </c>
      <c r="BC303" s="45">
        <f t="shared" si="78"/>
        <v>-415.17172865163769</v>
      </c>
      <c r="BD303" s="45">
        <f t="shared" si="79"/>
        <v>22.28759061473162</v>
      </c>
      <c r="BE303" s="64">
        <f t="shared" si="80"/>
        <v>657037362.81201804</v>
      </c>
      <c r="BF303" s="65">
        <f t="shared" si="81"/>
        <v>3041410976.8079691</v>
      </c>
      <c r="BG303" s="66">
        <f t="shared" si="82"/>
        <v>1106007465.7009645</v>
      </c>
    </row>
    <row r="304" spans="43:59" x14ac:dyDescent="0.25">
      <c r="AQ304" s="7">
        <v>289</v>
      </c>
      <c r="AR304" s="58">
        <f t="shared" si="83"/>
        <v>144.5</v>
      </c>
      <c r="AS304" s="58">
        <f t="shared" si="84"/>
        <v>25752.871464081589</v>
      </c>
      <c r="AT304" s="58">
        <f t="shared" si="85"/>
        <v>-14515.754891105758</v>
      </c>
      <c r="AU304" s="58">
        <f t="shared" si="86"/>
        <v>-5079.9837787673987</v>
      </c>
      <c r="AV304" s="58">
        <f t="shared" si="87"/>
        <v>4699.1558321195325</v>
      </c>
      <c r="AW304" s="58">
        <f t="shared" si="73"/>
        <v>-729.34760685472406</v>
      </c>
      <c r="AX304" s="58">
        <f t="shared" si="88"/>
        <v>773.85635717343087</v>
      </c>
      <c r="AY304" s="33">
        <f t="shared" si="74"/>
        <v>-196.16568676098831</v>
      </c>
      <c r="AZ304" s="33">
        <f t="shared" si="75"/>
        <v>750.70957255687779</v>
      </c>
      <c r="BA304" s="39">
        <f t="shared" si="76"/>
        <v>-57.186019340147816</v>
      </c>
      <c r="BB304" s="39">
        <f t="shared" si="77"/>
        <v>30.641976961854915</v>
      </c>
      <c r="BC304" s="45">
        <f t="shared" si="78"/>
        <v>-475.99590075358799</v>
      </c>
      <c r="BD304" s="45">
        <f t="shared" si="79"/>
        <v>-7.4951923453017804</v>
      </c>
      <c r="BE304" s="64">
        <f t="shared" si="80"/>
        <v>517788993.50749141</v>
      </c>
      <c r="BF304" s="65">
        <f t="shared" si="81"/>
        <v>2694347485.0895472</v>
      </c>
      <c r="BG304" s="66">
        <f t="shared" si="82"/>
        <v>945973596.61181164</v>
      </c>
    </row>
    <row r="305" spans="43:59" x14ac:dyDescent="0.25">
      <c r="AQ305" s="7">
        <v>290</v>
      </c>
      <c r="AR305" s="58">
        <f t="shared" si="83"/>
        <v>145</v>
      </c>
      <c r="AS305" s="58">
        <f t="shared" si="84"/>
        <v>23121.711123841051</v>
      </c>
      <c r="AT305" s="58">
        <f t="shared" si="85"/>
        <v>-12069.444930399313</v>
      </c>
      <c r="AU305" s="58">
        <f t="shared" si="86"/>
        <v>-5444.6575821947608</v>
      </c>
      <c r="AV305" s="58">
        <f t="shared" si="87"/>
        <v>5086.0840107062477</v>
      </c>
      <c r="AW305" s="58">
        <f t="shared" si="73"/>
        <v>-761.38551829876326</v>
      </c>
      <c r="AX305" s="58">
        <f t="shared" si="88"/>
        <v>913.81690509010082</v>
      </c>
      <c r="AY305" s="33">
        <f t="shared" si="74"/>
        <v>-149.45366721091688</v>
      </c>
      <c r="AZ305" s="33">
        <f t="shared" si="75"/>
        <v>936.89812865566819</v>
      </c>
      <c r="BA305" s="39">
        <f t="shared" si="76"/>
        <v>-66.051539335574006</v>
      </c>
      <c r="BB305" s="39">
        <f t="shared" si="77"/>
        <v>33.804799761960567</v>
      </c>
      <c r="BC305" s="45">
        <f t="shared" si="78"/>
        <v>-545.88031175227241</v>
      </c>
      <c r="BD305" s="45">
        <f t="shared" si="79"/>
        <v>-56.886023327527987</v>
      </c>
      <c r="BE305" s="64">
        <f t="shared" si="80"/>
        <v>392708255.22464436</v>
      </c>
      <c r="BF305" s="65">
        <f t="shared" si="81"/>
        <v>2346542369.7839251</v>
      </c>
      <c r="BG305" s="66">
        <f t="shared" si="82"/>
        <v>799418789.54872775</v>
      </c>
    </row>
    <row r="306" spans="43:59" x14ac:dyDescent="0.25">
      <c r="AQ306" s="7">
        <v>291</v>
      </c>
      <c r="AR306" s="58">
        <f t="shared" si="83"/>
        <v>145.5</v>
      </c>
      <c r="AS306" s="58">
        <f t="shared" si="84"/>
        <v>20304.209142956322</v>
      </c>
      <c r="AT306" s="58">
        <f t="shared" si="85"/>
        <v>-9412.1758119099268</v>
      </c>
      <c r="AU306" s="58">
        <f t="shared" si="86"/>
        <v>-5825.3503413441422</v>
      </c>
      <c r="AV306" s="58">
        <f t="shared" si="87"/>
        <v>5542.9924632512984</v>
      </c>
      <c r="AW306" s="58">
        <f t="shared" si="73"/>
        <v>-717.21546538880409</v>
      </c>
      <c r="AX306" s="58">
        <f t="shared" si="88"/>
        <v>1068.1717413368995</v>
      </c>
      <c r="AY306" s="33">
        <f t="shared" si="74"/>
        <v>-20.994095427989869</v>
      </c>
      <c r="AZ306" s="33">
        <f t="shared" si="75"/>
        <v>1167.1438584643624</v>
      </c>
      <c r="BA306" s="39">
        <f t="shared" si="76"/>
        <v>-77.970290420090095</v>
      </c>
      <c r="BB306" s="39">
        <f t="shared" si="77"/>
        <v>37.553720018966843</v>
      </c>
      <c r="BC306" s="45">
        <f t="shared" si="78"/>
        <v>-618.25107954072416</v>
      </c>
      <c r="BD306" s="45">
        <f t="shared" si="79"/>
        <v>-136.52583714642998</v>
      </c>
      <c r="BE306" s="64">
        <f t="shared" si="80"/>
        <v>286114233.89560938</v>
      </c>
      <c r="BF306" s="65">
        <f t="shared" si="81"/>
        <v>2001261844.3916647</v>
      </c>
      <c r="BG306" s="66">
        <f t="shared" si="82"/>
        <v>671526779.50747883</v>
      </c>
    </row>
    <row r="307" spans="43:59" x14ac:dyDescent="0.25">
      <c r="AQ307" s="7">
        <v>292</v>
      </c>
      <c r="AR307" s="58">
        <f t="shared" si="83"/>
        <v>146</v>
      </c>
      <c r="AS307" s="58">
        <f t="shared" si="84"/>
        <v>17301.882039110649</v>
      </c>
      <c r="AT307" s="58">
        <f t="shared" si="85"/>
        <v>-6507.158112617165</v>
      </c>
      <c r="AU307" s="58">
        <f t="shared" si="86"/>
        <v>-6183.9580740385445</v>
      </c>
      <c r="AV307" s="58">
        <f t="shared" si="87"/>
        <v>6077.0783339197478</v>
      </c>
      <c r="AW307" s="58">
        <f t="shared" si="73"/>
        <v>-501.36134156842837</v>
      </c>
      <c r="AX307" s="58">
        <f t="shared" si="88"/>
        <v>1172.3631283139866</v>
      </c>
      <c r="AY307" s="33">
        <f t="shared" si="74"/>
        <v>267.21679921180629</v>
      </c>
      <c r="AZ307" s="33">
        <f t="shared" si="75"/>
        <v>1387.2440016201137</v>
      </c>
      <c r="BA307" s="39">
        <f t="shared" si="76"/>
        <v>-94.49724167357499</v>
      </c>
      <c r="BB307" s="39">
        <f t="shared" si="77"/>
        <v>41.817753535233919</v>
      </c>
      <c r="BC307" s="45">
        <f t="shared" si="78"/>
        <v>-674.08089910665967</v>
      </c>
      <c r="BD307" s="45">
        <f t="shared" si="79"/>
        <v>-256.69862684136126</v>
      </c>
      <c r="BE307" s="64">
        <f t="shared" si="80"/>
        <v>203480318.92273059</v>
      </c>
      <c r="BF307" s="65">
        <f t="shared" si="81"/>
        <v>1663916672.6146684</v>
      </c>
      <c r="BG307" s="66">
        <f t="shared" si="82"/>
        <v>569502305.81049061</v>
      </c>
    </row>
    <row r="308" spans="43:59" x14ac:dyDescent="0.25">
      <c r="AQ308" s="7">
        <v>293</v>
      </c>
      <c r="AR308" s="58">
        <f t="shared" si="83"/>
        <v>146.5</v>
      </c>
      <c r="AS308" s="58">
        <f t="shared" si="84"/>
        <v>14147.232834395325</v>
      </c>
      <c r="AT308" s="58">
        <f t="shared" si="85"/>
        <v>-3322.0735546180426</v>
      </c>
      <c r="AU308" s="58">
        <f t="shared" si="86"/>
        <v>-6434.6387448227588</v>
      </c>
      <c r="AV308" s="58">
        <f t="shared" si="87"/>
        <v>6663.2598980767416</v>
      </c>
      <c r="AW308" s="58">
        <f t="shared" si="73"/>
        <v>-26.171697354457592</v>
      </c>
      <c r="AX308" s="58">
        <f t="shared" si="88"/>
        <v>1054.8752508162599</v>
      </c>
      <c r="AY308" s="33">
        <f t="shared" si="74"/>
        <v>768.92521983334734</v>
      </c>
      <c r="AZ308" s="33">
        <f t="shared" si="75"/>
        <v>1421.7830731316333</v>
      </c>
      <c r="BA308" s="39">
        <f t="shared" si="76"/>
        <v>-118.01853908142174</v>
      </c>
      <c r="BB308" s="39">
        <f t="shared" si="77"/>
        <v>46.043310919987327</v>
      </c>
      <c r="BC308" s="45">
        <f t="shared" si="78"/>
        <v>-677.07837810638318</v>
      </c>
      <c r="BD308" s="45">
        <f t="shared" si="79"/>
        <v>-412.95113323536066</v>
      </c>
      <c r="BE308" s="64">
        <f t="shared" si="80"/>
        <v>151372159.51634336</v>
      </c>
      <c r="BF308" s="65">
        <f t="shared" si="81"/>
        <v>1343511154.0410597</v>
      </c>
      <c r="BG308" s="66">
        <f t="shared" si="82"/>
        <v>502990491.27829778</v>
      </c>
    </row>
    <row r="309" spans="43:59" x14ac:dyDescent="0.25">
      <c r="AQ309" s="7">
        <v>294</v>
      </c>
      <c r="AR309" s="58">
        <f t="shared" si="83"/>
        <v>147</v>
      </c>
      <c r="AS309" s="58">
        <f t="shared" si="84"/>
        <v>10926.641999814639</v>
      </c>
      <c r="AT309" s="58">
        <f t="shared" si="85"/>
        <v>141.41580077236065</v>
      </c>
      <c r="AU309" s="58">
        <f t="shared" si="86"/>
        <v>-6447.7245934999873</v>
      </c>
      <c r="AV309" s="58">
        <f t="shared" si="87"/>
        <v>7190.6975234848715</v>
      </c>
      <c r="AW309" s="58">
        <f t="shared" si="73"/>
        <v>562.21891410042406</v>
      </c>
      <c r="AX309" s="58">
        <f t="shared" si="88"/>
        <v>544.57834279910026</v>
      </c>
      <c r="AY309" s="33">
        <f t="shared" si="74"/>
        <v>1306.4414655775518</v>
      </c>
      <c r="AZ309" s="33">
        <f t="shared" si="75"/>
        <v>1059.5371113559472</v>
      </c>
      <c r="BA309" s="39">
        <f t="shared" si="76"/>
        <v>-151.69443740684429</v>
      </c>
      <c r="BB309" s="39">
        <f t="shared" si="77"/>
        <v>48.356119094300794</v>
      </c>
      <c r="BC309" s="45">
        <f t="shared" si="78"/>
        <v>-592.52811407028332</v>
      </c>
      <c r="BD309" s="45">
        <f t="shared" si="79"/>
        <v>-563.31488765114773</v>
      </c>
      <c r="BE309" s="64">
        <f t="shared" si="80"/>
        <v>136474586.81665036</v>
      </c>
      <c r="BF309" s="65">
        <f t="shared" si="81"/>
        <v>1053648867.7979597</v>
      </c>
      <c r="BG309" s="66">
        <f t="shared" si="82"/>
        <v>482920397.84213853</v>
      </c>
    </row>
    <row r="310" spans="43:59" x14ac:dyDescent="0.25">
      <c r="AQ310" s="7">
        <v>295</v>
      </c>
      <c r="AR310" s="58">
        <f t="shared" si="83"/>
        <v>147.5</v>
      </c>
      <c r="AS310" s="58">
        <f t="shared" si="84"/>
        <v>7773.0570673271986</v>
      </c>
      <c r="AT310" s="58">
        <f t="shared" si="85"/>
        <v>3804.8368553646842</v>
      </c>
      <c r="AU310" s="58">
        <f t="shared" si="86"/>
        <v>-6166.6151364497755</v>
      </c>
      <c r="AV310" s="58">
        <f t="shared" si="87"/>
        <v>7462.9866948844219</v>
      </c>
      <c r="AW310" s="58">
        <f t="shared" si="73"/>
        <v>864.86697913584146</v>
      </c>
      <c r="AX310" s="58">
        <f t="shared" si="88"/>
        <v>-145.35912049605702</v>
      </c>
      <c r="AY310" s="33">
        <f t="shared" si="74"/>
        <v>1499.7041506695027</v>
      </c>
      <c r="AZ310" s="33">
        <f t="shared" si="75"/>
        <v>453.23279383288605</v>
      </c>
      <c r="BA310" s="39">
        <f t="shared" si="76"/>
        <v>-198.215211120677</v>
      </c>
      <c r="BB310" s="39">
        <f t="shared" si="77"/>
        <v>44.214634624632033</v>
      </c>
      <c r="BC310" s="45">
        <f t="shared" si="78"/>
        <v>-436.62196041298432</v>
      </c>
      <c r="BD310" s="45">
        <f t="shared" si="79"/>
        <v>-642.80654895357509</v>
      </c>
      <c r="BE310" s="64">
        <f t="shared" si="80"/>
        <v>163152364.14430857</v>
      </c>
      <c r="BF310" s="65">
        <f t="shared" si="81"/>
        <v>809722745.25366092</v>
      </c>
      <c r="BG310" s="66">
        <f t="shared" si="82"/>
        <v>516772876.00207919</v>
      </c>
    </row>
    <row r="311" spans="43:59" x14ac:dyDescent="0.25">
      <c r="AQ311" s="7">
        <v>296</v>
      </c>
      <c r="AR311" s="58">
        <f t="shared" si="83"/>
        <v>148</v>
      </c>
      <c r="AS311" s="58">
        <f t="shared" si="84"/>
        <v>4797.8578714942905</v>
      </c>
      <c r="AT311" s="58">
        <f t="shared" si="85"/>
        <v>7518.1603127448889</v>
      </c>
      <c r="AU311" s="58">
        <f t="shared" si="86"/>
        <v>-5734.1816468818552</v>
      </c>
      <c r="AV311" s="58">
        <f t="shared" si="87"/>
        <v>7390.3071346363931</v>
      </c>
      <c r="AW311" s="58">
        <f t="shared" si="73"/>
        <v>789.21708006025631</v>
      </c>
      <c r="AX311" s="58">
        <f t="shared" si="88"/>
        <v>-608.34923616804883</v>
      </c>
      <c r="AY311" s="33">
        <f t="shared" si="74"/>
        <v>1321.1554081079412</v>
      </c>
      <c r="AZ311" s="33">
        <f t="shared" si="75"/>
        <v>-1.5782378031351723</v>
      </c>
      <c r="BA311" s="39">
        <f t="shared" si="76"/>
        <v>-256.74619245617276</v>
      </c>
      <c r="BB311" s="39">
        <f t="shared" si="77"/>
        <v>25.695884430479282</v>
      </c>
      <c r="BC311" s="45">
        <f t="shared" si="78"/>
        <v>-275.19213559151206</v>
      </c>
      <c r="BD311" s="45">
        <f t="shared" si="79"/>
        <v>-632.46688279539296</v>
      </c>
      <c r="BE311" s="64">
        <f t="shared" si="80"/>
        <v>231105455.0922471</v>
      </c>
      <c r="BF311" s="65">
        <f t="shared" si="81"/>
        <v>621093283.24806595</v>
      </c>
      <c r="BG311" s="66">
        <f t="shared" si="82"/>
        <v>603065562.74048162</v>
      </c>
    </row>
    <row r="312" spans="43:59" x14ac:dyDescent="0.25">
      <c r="AQ312" s="7">
        <v>297</v>
      </c>
      <c r="AR312" s="58">
        <f t="shared" si="83"/>
        <v>148.5</v>
      </c>
      <c r="AS312" s="58">
        <f t="shared" si="84"/>
        <v>2029.419183060895</v>
      </c>
      <c r="AT312" s="58">
        <f t="shared" si="85"/>
        <v>11137.270225542079</v>
      </c>
      <c r="AU312" s="58">
        <f t="shared" si="86"/>
        <v>-5339.5731068517271</v>
      </c>
      <c r="AV312" s="58">
        <f t="shared" si="87"/>
        <v>7086.1325165523685</v>
      </c>
      <c r="AW312" s="58">
        <f t="shared" si="73"/>
        <v>560.5396789510321</v>
      </c>
      <c r="AX312" s="58">
        <f t="shared" si="88"/>
        <v>-795.22261716900425</v>
      </c>
      <c r="AY312" s="33">
        <f t="shared" si="74"/>
        <v>1032.9392844020954</v>
      </c>
      <c r="AZ312" s="33">
        <f t="shared" si="75"/>
        <v>-209.06832907743598</v>
      </c>
      <c r="BA312" s="39">
        <f t="shared" si="76"/>
        <v>-319.1895682362105</v>
      </c>
      <c r="BB312" s="39">
        <f t="shared" si="77"/>
        <v>-16.478182617624327</v>
      </c>
      <c r="BC312" s="45">
        <f t="shared" si="78"/>
        <v>-153.21003721485269</v>
      </c>
      <c r="BD312" s="45">
        <f t="shared" si="79"/>
        <v>-569.67610547394395</v>
      </c>
      <c r="BE312" s="64">
        <f t="shared" si="80"/>
        <v>336171509.59175467</v>
      </c>
      <c r="BF312" s="65">
        <f t="shared" si="81"/>
        <v>486588693.10891587</v>
      </c>
      <c r="BG312" s="66">
        <f t="shared" si="82"/>
        <v>732569628.89419317</v>
      </c>
    </row>
    <row r="313" spans="43:59" x14ac:dyDescent="0.25">
      <c r="AQ313" s="7">
        <v>298</v>
      </c>
      <c r="AR313" s="58">
        <f t="shared" si="83"/>
        <v>149</v>
      </c>
      <c r="AS313" s="58">
        <f t="shared" si="84"/>
        <v>-570.29991049608952</v>
      </c>
      <c r="AT313" s="58">
        <f t="shared" si="85"/>
        <v>14580.933656672139</v>
      </c>
      <c r="AU313" s="58">
        <f t="shared" si="86"/>
        <v>-5059.3032673762109</v>
      </c>
      <c r="AV313" s="58">
        <f t="shared" si="87"/>
        <v>6688.5212079678668</v>
      </c>
      <c r="AW313" s="58">
        <f t="shared" si="73"/>
        <v>342.12847956244036</v>
      </c>
      <c r="AX313" s="58">
        <f t="shared" si="88"/>
        <v>-850.76396461944773</v>
      </c>
      <c r="AY313" s="33">
        <f t="shared" si="74"/>
        <v>784.68008060055081</v>
      </c>
      <c r="AZ313" s="33">
        <f t="shared" si="75"/>
        <v>-270.11116107303502</v>
      </c>
      <c r="BA313" s="39">
        <f t="shared" si="76"/>
        <v>-368.61406477971053</v>
      </c>
      <c r="BB313" s="39">
        <f t="shared" si="77"/>
        <v>-86.908010308625137</v>
      </c>
      <c r="BC313" s="45">
        <f t="shared" si="78"/>
        <v>-73.937536258399888</v>
      </c>
      <c r="BD313" s="45">
        <f t="shared" si="79"/>
        <v>-493.74479323778758</v>
      </c>
      <c r="BE313" s="64">
        <f t="shared" si="80"/>
        <v>473276859.85794777</v>
      </c>
      <c r="BF313" s="65">
        <f t="shared" si="81"/>
        <v>398498198.73489976</v>
      </c>
      <c r="BG313" s="66">
        <f t="shared" si="82"/>
        <v>894653878.88338947</v>
      </c>
    </row>
    <row r="314" spans="43:59" x14ac:dyDescent="0.25">
      <c r="AQ314" s="7">
        <v>299</v>
      </c>
      <c r="AR314" s="58">
        <f t="shared" si="83"/>
        <v>149.5</v>
      </c>
      <c r="AS314" s="58">
        <f t="shared" si="84"/>
        <v>-3057.1854842388898</v>
      </c>
      <c r="AT314" s="58">
        <f t="shared" si="85"/>
        <v>17818.848765078641</v>
      </c>
      <c r="AU314" s="58">
        <f t="shared" si="86"/>
        <v>-4888.2390275949911</v>
      </c>
      <c r="AV314" s="58">
        <f t="shared" si="87"/>
        <v>6263.139225658143</v>
      </c>
      <c r="AW314" s="58">
        <f t="shared" si="73"/>
        <v>192.57226764225331</v>
      </c>
      <c r="AX314" s="58">
        <f t="shared" si="88"/>
        <v>-870.29779277791533</v>
      </c>
      <c r="AY314" s="33">
        <f t="shared" si="74"/>
        <v>602.03414886475764</v>
      </c>
      <c r="AZ314" s="33">
        <f t="shared" si="75"/>
        <v>-269.43008017152795</v>
      </c>
      <c r="BA314" s="39">
        <f t="shared" si="76"/>
        <v>-384.39287550390821</v>
      </c>
      <c r="BB314" s="39">
        <f t="shared" si="77"/>
        <v>-177.39141021362624</v>
      </c>
      <c r="BC314" s="45">
        <f t="shared" si="78"/>
        <v>-25.069005718596124</v>
      </c>
      <c r="BD314" s="45">
        <f t="shared" si="79"/>
        <v>-423.47630239276111</v>
      </c>
      <c r="BE314" s="64">
        <f t="shared" si="80"/>
        <v>638112442.29116154</v>
      </c>
      <c r="BF314" s="65">
        <f t="shared" si="81"/>
        <v>348193359.72665715</v>
      </c>
      <c r="BG314" s="66">
        <f t="shared" si="82"/>
        <v>1080851362.507756</v>
      </c>
    </row>
    <row r="315" spans="43:59" x14ac:dyDescent="0.25">
      <c r="AQ315" s="7">
        <v>300</v>
      </c>
      <c r="AR315" s="58">
        <f t="shared" si="83"/>
        <v>150</v>
      </c>
      <c r="AS315" s="58">
        <f t="shared" si="84"/>
        <v>-5477.2334645811034</v>
      </c>
      <c r="AT315" s="58">
        <f t="shared" si="85"/>
        <v>20841.631153810475</v>
      </c>
      <c r="AU315" s="58">
        <f t="shared" si="86"/>
        <v>-4791.9528937738642</v>
      </c>
      <c r="AV315" s="58">
        <f t="shared" si="87"/>
        <v>5827.9903292691852</v>
      </c>
      <c r="AW315" s="58">
        <f t="shared" si="73"/>
        <v>121.74961318796781</v>
      </c>
      <c r="AX315" s="58">
        <f t="shared" si="88"/>
        <v>-877.142145020817</v>
      </c>
      <c r="AY315" s="33">
        <f t="shared" si="74"/>
        <v>472.57317442334437</v>
      </c>
      <c r="AZ315" s="33">
        <f t="shared" si="75"/>
        <v>-247.47180635239621</v>
      </c>
      <c r="BA315" s="39">
        <f t="shared" si="76"/>
        <v>-355.67226084660354</v>
      </c>
      <c r="BB315" s="39">
        <f t="shared" si="77"/>
        <v>-265.51879453108052</v>
      </c>
      <c r="BC315" s="45">
        <f t="shared" si="78"/>
        <v>4.8486996112269729</v>
      </c>
      <c r="BD315" s="45">
        <f t="shared" si="79"/>
        <v>-364.15154413734018</v>
      </c>
      <c r="BE315" s="64">
        <f t="shared" si="80"/>
        <v>827088546.85309744</v>
      </c>
      <c r="BF315" s="65">
        <f t="shared" si="81"/>
        <v>328451713.91755688</v>
      </c>
      <c r="BG315" s="66">
        <f t="shared" si="82"/>
        <v>1284850275.5455139</v>
      </c>
    </row>
    <row r="316" spans="43:59" x14ac:dyDescent="0.25">
      <c r="AQ316" s="7">
        <v>301</v>
      </c>
      <c r="AR316" s="58">
        <f t="shared" si="83"/>
        <v>150.5</v>
      </c>
      <c r="AS316" s="58">
        <f t="shared" si="84"/>
        <v>-7857.9912098195391</v>
      </c>
      <c r="AT316" s="58">
        <f t="shared" si="85"/>
        <v>23645.983550317462</v>
      </c>
      <c r="AU316" s="58">
        <f t="shared" si="86"/>
        <v>-4731.0780871798806</v>
      </c>
      <c r="AV316" s="58">
        <f t="shared" si="87"/>
        <v>5389.419256758777</v>
      </c>
      <c r="AW316" s="58">
        <f t="shared" si="73"/>
        <v>112.58726449984489</v>
      </c>
      <c r="AX316" s="58">
        <f t="shared" si="88"/>
        <v>-863.67462868764801</v>
      </c>
      <c r="AY316" s="33">
        <f t="shared" si="74"/>
        <v>380.57914072361291</v>
      </c>
      <c r="AZ316" s="33">
        <f t="shared" si="75"/>
        <v>-220.57672785650988</v>
      </c>
      <c r="BA316" s="39">
        <f t="shared" si="76"/>
        <v>-291.33698047586864</v>
      </c>
      <c r="BB316" s="39">
        <f t="shared" si="77"/>
        <v>-327.4235517263017</v>
      </c>
      <c r="BC316" s="45">
        <f t="shared" si="78"/>
        <v>23.345104252100626</v>
      </c>
      <c r="BD316" s="45">
        <f t="shared" si="79"/>
        <v>-315.67434910483644</v>
      </c>
      <c r="BE316" s="64">
        <f t="shared" si="80"/>
        <v>1036760459.0535048</v>
      </c>
      <c r="BF316" s="65">
        <f t="shared" si="81"/>
        <v>333641244.51635432</v>
      </c>
      <c r="BG316" s="66">
        <f t="shared" si="82"/>
        <v>1501680158.3268135</v>
      </c>
    </row>
    <row r="317" spans="43:59" x14ac:dyDescent="0.25">
      <c r="AQ317" s="7">
        <v>302</v>
      </c>
      <c r="AR317" s="58">
        <f t="shared" si="83"/>
        <v>151</v>
      </c>
      <c r="AS317" s="58">
        <f t="shared" si="84"/>
        <v>-10209.456845346998</v>
      </c>
      <c r="AT317" s="58">
        <f t="shared" si="85"/>
        <v>26232.733850110893</v>
      </c>
      <c r="AU317" s="58">
        <f t="shared" si="86"/>
        <v>-4674.784454929958</v>
      </c>
      <c r="AV317" s="58">
        <f t="shared" si="87"/>
        <v>4957.5819424149531</v>
      </c>
      <c r="AW317" s="58">
        <f t="shared" si="73"/>
        <v>135.99845018187281</v>
      </c>
      <c r="AX317" s="58">
        <f t="shared" si="88"/>
        <v>-824.48965418613284</v>
      </c>
      <c r="AY317" s="33">
        <f t="shared" si="74"/>
        <v>314.15654858006957</v>
      </c>
      <c r="AZ317" s="33">
        <f t="shared" si="75"/>
        <v>-194.80691235024022</v>
      </c>
      <c r="BA317" s="39">
        <f t="shared" si="76"/>
        <v>-213.0789288666476</v>
      </c>
      <c r="BB317" s="39">
        <f t="shared" si="77"/>
        <v>-353.28515351215884</v>
      </c>
      <c r="BC317" s="45">
        <f t="shared" si="78"/>
        <v>34.920830468450845</v>
      </c>
      <c r="BD317" s="45">
        <f t="shared" si="79"/>
        <v>-276.39758832373383</v>
      </c>
      <c r="BE317" s="64">
        <f t="shared" si="80"/>
        <v>1263526600.3899732</v>
      </c>
      <c r="BF317" s="65">
        <f t="shared" si="81"/>
        <v>359356383.51165879</v>
      </c>
      <c r="BG317" s="66">
        <f t="shared" si="82"/>
        <v>1727276781.3776131</v>
      </c>
    </row>
    <row r="318" spans="43:59" x14ac:dyDescent="0.25">
      <c r="AQ318" s="7">
        <v>303</v>
      </c>
      <c r="AR318" s="58">
        <f t="shared" si="83"/>
        <v>151.5</v>
      </c>
      <c r="AS318" s="58">
        <f t="shared" si="84"/>
        <v>-12529.849266539244</v>
      </c>
      <c r="AT318" s="58">
        <f t="shared" si="85"/>
        <v>28608.463614545104</v>
      </c>
      <c r="AU318" s="58">
        <f t="shared" si="86"/>
        <v>-4606.7852298390217</v>
      </c>
      <c r="AV318" s="58">
        <f t="shared" si="87"/>
        <v>4545.3371153218868</v>
      </c>
      <c r="AW318" s="58">
        <f t="shared" si="73"/>
        <v>167.37906608484872</v>
      </c>
      <c r="AX318" s="58">
        <f t="shared" si="88"/>
        <v>-765.42431642998997</v>
      </c>
      <c r="AY318" s="33">
        <f t="shared" si="74"/>
        <v>265.19924645630721</v>
      </c>
      <c r="AZ318" s="33">
        <f t="shared" si="75"/>
        <v>-172.08652270595934</v>
      </c>
      <c r="BA318" s="39">
        <f t="shared" si="76"/>
        <v>-140.03756063411791</v>
      </c>
      <c r="BB318" s="39">
        <f t="shared" si="77"/>
        <v>-348.83952743512964</v>
      </c>
      <c r="BC318" s="45">
        <f t="shared" si="78"/>
        <v>42.217380262659404</v>
      </c>
      <c r="BD318" s="45">
        <f t="shared" si="79"/>
        <v>-244.49826628890096</v>
      </c>
      <c r="BE318" s="64">
        <f t="shared" si="80"/>
        <v>1503758329.4703383</v>
      </c>
      <c r="BF318" s="65">
        <f t="shared" si="81"/>
        <v>402078070.07447332</v>
      </c>
      <c r="BG318" s="66">
        <f t="shared" si="82"/>
        <v>1958396728.7979062</v>
      </c>
    </row>
    <row r="319" spans="43:59" x14ac:dyDescent="0.25">
      <c r="AQ319" s="7">
        <v>304</v>
      </c>
      <c r="AR319" s="58">
        <f t="shared" si="83"/>
        <v>152</v>
      </c>
      <c r="AS319" s="58">
        <f t="shared" si="84"/>
        <v>-14812.319498198149</v>
      </c>
      <c r="AT319" s="58">
        <f t="shared" si="85"/>
        <v>30785.454132652296</v>
      </c>
      <c r="AU319" s="58">
        <f t="shared" si="86"/>
        <v>-4523.0956967965976</v>
      </c>
      <c r="AV319" s="58">
        <f t="shared" si="87"/>
        <v>4162.624957106892</v>
      </c>
      <c r="AW319" s="58">
        <f t="shared" si="73"/>
        <v>193.73172788277375</v>
      </c>
      <c r="AX319" s="58">
        <f t="shared" si="88"/>
        <v>-697.18668423197164</v>
      </c>
      <c r="AY319" s="33">
        <f t="shared" si="74"/>
        <v>228.31179664959254</v>
      </c>
      <c r="AZ319" s="33">
        <f t="shared" si="75"/>
        <v>-152.71443975753164</v>
      </c>
      <c r="BA319" s="39">
        <f t="shared" si="76"/>
        <v>-81.383843040322859</v>
      </c>
      <c r="BB319" s="39">
        <f t="shared" si="77"/>
        <v>-326.08024647355529</v>
      </c>
      <c r="BC319" s="45">
        <f t="shared" si="78"/>
        <v>46.803774273504068</v>
      </c>
      <c r="BD319" s="45">
        <f t="shared" si="79"/>
        <v>-218.39199800088468</v>
      </c>
      <c r="BE319" s="64">
        <f t="shared" si="80"/>
        <v>1754109963.008481</v>
      </c>
      <c r="BF319" s="65">
        <f t="shared" si="81"/>
        <v>458947132.48936754</v>
      </c>
      <c r="BG319" s="66">
        <f t="shared" si="82"/>
        <v>2192589424.0679264</v>
      </c>
    </row>
    <row r="320" spans="43:59" x14ac:dyDescent="0.25">
      <c r="AQ320" s="7">
        <v>305</v>
      </c>
      <c r="AR320" s="58">
        <f t="shared" si="83"/>
        <v>152.5</v>
      </c>
      <c r="AS320" s="58">
        <f t="shared" si="84"/>
        <v>-17049.650880611098</v>
      </c>
      <c r="AT320" s="58">
        <f t="shared" si="85"/>
        <v>32779.618275676745</v>
      </c>
      <c r="AU320" s="58">
        <f t="shared" si="86"/>
        <v>-4426.2298328552106</v>
      </c>
      <c r="AV320" s="58">
        <f t="shared" si="87"/>
        <v>3814.0316149909063</v>
      </c>
      <c r="AW320" s="58">
        <f t="shared" si="73"/>
        <v>211.27149366897353</v>
      </c>
      <c r="AX320" s="58">
        <f t="shared" si="88"/>
        <v>-628.67889114771879</v>
      </c>
      <c r="AY320" s="33">
        <f t="shared" si="74"/>
        <v>199.90487716660348</v>
      </c>
      <c r="AZ320" s="33">
        <f t="shared" si="75"/>
        <v>-136.39855885558163</v>
      </c>
      <c r="BA320" s="39">
        <f t="shared" si="76"/>
        <v>-38.26807405888227</v>
      </c>
      <c r="BB320" s="39">
        <f t="shared" si="77"/>
        <v>-295.46744603134465</v>
      </c>
      <c r="BC320" s="45">
        <f t="shared" si="78"/>
        <v>49.634690561252313</v>
      </c>
      <c r="BD320" s="45">
        <f t="shared" si="79"/>
        <v>-196.81288626079257</v>
      </c>
      <c r="BE320" s="64">
        <f t="shared" si="80"/>
        <v>2011735730.5390961</v>
      </c>
      <c r="BF320" s="65">
        <f t="shared" si="81"/>
        <v>527615568.71182483</v>
      </c>
      <c r="BG320" s="66">
        <f t="shared" si="82"/>
        <v>2428086008.9139948</v>
      </c>
    </row>
    <row r="321" spans="43:59" x14ac:dyDescent="0.25">
      <c r="AQ321" s="7">
        <v>306</v>
      </c>
      <c r="AR321" s="58">
        <f t="shared" si="83"/>
        <v>153</v>
      </c>
      <c r="AS321" s="58">
        <f t="shared" si="84"/>
        <v>-19236.356860330085</v>
      </c>
      <c r="AT321" s="58">
        <f t="shared" si="85"/>
        <v>34608.049221778732</v>
      </c>
      <c r="AU321" s="58">
        <f t="shared" si="86"/>
        <v>-4320.5940860207238</v>
      </c>
      <c r="AV321" s="58">
        <f t="shared" si="87"/>
        <v>3499.6921694170469</v>
      </c>
      <c r="AW321" s="58">
        <f t="shared" si="73"/>
        <v>220.69996797094188</v>
      </c>
      <c r="AX321" s="58">
        <f t="shared" si="88"/>
        <v>-565.02126906115973</v>
      </c>
      <c r="AY321" s="33">
        <f t="shared" si="74"/>
        <v>177.571586337593</v>
      </c>
      <c r="AZ321" s="33">
        <f t="shared" si="75"/>
        <v>-122.68262621741043</v>
      </c>
      <c r="BA321" s="39">
        <f t="shared" si="76"/>
        <v>-8.1786717971167047</v>
      </c>
      <c r="BB321" s="39">
        <f t="shared" si="77"/>
        <v>-263.55393991913093</v>
      </c>
      <c r="BC321" s="45">
        <f t="shared" si="78"/>
        <v>51.307053430465565</v>
      </c>
      <c r="BD321" s="45">
        <f t="shared" si="79"/>
        <v>-178.78470292461836</v>
      </c>
      <c r="BE321" s="64">
        <f t="shared" si="80"/>
        <v>2274338032.2815499</v>
      </c>
      <c r="BF321" s="65">
        <f t="shared" si="81"/>
        <v>606139237.34624982</v>
      </c>
      <c r="BG321" s="66">
        <f t="shared" si="82"/>
        <v>2663632404.2450891</v>
      </c>
    </row>
    <row r="322" spans="43:59" x14ac:dyDescent="0.25">
      <c r="AQ322" s="7">
        <v>307</v>
      </c>
      <c r="AR322" s="58">
        <f t="shared" si="83"/>
        <v>153.5</v>
      </c>
      <c r="AS322" s="58">
        <f t="shared" si="84"/>
        <v>-21369.066407344078</v>
      </c>
      <c r="AT322" s="58">
        <f t="shared" si="85"/>
        <v>36287.267647854613</v>
      </c>
      <c r="AU322" s="58">
        <f t="shared" si="86"/>
        <v>-4210.2441020352526</v>
      </c>
      <c r="AV322" s="58">
        <f t="shared" si="87"/>
        <v>3217.181534886467</v>
      </c>
      <c r="AW322" s="58">
        <f t="shared" si="73"/>
        <v>224.04845208951161</v>
      </c>
      <c r="AX322" s="58">
        <f t="shared" si="88"/>
        <v>-508.30590963745732</v>
      </c>
      <c r="AY322" s="33">
        <f t="shared" si="74"/>
        <v>159.67693552440088</v>
      </c>
      <c r="AZ322" s="33">
        <f t="shared" si="75"/>
        <v>-111.11352223588314</v>
      </c>
      <c r="BA322" s="39">
        <f t="shared" si="76"/>
        <v>12.167567965609061</v>
      </c>
      <c r="BB322" s="39">
        <f t="shared" si="77"/>
        <v>-233.62790440233252</v>
      </c>
      <c r="BC322" s="45">
        <f t="shared" si="78"/>
        <v>52.203948599501686</v>
      </c>
      <c r="BD322" s="45">
        <f t="shared" si="79"/>
        <v>-163.56448299924165</v>
      </c>
      <c r="BE322" s="64">
        <f t="shared" si="80"/>
        <v>2540106434.0444613</v>
      </c>
      <c r="BF322" s="65">
        <f t="shared" si="81"/>
        <v>692894783.21766186</v>
      </c>
      <c r="BG322" s="66">
        <f t="shared" si="82"/>
        <v>2898330157.8307147</v>
      </c>
    </row>
    <row r="323" spans="43:59" x14ac:dyDescent="0.25">
      <c r="AQ323" s="7">
        <v>308</v>
      </c>
      <c r="AR323" s="58">
        <f t="shared" si="83"/>
        <v>154</v>
      </c>
      <c r="AS323" s="58">
        <f t="shared" si="84"/>
        <v>-23446.182401850518</v>
      </c>
      <c r="AT323" s="58">
        <f t="shared" si="85"/>
        <v>37832.320176593159</v>
      </c>
      <c r="AU323" s="58">
        <f t="shared" si="86"/>
        <v>-4098.2198759904968</v>
      </c>
      <c r="AV323" s="58">
        <f t="shared" si="87"/>
        <v>2963.0285800677384</v>
      </c>
      <c r="AW323" s="58">
        <f t="shared" si="73"/>
        <v>223.29620606421901</v>
      </c>
      <c r="AX323" s="58">
        <f t="shared" si="88"/>
        <v>-458.85664986387565</v>
      </c>
      <c r="AY323" s="33">
        <f t="shared" si="74"/>
        <v>145.09207103294457</v>
      </c>
      <c r="AZ323" s="33">
        <f t="shared" si="75"/>
        <v>-101.29725813306028</v>
      </c>
      <c r="BA323" s="39">
        <f t="shared" si="76"/>
        <v>25.627145487064759</v>
      </c>
      <c r="BB323" s="39">
        <f t="shared" si="77"/>
        <v>-206.97189969547628</v>
      </c>
      <c r="BC323" s="45">
        <f t="shared" si="78"/>
        <v>52.576989544209695</v>
      </c>
      <c r="BD323" s="45">
        <f t="shared" si="79"/>
        <v>-150.58749203533912</v>
      </c>
      <c r="BE323" s="64">
        <f t="shared" si="80"/>
        <v>2807620412.5902257</v>
      </c>
      <c r="BF323" s="65">
        <f t="shared" si="81"/>
        <v>786514219.55921888</v>
      </c>
      <c r="BG323" s="66">
        <f t="shared" si="82"/>
        <v>3131515700.4443922</v>
      </c>
    </row>
    <row r="324" spans="43:59" x14ac:dyDescent="0.25">
      <c r="AQ324" s="7">
        <v>309</v>
      </c>
      <c r="AR324" s="58">
        <f t="shared" si="83"/>
        <v>154.5</v>
      </c>
      <c r="AS324" s="58">
        <f t="shared" si="84"/>
        <v>-25467.380314087735</v>
      </c>
      <c r="AT324" s="58">
        <f t="shared" si="85"/>
        <v>39256.477385394042</v>
      </c>
      <c r="AU324" s="58">
        <f t="shared" si="86"/>
        <v>-3986.5717729583871</v>
      </c>
      <c r="AV324" s="58">
        <f t="shared" si="87"/>
        <v>2733.6002551358006</v>
      </c>
      <c r="AW324" s="58">
        <f t="shared" si="73"/>
        <v>219.97153754641164</v>
      </c>
      <c r="AX324" s="58">
        <f t="shared" si="88"/>
        <v>-416.16034552331814</v>
      </c>
      <c r="AY324" s="33">
        <f t="shared" si="74"/>
        <v>133.02331156409431</v>
      </c>
      <c r="AZ324" s="33">
        <f t="shared" si="75"/>
        <v>-92.909504709390575</v>
      </c>
      <c r="BA324" s="39">
        <f t="shared" si="76"/>
        <v>34.353459279818999</v>
      </c>
      <c r="BB324" s="39">
        <f t="shared" si="77"/>
        <v>-183.82866140486883</v>
      </c>
      <c r="BC324" s="45">
        <f t="shared" si="78"/>
        <v>52.594766702498347</v>
      </c>
      <c r="BD324" s="45">
        <f t="shared" si="79"/>
        <v>-139.42217940905871</v>
      </c>
      <c r="BE324" s="64">
        <f t="shared" si="80"/>
        <v>3075756528.5549359</v>
      </c>
      <c r="BF324" s="65">
        <f t="shared" si="81"/>
        <v>885833716.50094712</v>
      </c>
      <c r="BG324" s="66">
        <f t="shared" si="82"/>
        <v>3362678995.1932812</v>
      </c>
    </row>
    <row r="325" spans="43:59" x14ac:dyDescent="0.25">
      <c r="AQ325" s="7">
        <v>310</v>
      </c>
      <c r="AR325" s="58">
        <f t="shared" si="83"/>
        <v>155</v>
      </c>
      <c r="AS325" s="58">
        <f t="shared" si="84"/>
        <v>-27433.169758373628</v>
      </c>
      <c r="AT325" s="58">
        <f t="shared" si="85"/>
        <v>40571.257469771524</v>
      </c>
      <c r="AU325" s="58">
        <f t="shared" si="86"/>
        <v>-3876.5860041851811</v>
      </c>
      <c r="AV325" s="58">
        <f t="shared" si="87"/>
        <v>2525.5200823741416</v>
      </c>
      <c r="AW325" s="58">
        <f t="shared" si="73"/>
        <v>215.14319972589894</v>
      </c>
      <c r="AX325" s="58">
        <f t="shared" si="88"/>
        <v>-379.39917579096101</v>
      </c>
      <c r="AY325" s="33">
        <f t="shared" si="74"/>
        <v>122.90205267516149</v>
      </c>
      <c r="AZ325" s="33">
        <f t="shared" si="75"/>
        <v>-85.689517447147963</v>
      </c>
      <c r="BA325" s="39">
        <f t="shared" si="76"/>
        <v>39.868982041466346</v>
      </c>
      <c r="BB325" s="39">
        <f t="shared" si="77"/>
        <v>-163.9737762849166</v>
      </c>
      <c r="BC325" s="45">
        <f t="shared" si="78"/>
        <v>52.372165009271093</v>
      </c>
      <c r="BD325" s="45">
        <f t="shared" si="79"/>
        <v>-129.73588205889644</v>
      </c>
      <c r="BE325" s="64">
        <f t="shared" si="80"/>
        <v>3343613663.9586091</v>
      </c>
      <c r="BF325" s="65">
        <f t="shared" si="81"/>
        <v>989853795.93986154</v>
      </c>
      <c r="BG325" s="66">
        <f t="shared" si="82"/>
        <v>3591411762.1796465</v>
      </c>
    </row>
    <row r="326" spans="43:59" x14ac:dyDescent="0.25">
      <c r="AQ326" s="7">
        <v>311</v>
      </c>
      <c r="AR326" s="58">
        <f t="shared" si="83"/>
        <v>155.5</v>
      </c>
      <c r="AS326" s="58">
        <f t="shared" si="84"/>
        <v>-29344.56986050048</v>
      </c>
      <c r="AT326" s="58">
        <f t="shared" si="85"/>
        <v>41786.592613984729</v>
      </c>
      <c r="AU326" s="58">
        <f t="shared" si="86"/>
        <v>-3769.0144043222317</v>
      </c>
      <c r="AV326" s="58">
        <f t="shared" si="87"/>
        <v>2335.8204944786612</v>
      </c>
      <c r="AW326" s="58">
        <f t="shared" si="73"/>
        <v>209.52069774671548</v>
      </c>
      <c r="AX326" s="58">
        <f t="shared" si="88"/>
        <v>-347.71252182888509</v>
      </c>
      <c r="AY326" s="33">
        <f t="shared" si="74"/>
        <v>114.31333208076732</v>
      </c>
      <c r="AZ326" s="33">
        <f t="shared" si="75"/>
        <v>-79.429502749356175</v>
      </c>
      <c r="BA326" s="39">
        <f t="shared" si="76"/>
        <v>43.218783158814766</v>
      </c>
      <c r="BB326" s="39">
        <f t="shared" si="77"/>
        <v>-147.01349276100458</v>
      </c>
      <c r="BC326" s="45">
        <f t="shared" si="78"/>
        <v>51.988582507133387</v>
      </c>
      <c r="BD326" s="45">
        <f t="shared" si="79"/>
        <v>-121.2695263185243</v>
      </c>
      <c r="BE326" s="64">
        <f t="shared" si="80"/>
        <v>3610457007.7951646</v>
      </c>
      <c r="BF326" s="65">
        <f t="shared" si="81"/>
        <v>1097708455.8852024</v>
      </c>
      <c r="BG326" s="66">
        <f t="shared" si="82"/>
        <v>3817375182.3994532</v>
      </c>
    </row>
    <row r="327" spans="43:59" x14ac:dyDescent="0.25">
      <c r="AQ327" s="7">
        <v>312</v>
      </c>
      <c r="AR327" s="58">
        <f t="shared" si="83"/>
        <v>156</v>
      </c>
      <c r="AS327" s="58">
        <f t="shared" si="84"/>
        <v>-31202.886975443256</v>
      </c>
      <c r="AT327" s="58">
        <f t="shared" si="85"/>
        <v>42911.038795995446</v>
      </c>
      <c r="AU327" s="58">
        <f t="shared" si="86"/>
        <v>-3664.2540554488742</v>
      </c>
      <c r="AV327" s="58">
        <f t="shared" si="87"/>
        <v>2161.9642335642188</v>
      </c>
      <c r="AW327" s="58">
        <f t="shared" si="73"/>
        <v>203.55997518026655</v>
      </c>
      <c r="AX327" s="58">
        <f t="shared" si="88"/>
        <v>-320.3086470808899</v>
      </c>
      <c r="AY327" s="33">
        <f t="shared" si="74"/>
        <v>106.94891454500505</v>
      </c>
      <c r="AZ327" s="33">
        <f t="shared" si="75"/>
        <v>-73.96403573804524</v>
      </c>
      <c r="BA327" s="39">
        <f t="shared" si="76"/>
        <v>45.111533195641201</v>
      </c>
      <c r="BB327" s="39">
        <f t="shared" si="77"/>
        <v>-132.52543048974582</v>
      </c>
      <c r="BC327" s="45">
        <f t="shared" si="78"/>
        <v>51.499527439620302</v>
      </c>
      <c r="BD327" s="45">
        <f t="shared" si="79"/>
        <v>-113.81918085309881</v>
      </c>
      <c r="BE327" s="64">
        <f t="shared" si="80"/>
        <v>3875677303.2315106</v>
      </c>
      <c r="BF327" s="65">
        <f t="shared" si="81"/>
        <v>1208641151.2160735</v>
      </c>
      <c r="BG327" s="66">
        <f t="shared" si="82"/>
        <v>4040279700.2791433</v>
      </c>
    </row>
    <row r="328" spans="43:59" x14ac:dyDescent="0.25">
      <c r="AQ328" s="7">
        <v>313</v>
      </c>
      <c r="AR328" s="58">
        <f t="shared" si="83"/>
        <v>156.5</v>
      </c>
      <c r="AS328" s="58">
        <f t="shared" si="84"/>
        <v>-33009.569006270161</v>
      </c>
      <c r="AT328" s="58">
        <f t="shared" si="85"/>
        <v>43951.982331892439</v>
      </c>
      <c r="AU328" s="58">
        <f t="shared" si="86"/>
        <v>-3562.4740678587409</v>
      </c>
      <c r="AV328" s="58">
        <f t="shared" si="87"/>
        <v>2001.8099100237739</v>
      </c>
      <c r="AW328" s="58">
        <f t="shared" si="73"/>
        <v>197.54648524302257</v>
      </c>
      <c r="AX328" s="58">
        <f t="shared" si="88"/>
        <v>-296.50169649074331</v>
      </c>
      <c r="AY328" s="33">
        <f t="shared" si="74"/>
        <v>100.57601773268391</v>
      </c>
      <c r="AZ328" s="33">
        <f t="shared" si="75"/>
        <v>-69.161007911047989</v>
      </c>
      <c r="BA328" s="39">
        <f t="shared" si="76"/>
        <v>46.026306609110321</v>
      </c>
      <c r="BB328" s="39">
        <f t="shared" si="77"/>
        <v>-120.11807216992494</v>
      </c>
      <c r="BC328" s="45">
        <f t="shared" si="78"/>
        <v>50.944160901228344</v>
      </c>
      <c r="BD328" s="45">
        <f t="shared" si="79"/>
        <v>-107.2226164097704</v>
      </c>
      <c r="BE328" s="64">
        <f t="shared" si="80"/>
        <v>4138761422.155117</v>
      </c>
      <c r="BF328" s="65">
        <f t="shared" si="81"/>
        <v>1321985989.9940414</v>
      </c>
      <c r="BG328" s="66">
        <f t="shared" si="82"/>
        <v>4259872176.7767687</v>
      </c>
    </row>
    <row r="329" spans="43:59" x14ac:dyDescent="0.25">
      <c r="AQ329" s="7">
        <v>314</v>
      </c>
      <c r="AR329" s="58">
        <f t="shared" si="83"/>
        <v>157</v>
      </c>
      <c r="AS329" s="58">
        <f t="shared" si="84"/>
        <v>-34766.112729544155</v>
      </c>
      <c r="AT329" s="58">
        <f t="shared" si="85"/>
        <v>44915.824574842984</v>
      </c>
      <c r="AU329" s="58">
        <f t="shared" si="86"/>
        <v>-3463.7008252372298</v>
      </c>
      <c r="AV329" s="58">
        <f t="shared" si="87"/>
        <v>1853.5590617784023</v>
      </c>
      <c r="AW329" s="58">
        <f t="shared" si="73"/>
        <v>191.65391632558178</v>
      </c>
      <c r="AX329" s="58">
        <f t="shared" si="88"/>
        <v>-275.71483348697507</v>
      </c>
      <c r="AY329" s="33">
        <f t="shared" si="74"/>
        <v>95.016122882613317</v>
      </c>
      <c r="AZ329" s="33">
        <f t="shared" si="75"/>
        <v>-64.914349556158001</v>
      </c>
      <c r="BA329" s="39">
        <f t="shared" si="76"/>
        <v>46.287495845744495</v>
      </c>
      <c r="BB329" s="39">
        <f t="shared" si="77"/>
        <v>-109.45101900279757</v>
      </c>
      <c r="BC329" s="45">
        <f t="shared" si="78"/>
        <v>50.350297597223964</v>
      </c>
      <c r="BD329" s="45">
        <f t="shared" si="79"/>
        <v>-101.34946492801947</v>
      </c>
      <c r="BE329" s="64">
        <f t="shared" si="80"/>
        <v>4399271032.1205626</v>
      </c>
      <c r="BF329" s="65">
        <f t="shared" si="81"/>
        <v>1437152890.8828151</v>
      </c>
      <c r="BG329" s="66">
        <f t="shared" si="82"/>
        <v>4475927501.5112886</v>
      </c>
    </row>
    <row r="330" spans="43:59" x14ac:dyDescent="0.25">
      <c r="AQ330" s="7">
        <v>315</v>
      </c>
      <c r="AR330" s="58">
        <f t="shared" si="83"/>
        <v>157.5</v>
      </c>
      <c r="AS330" s="58">
        <f t="shared" si="84"/>
        <v>-36474.006402622072</v>
      </c>
      <c r="AT330" s="58">
        <f t="shared" si="85"/>
        <v>45808.13975154631</v>
      </c>
      <c r="AU330" s="58">
        <f t="shared" si="86"/>
        <v>-3367.8738670744387</v>
      </c>
      <c r="AV330" s="58">
        <f t="shared" si="87"/>
        <v>1715.7016450349147</v>
      </c>
      <c r="AW330" s="58">
        <f t="shared" si="73"/>
        <v>185.98375566824635</v>
      </c>
      <c r="AX330" s="58">
        <f t="shared" si="88"/>
        <v>-257.46983537949063</v>
      </c>
      <c r="AY330" s="33">
        <f t="shared" si="74"/>
        <v>90.13037742077131</v>
      </c>
      <c r="AZ330" s="33">
        <f t="shared" si="75"/>
        <v>-61.13834158460223</v>
      </c>
      <c r="BA330" s="39">
        <f t="shared" si="76"/>
        <v>46.115599536748093</v>
      </c>
      <c r="BB330" s="39">
        <f t="shared" si="77"/>
        <v>-100.23753740167237</v>
      </c>
      <c r="BC330" s="45">
        <f t="shared" si="78"/>
        <v>49.737778710726921</v>
      </c>
      <c r="BD330" s="45">
        <f t="shared" si="79"/>
        <v>-96.093956393216033</v>
      </c>
      <c r="BE330" s="64">
        <f t="shared" si="80"/>
        <v>4656826970.3874016</v>
      </c>
      <c r="BF330" s="65">
        <f t="shared" si="81"/>
        <v>1553615759.4199042</v>
      </c>
      <c r="BG330" s="66">
        <f t="shared" si="82"/>
        <v>4688242939.075882</v>
      </c>
    </row>
    <row r="331" spans="43:59" x14ac:dyDescent="0.25">
      <c r="AQ331" s="7">
        <v>316</v>
      </c>
      <c r="AR331" s="58">
        <f t="shared" si="83"/>
        <v>158</v>
      </c>
      <c r="AS331" s="58">
        <f t="shared" si="84"/>
        <v>-38134.695366700762</v>
      </c>
      <c r="AT331" s="58">
        <f t="shared" si="85"/>
        <v>46633.806844641331</v>
      </c>
      <c r="AU331" s="58">
        <f t="shared" si="86"/>
        <v>-3274.8819892403158</v>
      </c>
      <c r="AV331" s="58">
        <f t="shared" si="87"/>
        <v>1586.9667273451694</v>
      </c>
      <c r="AW331" s="58">
        <f t="shared" si="73"/>
        <v>180.59132944076543</v>
      </c>
      <c r="AX331" s="58">
        <f t="shared" si="88"/>
        <v>-241.3726407800707</v>
      </c>
      <c r="AY331" s="33">
        <f t="shared" si="74"/>
        <v>85.809372375990321</v>
      </c>
      <c r="AZ331" s="33">
        <f t="shared" si="75"/>
        <v>-57.76322354215651</v>
      </c>
      <c r="BA331" s="39">
        <f t="shared" si="76"/>
        <v>45.661175045009635</v>
      </c>
      <c r="BB331" s="39">
        <f t="shared" si="77"/>
        <v>-92.239909911569754</v>
      </c>
      <c r="BC331" s="45">
        <f t="shared" si="78"/>
        <v>49.120782019765478</v>
      </c>
      <c r="BD331" s="45">
        <f t="shared" si="79"/>
        <v>-91.369507326344433</v>
      </c>
      <c r="BE331" s="64">
        <f t="shared" si="80"/>
        <v>4911097643.5327959</v>
      </c>
      <c r="BF331" s="65">
        <f t="shared" si="81"/>
        <v>1670902979.9735281</v>
      </c>
      <c r="BG331" s="66">
        <f t="shared" si="82"/>
        <v>4896634183.2066174</v>
      </c>
    </row>
    <row r="332" spans="43:59" x14ac:dyDescent="0.25">
      <c r="AQ332" s="7">
        <v>317</v>
      </c>
      <c r="AR332" s="58">
        <f t="shared" si="83"/>
        <v>158.5</v>
      </c>
      <c r="AS332" s="58">
        <f t="shared" si="84"/>
        <v>-39749.562445140822</v>
      </c>
      <c r="AT332" s="58">
        <f t="shared" si="85"/>
        <v>47397.118628216405</v>
      </c>
      <c r="AU332" s="58">
        <f t="shared" si="86"/>
        <v>-3184.586324519933</v>
      </c>
      <c r="AV332" s="58">
        <f t="shared" si="87"/>
        <v>1466.2804069551339</v>
      </c>
      <c r="AW332" s="58">
        <f t="shared" si="73"/>
        <v>175.50275018217758</v>
      </c>
      <c r="AX332" s="58">
        <f t="shared" si="88"/>
        <v>-227.09896352899926</v>
      </c>
      <c r="AY332" s="33">
        <f t="shared" si="74"/>
        <v>81.965869283050338</v>
      </c>
      <c r="AZ332" s="33">
        <f t="shared" si="75"/>
        <v>-54.731815203722718</v>
      </c>
      <c r="BA332" s="39">
        <f t="shared" si="76"/>
        <v>45.02745483219956</v>
      </c>
      <c r="BB332" s="39">
        <f t="shared" si="77"/>
        <v>-85.262500096589648</v>
      </c>
      <c r="BC332" s="45">
        <f t="shared" si="78"/>
        <v>48.509426066927688</v>
      </c>
      <c r="BD332" s="45">
        <f t="shared" si="79"/>
        <v>-87.104648228686884</v>
      </c>
      <c r="BE332" s="64">
        <f t="shared" si="80"/>
        <v>5161790287.2197552</v>
      </c>
      <c r="BF332" s="65">
        <f t="shared" si="81"/>
        <v>1788589698.4674072</v>
      </c>
      <c r="BG332" s="66">
        <f t="shared" si="82"/>
        <v>5100932503.2324524</v>
      </c>
    </row>
    <row r="333" spans="43:59" x14ac:dyDescent="0.25">
      <c r="AQ333" s="7">
        <v>318</v>
      </c>
      <c r="AR333" s="58">
        <f t="shared" si="83"/>
        <v>159</v>
      </c>
      <c r="AS333" s="58">
        <f t="shared" si="84"/>
        <v>-41319.917763628015</v>
      </c>
      <c r="AT333" s="58">
        <f t="shared" si="85"/>
        <v>48101.871461252849</v>
      </c>
      <c r="AU333" s="58">
        <f t="shared" si="86"/>
        <v>-3096.8349494288441</v>
      </c>
      <c r="AV333" s="58">
        <f t="shared" si="87"/>
        <v>1352.7309251906343</v>
      </c>
      <c r="AW333" s="58">
        <f t="shared" si="73"/>
        <v>170.72588856595587</v>
      </c>
      <c r="AX333" s="58">
        <f t="shared" si="88"/>
        <v>-214.38153270475263</v>
      </c>
      <c r="AY333" s="33">
        <f t="shared" si="74"/>
        <v>78.529547109559374</v>
      </c>
      <c r="AZ333" s="33">
        <f t="shared" si="75"/>
        <v>-51.996915422218017</v>
      </c>
      <c r="BA333" s="39">
        <f t="shared" si="76"/>
        <v>44.285443496524572</v>
      </c>
      <c r="BB333" s="39">
        <f t="shared" si="77"/>
        <v>-79.144689694244732</v>
      </c>
      <c r="BC333" s="45">
        <f t="shared" si="78"/>
        <v>47.910897959871917</v>
      </c>
      <c r="BD333" s="45">
        <f t="shared" si="79"/>
        <v>-83.239927588289873</v>
      </c>
      <c r="BE333" s="64">
        <f t="shared" si="80"/>
        <v>5408644280.6942015</v>
      </c>
      <c r="BF333" s="65">
        <f t="shared" si="81"/>
        <v>1906291502.2976959</v>
      </c>
      <c r="BG333" s="66">
        <f t="shared" si="82"/>
        <v>5300982608.2691784</v>
      </c>
    </row>
    <row r="334" spans="43:59" x14ac:dyDescent="0.25">
      <c r="AQ334" s="7">
        <v>319</v>
      </c>
      <c r="AR334" s="58">
        <f t="shared" si="83"/>
        <v>159.5</v>
      </c>
      <c r="AS334" s="58">
        <f t="shared" si="84"/>
        <v>-42846.994502271693</v>
      </c>
      <c r="AT334" s="58">
        <f t="shared" si="85"/>
        <v>48751.439232260076</v>
      </c>
      <c r="AU334" s="58">
        <f t="shared" si="86"/>
        <v>-3011.4720051458662</v>
      </c>
      <c r="AV334" s="58">
        <f t="shared" si="87"/>
        <v>1245.5401588382579</v>
      </c>
      <c r="AW334" s="58">
        <f t="shared" si="73"/>
        <v>166.25745758685318</v>
      </c>
      <c r="AX334" s="58">
        <f t="shared" si="88"/>
        <v>-202.99936242778148</v>
      </c>
      <c r="AY334" s="33">
        <f t="shared" si="74"/>
        <v>75.443153964003699</v>
      </c>
      <c r="AZ334" s="33">
        <f t="shared" si="75"/>
        <v>-49.519292145683224</v>
      </c>
      <c r="BA334" s="39">
        <f t="shared" si="76"/>
        <v>43.484048527251417</v>
      </c>
      <c r="BB334" s="39">
        <f t="shared" si="77"/>
        <v>-73.754535368268407</v>
      </c>
      <c r="BC334" s="45">
        <f t="shared" si="78"/>
        <v>47.330255095598062</v>
      </c>
      <c r="BD334" s="45">
        <f t="shared" si="79"/>
        <v>-79.725534913829833</v>
      </c>
      <c r="BE334" s="64">
        <f t="shared" si="80"/>
        <v>5651425956.7014141</v>
      </c>
      <c r="BF334" s="65">
        <f t="shared" si="81"/>
        <v>2023659200.3583784</v>
      </c>
      <c r="BG334" s="66">
        <f t="shared" si="82"/>
        <v>5496640997.0395336</v>
      </c>
    </row>
    <row r="335" spans="43:59" x14ac:dyDescent="0.25">
      <c r="AQ335" s="7">
        <v>320</v>
      </c>
      <c r="AR335" s="58">
        <f t="shared" si="83"/>
        <v>160</v>
      </c>
      <c r="AS335" s="58">
        <f t="shared" si="84"/>
        <v>-44331.948322646269</v>
      </c>
      <c r="AT335" s="58">
        <f t="shared" si="85"/>
        <v>49348.834391375727</v>
      </c>
      <c r="AU335" s="58">
        <f t="shared" si="86"/>
        <v>-2928.3432763524397</v>
      </c>
      <c r="AV335" s="58">
        <f t="shared" si="87"/>
        <v>1144.0404776243672</v>
      </c>
      <c r="AW335" s="58">
        <f t="shared" si="73"/>
        <v>162.0875765230935</v>
      </c>
      <c r="AX335" s="58">
        <f t="shared" si="88"/>
        <v>-192.76897040631349</v>
      </c>
      <c r="AY335" s="33">
        <f t="shared" si="74"/>
        <v>72.659650169641296</v>
      </c>
      <c r="AZ335" s="33">
        <f t="shared" si="75"/>
        <v>-47.266121206750583</v>
      </c>
      <c r="BA335" s="39">
        <f t="shared" si="76"/>
        <v>42.65692558922931</v>
      </c>
      <c r="BB335" s="39">
        <f t="shared" si="77"/>
        <v>-68.983390824219583</v>
      </c>
      <c r="BC335" s="45">
        <f t="shared" si="78"/>
        <v>46.77100076422289</v>
      </c>
      <c r="BD335" s="45">
        <f t="shared" si="79"/>
        <v>-76.519458375343334</v>
      </c>
      <c r="BE335" s="64">
        <f t="shared" si="80"/>
        <v>5889924514.9044218</v>
      </c>
      <c r="BF335" s="65">
        <f t="shared" si="81"/>
        <v>2140374477.1358418</v>
      </c>
      <c r="BG335" s="66">
        <f t="shared" si="82"/>
        <v>5687774646.384016</v>
      </c>
    </row>
    <row r="336" spans="43:59" x14ac:dyDescent="0.25">
      <c r="AQ336" s="7">
        <v>321</v>
      </c>
      <c r="AR336" s="58">
        <f t="shared" si="83"/>
        <v>160.5</v>
      </c>
      <c r="AS336" s="58">
        <f t="shared" si="84"/>
        <v>-45775.859013757101</v>
      </c>
      <c r="AT336" s="58">
        <f t="shared" si="85"/>
        <v>49896.75850888712</v>
      </c>
      <c r="AU336" s="58">
        <f t="shared" si="86"/>
        <v>-2847.2994880908927</v>
      </c>
      <c r="AV336" s="58">
        <f t="shared" si="87"/>
        <v>1047.6559924212104</v>
      </c>
      <c r="AW336" s="58">
        <f t="shared" ref="AW336:AW399" si="89">(AY336+BA336+BC336)</f>
        <v>158.20270129293584</v>
      </c>
      <c r="AX336" s="58">
        <f t="shared" si="88"/>
        <v>-183.53729097099932</v>
      </c>
      <c r="AY336" s="33">
        <f t="shared" ref="AY336:AY399" si="90">$H$27*(($H$23-AS336)/(BE336+$H$28^2)^(3/2))</f>
        <v>70.140060781740388</v>
      </c>
      <c r="AZ336" s="33">
        <f t="shared" ref="AZ336:AZ399" si="91">$H$27*(($I$23-AT336)/(BE336+$H$28^2)^(3/2))</f>
        <v>-45.209766369454123</v>
      </c>
      <c r="BA336" s="39">
        <f t="shared" ref="BA336:BA399" si="92">$H$35*(($H$31-AS336)/(BF336+$H$36^2)^(3/2))</f>
        <v>41.827139431297184</v>
      </c>
      <c r="BB336" s="39">
        <f t="shared" ref="BB336:BB399" si="93">$H$35*(($I$31-AT336)/(BF336+$H$36^2)^(3/2))</f>
        <v>-64.741480783137391</v>
      </c>
      <c r="BC336" s="45">
        <f t="shared" ref="BC336:BC399" si="94">$H$43*(($H$39-AS336)/(BG336+$H$44^2)^(3/2))</f>
        <v>46.235501079898285</v>
      </c>
      <c r="BD336" s="45">
        <f t="shared" ref="BD336:BD399" si="95">$H$43*(($I$39-AT336)/(BG336+$H$44^2)^(3/2))</f>
        <v>-73.586043818407802</v>
      </c>
      <c r="BE336" s="64">
        <f t="shared" ref="BE336:BE399" si="96">($H$23-AS336)^2+($I$23-AT336)^2</f>
        <v>6123948761.0585432</v>
      </c>
      <c r="BF336" s="65">
        <f t="shared" ref="BF336:BF399" si="97">($H$31-AS336)^2+($I$31-AT336)^2</f>
        <v>2256146247.4135399</v>
      </c>
      <c r="BG336" s="66">
        <f t="shared" ref="BG336:BG399" si="98">($H$39-AS336)^2+($I$39-AT336)^2</f>
        <v>5874259943.2706089</v>
      </c>
    </row>
    <row r="337" spans="43:59" x14ac:dyDescent="0.25">
      <c r="AQ337" s="7">
        <v>322</v>
      </c>
      <c r="AR337" s="58">
        <f t="shared" ref="AR337:AR400" si="99">AR336+$H$9</f>
        <v>161</v>
      </c>
      <c r="AS337" s="58">
        <f t="shared" ref="AS337:AS400" si="100">AS336+(AU336*$H$9)+(AW336*$H$9^2)*(1/2)</f>
        <v>-47179.733420140932</v>
      </c>
      <c r="AT337" s="58">
        <f t="shared" ref="AT337:AT400" si="101">AT336+(AV336*$H$9)+(AX336*$H$9^2)*(1/2)</f>
        <v>50397.644343726344</v>
      </c>
      <c r="AU337" s="58">
        <f t="shared" ref="AU337:AU400" si="102">AU336+AW336*$H$9</f>
        <v>-2768.1981374444249</v>
      </c>
      <c r="AV337" s="58">
        <f t="shared" ref="AV337:AV400" si="103">AV336+AX336*$H$9</f>
        <v>955.88734693571075</v>
      </c>
      <c r="AW337" s="58">
        <f t="shared" si="89"/>
        <v>154.58749442917946</v>
      </c>
      <c r="AX337" s="58">
        <f t="shared" ref="AX337:AX400" si="104">(AZ337+BB337+BD337)</f>
        <v>-175.17599314649883</v>
      </c>
      <c r="AY337" s="33">
        <f t="shared" si="90"/>
        <v>67.851842536349665</v>
      </c>
      <c r="AZ337" s="33">
        <f t="shared" si="91"/>
        <v>-43.32681987568305</v>
      </c>
      <c r="BA337" s="39">
        <f t="shared" si="92"/>
        <v>41.010362532316286</v>
      </c>
      <c r="BB337" s="39">
        <f t="shared" si="93"/>
        <v>-60.954315275223301</v>
      </c>
      <c r="BC337" s="45">
        <f t="shared" si="94"/>
        <v>45.725289360513514</v>
      </c>
      <c r="BD337" s="45">
        <f t="shared" si="95"/>
        <v>-70.894857995592474</v>
      </c>
      <c r="BE337" s="64">
        <f t="shared" si="96"/>
        <v>6353324472.6420364</v>
      </c>
      <c r="BF337" s="65">
        <f t="shared" si="97"/>
        <v>2370707577.3121309</v>
      </c>
      <c r="BG337" s="66">
        <f t="shared" si="98"/>
        <v>6055981797.1026764</v>
      </c>
    </row>
    <row r="338" spans="43:59" x14ac:dyDescent="0.25">
      <c r="AQ338" s="7">
        <v>323</v>
      </c>
      <c r="AR338" s="58">
        <f t="shared" si="99"/>
        <v>161.5</v>
      </c>
      <c r="AS338" s="58">
        <f t="shared" si="100"/>
        <v>-48544.509052059497</v>
      </c>
      <c r="AT338" s="58">
        <f t="shared" si="101"/>
        <v>50853.691018050886</v>
      </c>
      <c r="AU338" s="58">
        <f t="shared" si="102"/>
        <v>-2690.9043902298354</v>
      </c>
      <c r="AV338" s="58">
        <f t="shared" si="103"/>
        <v>868.29935036246138</v>
      </c>
      <c r="AW338" s="58">
        <f t="shared" si="89"/>
        <v>151.2260055953171</v>
      </c>
      <c r="AX338" s="58">
        <f t="shared" si="104"/>
        <v>-167.57693517120893</v>
      </c>
      <c r="AY338" s="33">
        <f t="shared" si="90"/>
        <v>65.76762848463845</v>
      </c>
      <c r="AZ338" s="33">
        <f t="shared" si="91"/>
        <v>-41.597342861518499</v>
      </c>
      <c r="BA338" s="39">
        <f t="shared" si="92"/>
        <v>40.217087227202455</v>
      </c>
      <c r="BB338" s="39">
        <f t="shared" si="93"/>
        <v>-57.559807815562543</v>
      </c>
      <c r="BC338" s="45">
        <f t="shared" si="94"/>
        <v>45.241289883476192</v>
      </c>
      <c r="BD338" s="45">
        <f t="shared" si="95"/>
        <v>-68.419784494127896</v>
      </c>
      <c r="BE338" s="64">
        <f t="shared" si="96"/>
        <v>6577892246.0764923</v>
      </c>
      <c r="BF338" s="65">
        <f t="shared" si="97"/>
        <v>2483813066.8214779</v>
      </c>
      <c r="BG338" s="66">
        <f t="shared" si="98"/>
        <v>6232832889.2858076</v>
      </c>
    </row>
    <row r="339" spans="43:59" x14ac:dyDescent="0.25">
      <c r="AQ339" s="7">
        <v>324</v>
      </c>
      <c r="AR339" s="58">
        <f t="shared" si="99"/>
        <v>162</v>
      </c>
      <c r="AS339" s="58">
        <f t="shared" si="100"/>
        <v>-49871.057996475</v>
      </c>
      <c r="AT339" s="58">
        <f t="shared" si="101"/>
        <v>51266.893576335715</v>
      </c>
      <c r="AU339" s="58">
        <f t="shared" si="102"/>
        <v>-2615.2913874321766</v>
      </c>
      <c r="AV339" s="58">
        <f t="shared" si="103"/>
        <v>784.51088277685687</v>
      </c>
      <c r="AW339" s="58">
        <f t="shared" si="89"/>
        <v>148.10240334587223</v>
      </c>
      <c r="AX339" s="58">
        <f t="shared" si="104"/>
        <v>-160.64852627620198</v>
      </c>
      <c r="AY339" s="33">
        <f t="shared" si="90"/>
        <v>63.864253172025911</v>
      </c>
      <c r="AZ339" s="33">
        <f t="shared" si="91"/>
        <v>-40.004260019266255</v>
      </c>
      <c r="BA339" s="39">
        <f t="shared" si="92"/>
        <v>39.454166803893017</v>
      </c>
      <c r="BB339" s="39">
        <f t="shared" si="93"/>
        <v>-54.505967041120002</v>
      </c>
      <c r="BC339" s="45">
        <f t="shared" si="94"/>
        <v>44.783983369953312</v>
      </c>
      <c r="BD339" s="45">
        <f t="shared" si="95"/>
        <v>-66.138299215815721</v>
      </c>
      <c r="BE339" s="64">
        <f t="shared" si="96"/>
        <v>6797505718.8690681</v>
      </c>
      <c r="BF339" s="65">
        <f t="shared" si="97"/>
        <v>2595236611.2693911</v>
      </c>
      <c r="BG339" s="66">
        <f t="shared" si="98"/>
        <v>6404713029.9804268</v>
      </c>
    </row>
    <row r="340" spans="43:59" x14ac:dyDescent="0.25">
      <c r="AQ340" s="7">
        <v>325</v>
      </c>
      <c r="AR340" s="58">
        <f t="shared" si="99"/>
        <v>162.5</v>
      </c>
      <c r="AS340" s="58">
        <f t="shared" si="100"/>
        <v>-51160.190889772857</v>
      </c>
      <c r="AT340" s="58">
        <f t="shared" si="101"/>
        <v>51639.067951939614</v>
      </c>
      <c r="AU340" s="58">
        <f t="shared" si="102"/>
        <v>-2541.2401857592404</v>
      </c>
      <c r="AV340" s="58">
        <f t="shared" si="103"/>
        <v>704.18661963875593</v>
      </c>
      <c r="AW340" s="58">
        <f t="shared" si="89"/>
        <v>145.20141491110843</v>
      </c>
      <c r="AX340" s="58">
        <f t="shared" si="104"/>
        <v>-154.312808158194</v>
      </c>
      <c r="AY340" s="33">
        <f t="shared" si="90"/>
        <v>62.121988502553293</v>
      </c>
      <c r="AZ340" s="33">
        <f t="shared" si="91"/>
        <v>-38.532874034460924</v>
      </c>
      <c r="BA340" s="39">
        <f t="shared" si="92"/>
        <v>38.725896397986716</v>
      </c>
      <c r="BB340" s="39">
        <f t="shared" si="93"/>
        <v>-51.74904856390939</v>
      </c>
      <c r="BC340" s="45">
        <f t="shared" si="94"/>
        <v>44.353530010568413</v>
      </c>
      <c r="BD340" s="45">
        <f t="shared" si="95"/>
        <v>-64.030885559823687</v>
      </c>
      <c r="BE340" s="64">
        <f t="shared" si="96"/>
        <v>7012030087.1348553</v>
      </c>
      <c r="BF340" s="65">
        <f t="shared" si="97"/>
        <v>2704769476.1933279</v>
      </c>
      <c r="BG340" s="66">
        <f t="shared" si="98"/>
        <v>6571528600.4834957</v>
      </c>
    </row>
    <row r="341" spans="43:59" x14ac:dyDescent="0.25">
      <c r="AQ341" s="7">
        <v>326</v>
      </c>
      <c r="AR341" s="58">
        <f t="shared" si="99"/>
        <v>163</v>
      </c>
      <c r="AS341" s="58">
        <f t="shared" si="100"/>
        <v>-52412.660805788582</v>
      </c>
      <c r="AT341" s="58">
        <f t="shared" si="101"/>
        <v>51971.872160739222</v>
      </c>
      <c r="AU341" s="58">
        <f t="shared" si="102"/>
        <v>-2468.6394783036862</v>
      </c>
      <c r="AV341" s="58">
        <f t="shared" si="103"/>
        <v>627.03021555965893</v>
      </c>
      <c r="AW341" s="58">
        <f t="shared" si="89"/>
        <v>142.50857651744263</v>
      </c>
      <c r="AX341" s="58">
        <f t="shared" si="104"/>
        <v>-148.50310604621149</v>
      </c>
      <c r="AY341" s="33">
        <f t="shared" si="90"/>
        <v>60.52393946150687</v>
      </c>
      <c r="AZ341" s="33">
        <f t="shared" si="91"/>
        <v>-37.170473622221714</v>
      </c>
      <c r="BA341" s="39">
        <f t="shared" si="92"/>
        <v>38.034775728349828</v>
      </c>
      <c r="BB341" s="39">
        <f t="shared" si="93"/>
        <v>-49.252073259211919</v>
      </c>
      <c r="BC341" s="45">
        <f t="shared" si="94"/>
        <v>43.949861327585936</v>
      </c>
      <c r="BD341" s="45">
        <f t="shared" si="95"/>
        <v>-62.080559164777853</v>
      </c>
      <c r="BE341" s="64">
        <f t="shared" si="96"/>
        <v>7221340858.4553232</v>
      </c>
      <c r="BF341" s="65">
        <f t="shared" si="97"/>
        <v>2812218633.1885395</v>
      </c>
      <c r="BG341" s="66">
        <f t="shared" si="98"/>
        <v>6733192065.3991585</v>
      </c>
    </row>
    <row r="342" spans="43:59" x14ac:dyDescent="0.25">
      <c r="AQ342" s="7">
        <v>327</v>
      </c>
      <c r="AR342" s="58">
        <f t="shared" si="99"/>
        <v>163.5</v>
      </c>
      <c r="AS342" s="58">
        <f t="shared" si="100"/>
        <v>-53629.166972875741</v>
      </c>
      <c r="AT342" s="58">
        <f t="shared" si="101"/>
        <v>52266.824380263271</v>
      </c>
      <c r="AU342" s="58">
        <f t="shared" si="102"/>
        <v>-2397.3851900449649</v>
      </c>
      <c r="AV342" s="58">
        <f t="shared" si="103"/>
        <v>552.77866253655316</v>
      </c>
      <c r="AW342" s="58">
        <f t="shared" si="89"/>
        <v>140.01036150138722</v>
      </c>
      <c r="AX342" s="58">
        <f t="shared" si="104"/>
        <v>-143.16213068255004</v>
      </c>
      <c r="AY342" s="33">
        <f t="shared" si="90"/>
        <v>59.055562309015251</v>
      </c>
      <c r="AZ342" s="33">
        <f t="shared" si="91"/>
        <v>-35.906015173841432</v>
      </c>
      <c r="BA342" s="39">
        <f t="shared" si="92"/>
        <v>37.382050178617263</v>
      </c>
      <c r="BB342" s="39">
        <f t="shared" si="93"/>
        <v>-46.98363629251363</v>
      </c>
      <c r="BC342" s="45">
        <f t="shared" si="94"/>
        <v>43.572749013754709</v>
      </c>
      <c r="BD342" s="45">
        <f t="shared" si="95"/>
        <v>-60.272479216194981</v>
      </c>
      <c r="BE342" s="64">
        <f t="shared" si="96"/>
        <v>7425322794.2129498</v>
      </c>
      <c r="BF342" s="65">
        <f t="shared" si="97"/>
        <v>2917405314.4815741</v>
      </c>
      <c r="BG342" s="66">
        <f t="shared" si="98"/>
        <v>6889621542.6810112</v>
      </c>
    </row>
    <row r="343" spans="43:59" x14ac:dyDescent="0.25">
      <c r="AQ343" s="7">
        <v>328</v>
      </c>
      <c r="AR343" s="58">
        <f t="shared" si="99"/>
        <v>164</v>
      </c>
      <c r="AS343" s="58">
        <f t="shared" si="100"/>
        <v>-54810.358272710553</v>
      </c>
      <c r="AT343" s="58">
        <f t="shared" si="101"/>
        <v>52525.31844519623</v>
      </c>
      <c r="AU343" s="58">
        <f t="shared" si="102"/>
        <v>-2327.3800092942715</v>
      </c>
      <c r="AV343" s="58">
        <f t="shared" si="103"/>
        <v>481.19759719527815</v>
      </c>
      <c r="AW343" s="58">
        <f t="shared" si="89"/>
        <v>137.69423045827745</v>
      </c>
      <c r="AX343" s="58">
        <f t="shared" si="104"/>
        <v>-138.24043794522839</v>
      </c>
      <c r="AY343" s="33">
        <f t="shared" si="90"/>
        <v>57.704277457464009</v>
      </c>
      <c r="AZ343" s="33">
        <f t="shared" si="91"/>
        <v>-34.729862657535676</v>
      </c>
      <c r="BA343" s="39">
        <f t="shared" si="92"/>
        <v>36.768096337914656</v>
      </c>
      <c r="BB343" s="39">
        <f t="shared" si="93"/>
        <v>-44.916946649734214</v>
      </c>
      <c r="BC343" s="45">
        <f t="shared" si="94"/>
        <v>43.221856662898766</v>
      </c>
      <c r="BD343" s="45">
        <f t="shared" si="95"/>
        <v>-58.593628637958496</v>
      </c>
      <c r="BE343" s="64">
        <f t="shared" si="96"/>
        <v>7623869005.9826403</v>
      </c>
      <c r="BF343" s="65">
        <f t="shared" si="97"/>
        <v>3020163751.9398146</v>
      </c>
      <c r="BG343" s="66">
        <f t="shared" si="98"/>
        <v>7040740422.3809433</v>
      </c>
    </row>
    <row r="344" spans="43:59" x14ac:dyDescent="0.25">
      <c r="AQ344" s="7">
        <v>329</v>
      </c>
      <c r="AR344" s="58">
        <f t="shared" si="99"/>
        <v>164.5</v>
      </c>
      <c r="AS344" s="58">
        <f t="shared" si="100"/>
        <v>-55956.836498550401</v>
      </c>
      <c r="AT344" s="58">
        <f t="shared" si="101"/>
        <v>52748.637189050714</v>
      </c>
      <c r="AU344" s="58">
        <f t="shared" si="102"/>
        <v>-2258.532894065133</v>
      </c>
      <c r="AV344" s="58">
        <f t="shared" si="103"/>
        <v>412.07737822266392</v>
      </c>
      <c r="AW344" s="58">
        <f t="shared" si="89"/>
        <v>135.54863256406463</v>
      </c>
      <c r="AX344" s="58">
        <f t="shared" si="104"/>
        <v>-133.69517297477827</v>
      </c>
      <c r="AY344" s="33">
        <f t="shared" si="90"/>
        <v>56.459156178287792</v>
      </c>
      <c r="AZ344" s="33">
        <f t="shared" si="91"/>
        <v>-33.633573904306175</v>
      </c>
      <c r="BA344" s="39">
        <f t="shared" si="92"/>
        <v>36.1926976623134</v>
      </c>
      <c r="BB344" s="39">
        <f t="shared" si="93"/>
        <v>-43.029049602893025</v>
      </c>
      <c r="BC344" s="45">
        <f t="shared" si="94"/>
        <v>42.896778723463434</v>
      </c>
      <c r="BD344" s="45">
        <f t="shared" si="95"/>
        <v>-57.032549467579074</v>
      </c>
      <c r="BE344" s="64">
        <f t="shared" si="96"/>
        <v>7816880178.3338623</v>
      </c>
      <c r="BF344" s="65">
        <f t="shared" si="97"/>
        <v>3120340072.5045757</v>
      </c>
      <c r="BG344" s="66">
        <f t="shared" si="98"/>
        <v>7186477026.9136238</v>
      </c>
    </row>
    <row r="345" spans="43:59" x14ac:dyDescent="0.25">
      <c r="AQ345" s="7">
        <v>330</v>
      </c>
      <c r="AR345" s="58">
        <f t="shared" si="99"/>
        <v>165</v>
      </c>
      <c r="AS345" s="58">
        <f t="shared" si="100"/>
        <v>-57069.15936651246</v>
      </c>
      <c r="AT345" s="58">
        <f t="shared" si="101"/>
        <v>52937.963981540197</v>
      </c>
      <c r="AU345" s="58">
        <f t="shared" si="102"/>
        <v>-2190.7585777831005</v>
      </c>
      <c r="AV345" s="58">
        <f t="shared" si="103"/>
        <v>345.22979173527477</v>
      </c>
      <c r="AW345" s="58">
        <f t="shared" si="89"/>
        <v>133.56297725165905</v>
      </c>
      <c r="AX345" s="58">
        <f t="shared" si="104"/>
        <v>-129.48904145184051</v>
      </c>
      <c r="AY345" s="33">
        <f t="shared" si="90"/>
        <v>55.310665342114717</v>
      </c>
      <c r="AZ345" s="33">
        <f t="shared" si="91"/>
        <v>-32.609724048736048</v>
      </c>
      <c r="BA345" s="39">
        <f t="shared" si="92"/>
        <v>35.655242040523625</v>
      </c>
      <c r="BB345" s="39">
        <f t="shared" si="93"/>
        <v>-41.300194680760498</v>
      </c>
      <c r="BC345" s="45">
        <f t="shared" si="94"/>
        <v>42.597069869020714</v>
      </c>
      <c r="BD345" s="45">
        <f t="shared" si="95"/>
        <v>-55.579122722343946</v>
      </c>
      <c r="BE345" s="64">
        <f t="shared" si="96"/>
        <v>8004263896.248641</v>
      </c>
      <c r="BF345" s="65">
        <f t="shared" si="97"/>
        <v>3217791327.0199418</v>
      </c>
      <c r="BG345" s="66">
        <f t="shared" si="98"/>
        <v>7326764307.0923262</v>
      </c>
    </row>
    <row r="346" spans="43:59" x14ac:dyDescent="0.25">
      <c r="AQ346" s="7">
        <v>331</v>
      </c>
      <c r="AR346" s="58">
        <f t="shared" si="99"/>
        <v>165.5</v>
      </c>
      <c r="AS346" s="58">
        <f t="shared" si="100"/>
        <v>-58147.843283247552</v>
      </c>
      <c r="AT346" s="58">
        <f t="shared" si="101"/>
        <v>53094.392747226353</v>
      </c>
      <c r="AU346" s="58">
        <f t="shared" si="102"/>
        <v>-2123.9770891572707</v>
      </c>
      <c r="AV346" s="58">
        <f t="shared" si="103"/>
        <v>280.48527100935451</v>
      </c>
      <c r="AW346" s="58">
        <f t="shared" si="89"/>
        <v>131.72758883252359</v>
      </c>
      <c r="AX346" s="58">
        <f t="shared" si="104"/>
        <v>-125.58946297512006</v>
      </c>
      <c r="AY346" s="33">
        <f t="shared" si="90"/>
        <v>54.250458123447579</v>
      </c>
      <c r="AZ346" s="33">
        <f t="shared" si="91"/>
        <v>-31.651758903085042</v>
      </c>
      <c r="BA346" s="39">
        <f t="shared" si="92"/>
        <v>35.154863552415655</v>
      </c>
      <c r="BB346" s="39">
        <f t="shared" si="93"/>
        <v>-39.713319719132031</v>
      </c>
      <c r="BC346" s="45">
        <f t="shared" si="94"/>
        <v>42.322267156660352</v>
      </c>
      <c r="BD346" s="45">
        <f t="shared" si="95"/>
        <v>-54.22438435290298</v>
      </c>
      <c r="BE346" s="64">
        <f t="shared" si="96"/>
        <v>8185934059.811347</v>
      </c>
      <c r="BF346" s="65">
        <f t="shared" si="97"/>
        <v>3312384633.415411</v>
      </c>
      <c r="BG346" s="66">
        <f t="shared" si="98"/>
        <v>7461539569.2741547</v>
      </c>
    </row>
    <row r="347" spans="43:59" x14ac:dyDescent="0.25">
      <c r="AQ347" s="7">
        <v>332</v>
      </c>
      <c r="AR347" s="58">
        <f t="shared" si="99"/>
        <v>166</v>
      </c>
      <c r="AS347" s="58">
        <f t="shared" si="100"/>
        <v>-59193.365879222125</v>
      </c>
      <c r="AT347" s="58">
        <f t="shared" si="101"/>
        <v>53218.936699859143</v>
      </c>
      <c r="AU347" s="58">
        <f t="shared" si="102"/>
        <v>-2058.1132947410088</v>
      </c>
      <c r="AV347" s="58">
        <f t="shared" si="103"/>
        <v>217.69053952179448</v>
      </c>
      <c r="AW347" s="58">
        <f t="shared" si="89"/>
        <v>130.03365227773901</v>
      </c>
      <c r="AX347" s="58">
        <f t="shared" si="104"/>
        <v>-121.96787105818846</v>
      </c>
      <c r="AY347" s="33">
        <f t="shared" si="90"/>
        <v>53.271201372952547</v>
      </c>
      <c r="AZ347" s="33">
        <f t="shared" si="91"/>
        <v>-30.753872580815091</v>
      </c>
      <c r="BA347" s="39">
        <f t="shared" si="92"/>
        <v>34.690544160740956</v>
      </c>
      <c r="BB347" s="39">
        <f t="shared" si="93"/>
        <v>-38.253627840663739</v>
      </c>
      <c r="BC347" s="45">
        <f t="shared" si="94"/>
        <v>42.071906744045506</v>
      </c>
      <c r="BD347" s="45">
        <f t="shared" si="95"/>
        <v>-52.960370636709641</v>
      </c>
      <c r="BE347" s="64">
        <f t="shared" si="96"/>
        <v>8361810372.2460709</v>
      </c>
      <c r="BF347" s="65">
        <f t="shared" si="97"/>
        <v>3403996418.4090047</v>
      </c>
      <c r="BG347" s="66">
        <f t="shared" si="98"/>
        <v>7590744229.7786255</v>
      </c>
    </row>
    <row r="348" spans="43:59" x14ac:dyDescent="0.25">
      <c r="AQ348" s="7">
        <v>333</v>
      </c>
      <c r="AR348" s="58">
        <f t="shared" si="99"/>
        <v>166.5</v>
      </c>
      <c r="AS348" s="58">
        <f t="shared" si="100"/>
        <v>-60206.168320057914</v>
      </c>
      <c r="AT348" s="58">
        <f t="shared" si="101"/>
        <v>53312.535985737763</v>
      </c>
      <c r="AU348" s="58">
        <f t="shared" si="102"/>
        <v>-1993.0964686021393</v>
      </c>
      <c r="AV348" s="58">
        <f t="shared" si="103"/>
        <v>156.70660399270025</v>
      </c>
      <c r="AW348" s="58">
        <f t="shared" si="89"/>
        <v>128.4731554608</v>
      </c>
      <c r="AX348" s="58">
        <f t="shared" si="104"/>
        <v>-118.59913170595379</v>
      </c>
      <c r="AY348" s="33">
        <f t="shared" si="90"/>
        <v>52.366432440049678</v>
      </c>
      <c r="AZ348" s="33">
        <f t="shared" si="91"/>
        <v>-29.910904869950397</v>
      </c>
      <c r="BA348" s="39">
        <f t="shared" si="92"/>
        <v>34.261186525505494</v>
      </c>
      <c r="BB348" s="39">
        <f t="shared" si="93"/>
        <v>-36.908239116129053</v>
      </c>
      <c r="BC348" s="45">
        <f t="shared" si="94"/>
        <v>41.845536495244829</v>
      </c>
      <c r="BD348" s="45">
        <f t="shared" si="95"/>
        <v>-51.779987719874349</v>
      </c>
      <c r="BE348" s="64">
        <f t="shared" si="96"/>
        <v>8531817890.0299788</v>
      </c>
      <c r="BF348" s="65">
        <f t="shared" si="97"/>
        <v>3492511744.4966574</v>
      </c>
      <c r="BG348" s="66">
        <f t="shared" si="98"/>
        <v>7714323593.3852825</v>
      </c>
    </row>
    <row r="349" spans="43:59" x14ac:dyDescent="0.25">
      <c r="AQ349" s="7">
        <v>334</v>
      </c>
      <c r="AR349" s="58">
        <f t="shared" si="99"/>
        <v>167</v>
      </c>
      <c r="AS349" s="58">
        <f t="shared" si="100"/>
        <v>-61186.657409926382</v>
      </c>
      <c r="AT349" s="58">
        <f t="shared" si="101"/>
        <v>53376.064396270871</v>
      </c>
      <c r="AU349" s="58">
        <f t="shared" si="102"/>
        <v>-1928.8598908717393</v>
      </c>
      <c r="AV349" s="58">
        <f t="shared" si="103"/>
        <v>97.407038139723355</v>
      </c>
      <c r="AW349" s="58">
        <f t="shared" si="89"/>
        <v>127.03883122596761</v>
      </c>
      <c r="AX349" s="58">
        <f t="shared" si="104"/>
        <v>-115.46105832853382</v>
      </c>
      <c r="AY349" s="33">
        <f t="shared" si="90"/>
        <v>51.530439801838078</v>
      </c>
      <c r="AZ349" s="33">
        <f t="shared" si="91"/>
        <v>-29.118254774068877</v>
      </c>
      <c r="BA349" s="39">
        <f t="shared" si="92"/>
        <v>33.865665944262929</v>
      </c>
      <c r="BB349" s="39">
        <f t="shared" si="93"/>
        <v>-35.66590248391735</v>
      </c>
      <c r="BC349" s="45">
        <f t="shared" si="94"/>
        <v>41.642725479866606</v>
      </c>
      <c r="BD349" s="45">
        <f t="shared" si="95"/>
        <v>-50.676901070547594</v>
      </c>
      <c r="BE349" s="64">
        <f t="shared" si="96"/>
        <v>8695886625.8875465</v>
      </c>
      <c r="BF349" s="65">
        <f t="shared" si="97"/>
        <v>3577823711.1120815</v>
      </c>
      <c r="BG349" s="66">
        <f t="shared" si="98"/>
        <v>7832226653.2234154</v>
      </c>
    </row>
    <row r="350" spans="43:59" x14ac:dyDescent="0.25">
      <c r="AQ350" s="7">
        <v>335</v>
      </c>
      <c r="AR350" s="58">
        <f t="shared" si="99"/>
        <v>167.5</v>
      </c>
      <c r="AS350" s="58">
        <f t="shared" si="100"/>
        <v>-62135.207501459008</v>
      </c>
      <c r="AT350" s="58">
        <f t="shared" si="101"/>
        <v>53410.335283049666</v>
      </c>
      <c r="AU350" s="58">
        <f t="shared" si="102"/>
        <v>-1865.3404752587555</v>
      </c>
      <c r="AV350" s="58">
        <f t="shared" si="103"/>
        <v>39.676508975456443</v>
      </c>
      <c r="AW350" s="58">
        <f t="shared" si="89"/>
        <v>125.72410135741809</v>
      </c>
      <c r="AX350" s="58">
        <f t="shared" si="104"/>
        <v>-112.53400527660104</v>
      </c>
      <c r="AY350" s="33">
        <f t="shared" si="90"/>
        <v>50.758163054124395</v>
      </c>
      <c r="AZ350" s="33">
        <f t="shared" si="91"/>
        <v>-28.371807353444144</v>
      </c>
      <c r="BA350" s="39">
        <f t="shared" si="92"/>
        <v>33.502867175296316</v>
      </c>
      <c r="BB350" s="39">
        <f t="shared" si="93"/>
        <v>-34.516756490940075</v>
      </c>
      <c r="BC350" s="45">
        <f t="shared" si="94"/>
        <v>41.463071127997381</v>
      </c>
      <c r="BD350" s="45">
        <f t="shared" si="95"/>
        <v>-49.645441432216813</v>
      </c>
      <c r="BE350" s="64">
        <f t="shared" si="96"/>
        <v>8853951197.1097622</v>
      </c>
      <c r="BF350" s="65">
        <f t="shared" si="97"/>
        <v>3659832920.5777941</v>
      </c>
      <c r="BG350" s="66">
        <f t="shared" si="98"/>
        <v>7944405909.7740498</v>
      </c>
    </row>
    <row r="351" spans="43:59" x14ac:dyDescent="0.25">
      <c r="AQ351" s="7">
        <v>336</v>
      </c>
      <c r="AR351" s="58">
        <f t="shared" si="99"/>
        <v>168</v>
      </c>
      <c r="AS351" s="58">
        <f t="shared" si="100"/>
        <v>-63052.16222641871</v>
      </c>
      <c r="AT351" s="58">
        <f t="shared" si="101"/>
        <v>53416.106786877819</v>
      </c>
      <c r="AU351" s="58">
        <f t="shared" si="102"/>
        <v>-1802.4784245800465</v>
      </c>
      <c r="AV351" s="58">
        <f t="shared" si="103"/>
        <v>-16.590493662844075</v>
      </c>
      <c r="AW351" s="58">
        <f t="shared" si="89"/>
        <v>124.52302367121632</v>
      </c>
      <c r="AX351" s="58">
        <f t="shared" si="104"/>
        <v>-109.80052582758327</v>
      </c>
      <c r="AY351" s="33">
        <f t="shared" si="90"/>
        <v>50.045108742076216</v>
      </c>
      <c r="AZ351" s="33">
        <f t="shared" si="91"/>
        <v>-27.667871558810962</v>
      </c>
      <c r="BA351" s="39">
        <f t="shared" si="92"/>
        <v>33.171710306513745</v>
      </c>
      <c r="BB351" s="39">
        <f t="shared" si="93"/>
        <v>-33.45212975359491</v>
      </c>
      <c r="BC351" s="45">
        <f t="shared" si="94"/>
        <v>41.306204622626346</v>
      </c>
      <c r="BD351" s="45">
        <f t="shared" si="95"/>
        <v>-48.680524515177389</v>
      </c>
      <c r="BE351" s="64">
        <f t="shared" si="96"/>
        <v>9005950512.9473381</v>
      </c>
      <c r="BF351" s="65">
        <f t="shared" si="97"/>
        <v>3738447000.8994522</v>
      </c>
      <c r="BG351" s="66">
        <f t="shared" si="98"/>
        <v>8050817207.0359049</v>
      </c>
    </row>
    <row r="352" spans="43:59" x14ac:dyDescent="0.25">
      <c r="AQ352" s="7">
        <v>337</v>
      </c>
      <c r="AR352" s="58">
        <f t="shared" si="99"/>
        <v>168.5</v>
      </c>
      <c r="AS352" s="58">
        <f t="shared" si="100"/>
        <v>-63937.836060749825</v>
      </c>
      <c r="AT352" s="58">
        <f t="shared" si="101"/>
        <v>53394.086474317948</v>
      </c>
      <c r="AU352" s="58">
        <f t="shared" si="102"/>
        <v>-1740.2169127444383</v>
      </c>
      <c r="AV352" s="58">
        <f t="shared" si="103"/>
        <v>-71.490756576635704</v>
      </c>
      <c r="AW352" s="58">
        <f t="shared" si="89"/>
        <v>123.43024289138438</v>
      </c>
      <c r="AX352" s="58">
        <f t="shared" si="104"/>
        <v>-107.245083238935</v>
      </c>
      <c r="AY352" s="33">
        <f t="shared" si="90"/>
        <v>49.387279221307011</v>
      </c>
      <c r="AZ352" s="33">
        <f t="shared" si="91"/>
        <v>-27.003127191336155</v>
      </c>
      <c r="BA352" s="39">
        <f t="shared" si="92"/>
        <v>32.871168694602417</v>
      </c>
      <c r="BB352" s="39">
        <f t="shared" si="93"/>
        <v>-32.464373868418676</v>
      </c>
      <c r="BC352" s="45">
        <f t="shared" si="94"/>
        <v>41.171794975474945</v>
      </c>
      <c r="BD352" s="45">
        <f t="shared" si="95"/>
        <v>-47.777582179180158</v>
      </c>
      <c r="BE352" s="64">
        <f t="shared" si="96"/>
        <v>9151827495.8734875</v>
      </c>
      <c r="BF352" s="65">
        <f t="shared" si="97"/>
        <v>3813580178.6419115</v>
      </c>
      <c r="BG352" s="66">
        <f t="shared" si="98"/>
        <v>8151419584.1803017</v>
      </c>
    </row>
    <row r="353" spans="43:59" x14ac:dyDescent="0.25">
      <c r="AQ353" s="7">
        <v>338</v>
      </c>
      <c r="AR353" s="58">
        <f t="shared" si="99"/>
        <v>169</v>
      </c>
      <c r="AS353" s="58">
        <f t="shared" si="100"/>
        <v>-64792.515736760623</v>
      </c>
      <c r="AT353" s="58">
        <f t="shared" si="101"/>
        <v>53344.935460624765</v>
      </c>
      <c r="AU353" s="58">
        <f t="shared" si="102"/>
        <v>-1678.5017912987462</v>
      </c>
      <c r="AV353" s="58">
        <f t="shared" si="103"/>
        <v>-125.1132981961032</v>
      </c>
      <c r="AW353" s="58">
        <f t="shared" si="89"/>
        <v>122.44094560728942</v>
      </c>
      <c r="AX353" s="58">
        <f t="shared" si="104"/>
        <v>-104.85380568376169</v>
      </c>
      <c r="AY353" s="33">
        <f t="shared" si="90"/>
        <v>48.781112295904151</v>
      </c>
      <c r="AZ353" s="33">
        <f t="shared" si="91"/>
        <v>-26.374579471684065</v>
      </c>
      <c r="BA353" s="39">
        <f t="shared" si="92"/>
        <v>32.600281181585416</v>
      </c>
      <c r="BB353" s="39">
        <f t="shared" si="93"/>
        <v>-31.546722941805267</v>
      </c>
      <c r="BC353" s="45">
        <f t="shared" si="94"/>
        <v>41.059552129799854</v>
      </c>
      <c r="BD353" s="45">
        <f t="shared" si="95"/>
        <v>-46.932503270272356</v>
      </c>
      <c r="BE353" s="64">
        <f t="shared" si="96"/>
        <v>9291528832.3576488</v>
      </c>
      <c r="BF353" s="65">
        <f t="shared" si="97"/>
        <v>3885152896.1136742</v>
      </c>
      <c r="BG353" s="66">
        <f t="shared" si="98"/>
        <v>8246175141.2477312</v>
      </c>
    </row>
    <row r="354" spans="43:59" x14ac:dyDescent="0.25">
      <c r="AQ354" s="7">
        <v>339</v>
      </c>
      <c r="AR354" s="58">
        <f t="shared" si="99"/>
        <v>169.5</v>
      </c>
      <c r="AS354" s="58">
        <f t="shared" si="100"/>
        <v>-65616.461514209092</v>
      </c>
      <c r="AT354" s="58">
        <f t="shared" si="101"/>
        <v>53269.272085816243</v>
      </c>
      <c r="AU354" s="58">
        <f t="shared" si="102"/>
        <v>-1617.2813184951015</v>
      </c>
      <c r="AV354" s="58">
        <f t="shared" si="103"/>
        <v>-177.54020103798405</v>
      </c>
      <c r="AW354" s="58">
        <f t="shared" si="89"/>
        <v>121.55081937791037</v>
      </c>
      <c r="AX354" s="58">
        <f t="shared" si="104"/>
        <v>-102.61427762636063</v>
      </c>
      <c r="AY354" s="33">
        <f t="shared" si="90"/>
        <v>48.223429815710141</v>
      </c>
      <c r="AZ354" s="33">
        <f t="shared" si="91"/>
        <v>-25.779519979112862</v>
      </c>
      <c r="BA354" s="39">
        <f t="shared" si="92"/>
        <v>32.358160205869716</v>
      </c>
      <c r="BB354" s="39">
        <f t="shared" si="93"/>
        <v>-30.693175044015337</v>
      </c>
      <c r="BC354" s="45">
        <f t="shared" si="94"/>
        <v>40.969229356330516</v>
      </c>
      <c r="BD354" s="45">
        <f t="shared" si="95"/>
        <v>-46.141582603232436</v>
      </c>
      <c r="BE354" s="64">
        <f t="shared" si="96"/>
        <v>9425004749.4795246</v>
      </c>
      <c r="BF354" s="65">
        <f t="shared" si="97"/>
        <v>3953091467.9137158</v>
      </c>
      <c r="BG354" s="66">
        <f t="shared" si="98"/>
        <v>8335048917.6308022</v>
      </c>
    </row>
    <row r="355" spans="43:59" x14ac:dyDescent="0.25">
      <c r="AQ355" s="7">
        <v>340</v>
      </c>
      <c r="AR355" s="58">
        <f t="shared" si="99"/>
        <v>170</v>
      </c>
      <c r="AS355" s="58">
        <f t="shared" si="100"/>
        <v>-66409.908321034411</v>
      </c>
      <c r="AT355" s="58">
        <f t="shared" si="101"/>
        <v>53167.675200593949</v>
      </c>
      <c r="AU355" s="58">
        <f t="shared" si="102"/>
        <v>-1556.5059088061462</v>
      </c>
      <c r="AV355" s="58">
        <f t="shared" si="103"/>
        <v>-228.84733985116435</v>
      </c>
      <c r="AW355" s="58">
        <f t="shared" si="89"/>
        <v>120.75601590580514</v>
      </c>
      <c r="AX355" s="58">
        <f t="shared" si="104"/>
        <v>-100.51536158131869</v>
      </c>
      <c r="AY355" s="33">
        <f t="shared" si="90"/>
        <v>47.711393759021099</v>
      </c>
      <c r="AZ355" s="33">
        <f t="shared" si="91"/>
        <v>-25.215492943929299</v>
      </c>
      <c r="BA355" s="39">
        <f t="shared" si="92"/>
        <v>32.143996996982295</v>
      </c>
      <c r="BB355" s="39">
        <f t="shared" si="93"/>
        <v>-29.898391792032562</v>
      </c>
      <c r="BC355" s="45">
        <f t="shared" si="94"/>
        <v>40.900625149801741</v>
      </c>
      <c r="BD355" s="45">
        <f t="shared" si="95"/>
        <v>-45.401476845356825</v>
      </c>
      <c r="BE355" s="64">
        <f t="shared" si="96"/>
        <v>9552208814.276516</v>
      </c>
      <c r="BF355" s="65">
        <f t="shared" si="97"/>
        <v>4017327772.5907927</v>
      </c>
      <c r="BG355" s="66">
        <f t="shared" si="98"/>
        <v>8418008782.251523</v>
      </c>
    </row>
    <row r="356" spans="43:59" x14ac:dyDescent="0.25">
      <c r="AQ356" s="7">
        <v>341</v>
      </c>
      <c r="AR356" s="58">
        <f t="shared" si="99"/>
        <v>170.5</v>
      </c>
      <c r="AS356" s="58">
        <f t="shared" si="100"/>
        <v>-67173.06677344926</v>
      </c>
      <c r="AT356" s="58">
        <f t="shared" si="101"/>
        <v>53040.687110470695</v>
      </c>
      <c r="AU356" s="58">
        <f t="shared" si="102"/>
        <v>-1496.1279008532435</v>
      </c>
      <c r="AV356" s="58">
        <f t="shared" si="103"/>
        <v>-279.10502064182367</v>
      </c>
      <c r="AW356" s="58">
        <f t="shared" si="89"/>
        <v>120.0531181204197</v>
      </c>
      <c r="AX356" s="58">
        <f t="shared" si="104"/>
        <v>-98.547045307084574</v>
      </c>
      <c r="AY356" s="33">
        <f t="shared" si="90"/>
        <v>47.242468599853929</v>
      </c>
      <c r="AZ356" s="33">
        <f t="shared" si="91"/>
        <v>-24.680266055380578</v>
      </c>
      <c r="BA356" s="39">
        <f t="shared" si="92"/>
        <v>31.957064731608828</v>
      </c>
      <c r="BB356" s="39">
        <f t="shared" si="93"/>
        <v>-29.157612980472791</v>
      </c>
      <c r="BC356" s="45">
        <f t="shared" si="94"/>
        <v>40.853584788956937</v>
      </c>
      <c r="BD356" s="45">
        <f t="shared" si="95"/>
        <v>-44.709166271231211</v>
      </c>
      <c r="BE356" s="64">
        <f t="shared" si="96"/>
        <v>9673097753.1820354</v>
      </c>
      <c r="BF356" s="65">
        <f t="shared" si="97"/>
        <v>4077798975.7537408</v>
      </c>
      <c r="BG356" s="66">
        <f t="shared" si="98"/>
        <v>8495025334.4807539</v>
      </c>
    </row>
    <row r="357" spans="43:59" x14ac:dyDescent="0.25">
      <c r="AQ357" s="7">
        <v>342</v>
      </c>
      <c r="AR357" s="58">
        <f t="shared" si="99"/>
        <v>171</v>
      </c>
      <c r="AS357" s="58">
        <f t="shared" si="100"/>
        <v>-67906.124084110823</v>
      </c>
      <c r="AT357" s="58">
        <f t="shared" si="101"/>
        <v>52888.816219486398</v>
      </c>
      <c r="AU357" s="58">
        <f t="shared" si="102"/>
        <v>-1436.1013417930337</v>
      </c>
      <c r="AV357" s="58">
        <f t="shared" si="103"/>
        <v>-328.37854329536594</v>
      </c>
      <c r="AW357" s="58">
        <f t="shared" si="89"/>
        <v>119.43911096688706</v>
      </c>
      <c r="AX357" s="58">
        <f t="shared" si="104"/>
        <v>-96.700310373230167</v>
      </c>
      <c r="AY357" s="33">
        <f t="shared" si="90"/>
        <v>46.814388976844342</v>
      </c>
      <c r="AZ357" s="33">
        <f t="shared" si="91"/>
        <v>-24.171805091354354</v>
      </c>
      <c r="BA357" s="39">
        <f t="shared" si="92"/>
        <v>31.796720300964001</v>
      </c>
      <c r="BB357" s="39">
        <f t="shared" si="93"/>
        <v>-28.466583749837689</v>
      </c>
      <c r="BC357" s="45">
        <f t="shared" si="94"/>
        <v>40.828001689078718</v>
      </c>
      <c r="BD357" s="45">
        <f t="shared" si="95"/>
        <v>-44.061921532038134</v>
      </c>
      <c r="BE357" s="64">
        <f t="shared" si="96"/>
        <v>9787631289.2974014</v>
      </c>
      <c r="BF357" s="65">
        <f t="shared" si="97"/>
        <v>4134447281.4711027</v>
      </c>
      <c r="BG357" s="66">
        <f t="shared" si="98"/>
        <v>8566071814.9687481</v>
      </c>
    </row>
    <row r="358" spans="43:59" x14ac:dyDescent="0.25">
      <c r="AQ358" s="7">
        <v>343</v>
      </c>
      <c r="AR358" s="58">
        <f t="shared" si="99"/>
        <v>171.5</v>
      </c>
      <c r="AS358" s="58">
        <f t="shared" si="100"/>
        <v>-68609.244866136476</v>
      </c>
      <c r="AT358" s="58">
        <f t="shared" si="101"/>
        <v>52712.539409042067</v>
      </c>
      <c r="AU358" s="58">
        <f t="shared" si="102"/>
        <v>-1376.3817863095901</v>
      </c>
      <c r="AV358" s="58">
        <f t="shared" si="103"/>
        <v>-376.72869848198104</v>
      </c>
      <c r="AW358" s="58">
        <f t="shared" si="89"/>
        <v>118.91135567910268</v>
      </c>
      <c r="AX358" s="58">
        <f t="shared" si="104"/>
        <v>-94.967018756089885</v>
      </c>
      <c r="AY358" s="33">
        <f t="shared" si="90"/>
        <v>46.425131855801318</v>
      </c>
      <c r="AZ358" s="33">
        <f t="shared" si="91"/>
        <v>-23.688251793268119</v>
      </c>
      <c r="BA358" s="39">
        <f t="shared" si="92"/>
        <v>31.662405172838067</v>
      </c>
      <c r="BB358" s="39">
        <f t="shared" si="93"/>
        <v>-27.821492237828139</v>
      </c>
      <c r="BC358" s="45">
        <f t="shared" si="94"/>
        <v>40.823818650463302</v>
      </c>
      <c r="BD358" s="45">
        <f t="shared" si="95"/>
        <v>-43.457274724993624</v>
      </c>
      <c r="BE358" s="64">
        <f t="shared" si="96"/>
        <v>9895771995.5611153</v>
      </c>
      <c r="BF358" s="65">
        <f t="shared" si="97"/>
        <v>4187219709.224987</v>
      </c>
      <c r="BG358" s="66">
        <f t="shared" si="98"/>
        <v>8631124025.6611862</v>
      </c>
    </row>
    <row r="359" spans="43:59" x14ac:dyDescent="0.25">
      <c r="AQ359" s="7">
        <v>344</v>
      </c>
      <c r="AR359" s="58">
        <f t="shared" si="99"/>
        <v>172</v>
      </c>
      <c r="AS359" s="58">
        <f t="shared" si="100"/>
        <v>-69282.571839831377</v>
      </c>
      <c r="AT359" s="58">
        <f t="shared" si="101"/>
        <v>52512.304182456566</v>
      </c>
      <c r="AU359" s="58">
        <f t="shared" si="102"/>
        <v>-1316.9261084700388</v>
      </c>
      <c r="AV359" s="58">
        <f t="shared" si="103"/>
        <v>-424.21220786002596</v>
      </c>
      <c r="AW359" s="58">
        <f t="shared" si="89"/>
        <v>118.46756731563099</v>
      </c>
      <c r="AX359" s="58">
        <f t="shared" si="104"/>
        <v>-93.339814696182245</v>
      </c>
      <c r="AY359" s="33">
        <f t="shared" si="90"/>
        <v>46.072892519171198</v>
      </c>
      <c r="AZ359" s="33">
        <f t="shared" si="91"/>
        <v>-23.227904504800144</v>
      </c>
      <c r="BA359" s="39">
        <f t="shared" si="92"/>
        <v>31.553645709505439</v>
      </c>
      <c r="BB359" s="39">
        <f t="shared" si="93"/>
        <v>-27.218916026289719</v>
      </c>
      <c r="BC359" s="45">
        <f t="shared" si="94"/>
        <v>40.84102908695435</v>
      </c>
      <c r="BD359" s="45">
        <f t="shared" si="95"/>
        <v>-42.892994165092382</v>
      </c>
      <c r="BE359" s="64">
        <f t="shared" si="96"/>
        <v>9997485162.1486473</v>
      </c>
      <c r="BF359" s="65">
        <f t="shared" si="97"/>
        <v>4236067894.0498543</v>
      </c>
      <c r="BG359" s="66">
        <f t="shared" si="98"/>
        <v>8690160258.3676262</v>
      </c>
    </row>
    <row r="360" spans="43:59" x14ac:dyDescent="0.25">
      <c r="AQ360" s="7">
        <v>345</v>
      </c>
      <c r="AR360" s="58">
        <f t="shared" si="99"/>
        <v>172.5</v>
      </c>
      <c r="AS360" s="58">
        <f t="shared" si="100"/>
        <v>-69926.226448151938</v>
      </c>
      <c r="AT360" s="58">
        <f t="shared" si="101"/>
        <v>52288.530601689534</v>
      </c>
      <c r="AU360" s="58">
        <f t="shared" si="102"/>
        <v>-1257.6923248122232</v>
      </c>
      <c r="AV360" s="58">
        <f t="shared" si="103"/>
        <v>-470.88211520811706</v>
      </c>
      <c r="AW360" s="58">
        <f t="shared" si="89"/>
        <v>118.10579534763313</v>
      </c>
      <c r="AX360" s="58">
        <f t="shared" si="104"/>
        <v>-91.812039520688828</v>
      </c>
      <c r="AY360" s="33">
        <f t="shared" si="90"/>
        <v>45.756063830236066</v>
      </c>
      <c r="AZ360" s="33">
        <f t="shared" si="91"/>
        <v>-22.789201170972781</v>
      </c>
      <c r="BA360" s="39">
        <f t="shared" si="92"/>
        <v>31.470053213132701</v>
      </c>
      <c r="BB360" s="39">
        <f t="shared" si="93"/>
        <v>-26.655775992251499</v>
      </c>
      <c r="BC360" s="45">
        <f t="shared" si="94"/>
        <v>40.879678304264374</v>
      </c>
      <c r="BD360" s="45">
        <f t="shared" si="95"/>
        <v>-42.367062357464548</v>
      </c>
      <c r="BE360" s="64">
        <f t="shared" si="96"/>
        <v>10092738676.662781</v>
      </c>
      <c r="BF360" s="65">
        <f t="shared" si="97"/>
        <v>4280947907.8021784</v>
      </c>
      <c r="BG360" s="66">
        <f t="shared" si="98"/>
        <v>8743161231.331213</v>
      </c>
    </row>
    <row r="361" spans="43:59" x14ac:dyDescent="0.25">
      <c r="AQ361" s="7">
        <v>346</v>
      </c>
      <c r="AR361" s="58">
        <f t="shared" si="99"/>
        <v>173</v>
      </c>
      <c r="AS361" s="58">
        <f t="shared" si="100"/>
        <v>-70540.309386139605</v>
      </c>
      <c r="AT361" s="58">
        <f t="shared" si="101"/>
        <v>52041.613039145384</v>
      </c>
      <c r="AU361" s="58">
        <f t="shared" si="102"/>
        <v>-1198.6394271384067</v>
      </c>
      <c r="AV361" s="58">
        <f t="shared" si="103"/>
        <v>-516.78813496846146</v>
      </c>
      <c r="AW361" s="58">
        <f t="shared" si="89"/>
        <v>117.82440710555038</v>
      </c>
      <c r="AX361" s="58">
        <f t="shared" si="104"/>
        <v>-90.377657517319349</v>
      </c>
      <c r="AY361" s="33">
        <f t="shared" si="90"/>
        <v>45.473218313365933</v>
      </c>
      <c r="AZ361" s="33">
        <f t="shared" si="91"/>
        <v>-22.370704357992743</v>
      </c>
      <c r="BA361" s="39">
        <f t="shared" si="92"/>
        <v>31.411323904915648</v>
      </c>
      <c r="BB361" s="39">
        <f t="shared" si="93"/>
        <v>-26.129296411071895</v>
      </c>
      <c r="BC361" s="45">
        <f t="shared" si="94"/>
        <v>40.939864887268797</v>
      </c>
      <c r="BD361" s="45">
        <f t="shared" si="95"/>
        <v>-41.877656748254708</v>
      </c>
      <c r="BE361" s="64">
        <f t="shared" si="96"/>
        <v>10181502915.866846</v>
      </c>
      <c r="BF361" s="65">
        <f t="shared" si="97"/>
        <v>4321820099.7799501</v>
      </c>
      <c r="BG361" s="66">
        <f t="shared" si="98"/>
        <v>8790110033.3214092</v>
      </c>
    </row>
    <row r="362" spans="43:59" x14ac:dyDescent="0.25">
      <c r="AQ362" s="7">
        <v>347</v>
      </c>
      <c r="AR362" s="58">
        <f t="shared" si="99"/>
        <v>173.5</v>
      </c>
      <c r="AS362" s="58">
        <f t="shared" si="100"/>
        <v>-71124.901048820611</v>
      </c>
      <c r="AT362" s="58">
        <f t="shared" si="101"/>
        <v>51771.921764471488</v>
      </c>
      <c r="AU362" s="58">
        <f t="shared" si="102"/>
        <v>-1139.7272235856315</v>
      </c>
      <c r="AV362" s="58">
        <f t="shared" si="103"/>
        <v>-561.97696372712119</v>
      </c>
      <c r="AW362" s="58">
        <f t="shared" si="89"/>
        <v>117.62207391290174</v>
      </c>
      <c r="AX362" s="58">
        <f t="shared" si="104"/>
        <v>-89.031191259276994</v>
      </c>
      <c r="AY362" s="33">
        <f t="shared" si="90"/>
        <v>45.223092668259298</v>
      </c>
      <c r="AZ362" s="33">
        <f t="shared" si="91"/>
        <v>-21.971088006822391</v>
      </c>
      <c r="BA362" s="39">
        <f t="shared" si="92"/>
        <v>31.377238996660086</v>
      </c>
      <c r="BB362" s="39">
        <f t="shared" si="93"/>
        <v>-25.636970354270151</v>
      </c>
      <c r="BC362" s="45">
        <f t="shared" si="94"/>
        <v>41.02174224798236</v>
      </c>
      <c r="BD362" s="45">
        <f t="shared" si="95"/>
        <v>-41.423132898184448</v>
      </c>
      <c r="BE362" s="64">
        <f t="shared" si="96"/>
        <v>10263750647.876831</v>
      </c>
      <c r="BF362" s="65">
        <f t="shared" si="97"/>
        <v>4358648955.1488256</v>
      </c>
      <c r="BG362" s="66">
        <f t="shared" si="98"/>
        <v>8830992074.8370171</v>
      </c>
    </row>
    <row r="363" spans="43:59" x14ac:dyDescent="0.25">
      <c r="AQ363" s="7">
        <v>348</v>
      </c>
      <c r="AR363" s="58">
        <f t="shared" si="99"/>
        <v>174</v>
      </c>
      <c r="AS363" s="58">
        <f t="shared" si="100"/>
        <v>-71680.061901374313</v>
      </c>
      <c r="AT363" s="58">
        <f t="shared" si="101"/>
        <v>51479.804383700517</v>
      </c>
      <c r="AU363" s="58">
        <f t="shared" si="102"/>
        <v>-1080.9161866291806</v>
      </c>
      <c r="AV363" s="58">
        <f t="shared" si="103"/>
        <v>-606.49255935675967</v>
      </c>
      <c r="AW363" s="58">
        <f t="shared" si="89"/>
        <v>117.49775975966801</v>
      </c>
      <c r="AX363" s="58">
        <f t="shared" si="104"/>
        <v>-87.767665038419494</v>
      </c>
      <c r="AY363" s="33">
        <f t="shared" si="90"/>
        <v>45.004574399313178</v>
      </c>
      <c r="AZ363" s="33">
        <f t="shared" si="91"/>
        <v>-21.589125676886347</v>
      </c>
      <c r="BA363" s="39">
        <f t="shared" si="92"/>
        <v>31.367664979431815</v>
      </c>
      <c r="BB363" s="39">
        <f t="shared" si="93"/>
        <v>-25.176529583175373</v>
      </c>
      <c r="BC363" s="45">
        <f t="shared" si="94"/>
        <v>41.125520380923021</v>
      </c>
      <c r="BD363" s="45">
        <f t="shared" si="95"/>
        <v>-41.002009778357774</v>
      </c>
      <c r="BE363" s="64">
        <f t="shared" si="96"/>
        <v>10339456943.868389</v>
      </c>
      <c r="BF363" s="65">
        <f t="shared" si="97"/>
        <v>4391402969.839941</v>
      </c>
      <c r="BG363" s="66">
        <f t="shared" si="98"/>
        <v>8865795046.0661964</v>
      </c>
    </row>
    <row r="364" spans="43:59" x14ac:dyDescent="0.25">
      <c r="AQ364" s="7">
        <v>349</v>
      </c>
      <c r="AR364" s="58">
        <f t="shared" si="99"/>
        <v>174.5</v>
      </c>
      <c r="AS364" s="58">
        <f t="shared" si="100"/>
        <v>-72205.832774718947</v>
      </c>
      <c r="AT364" s="58">
        <f t="shared" si="101"/>
        <v>51165.587145892336</v>
      </c>
      <c r="AU364" s="58">
        <f t="shared" si="102"/>
        <v>-1022.1673067493466</v>
      </c>
      <c r="AV364" s="58">
        <f t="shared" si="103"/>
        <v>-650.37639187596938</v>
      </c>
      <c r="AW364" s="58">
        <f t="shared" si="89"/>
        <v>117.45071239313987</v>
      </c>
      <c r="AX364" s="58">
        <f t="shared" si="104"/>
        <v>-86.58255527576739</v>
      </c>
      <c r="AY364" s="33">
        <f t="shared" si="90"/>
        <v>44.816690293603727</v>
      </c>
      <c r="AZ364" s="33">
        <f t="shared" si="91"/>
        <v>-21.223680072247859</v>
      </c>
      <c r="BA364" s="39">
        <f t="shared" si="92"/>
        <v>31.382554229940631</v>
      </c>
      <c r="BB364" s="39">
        <f t="shared" si="93"/>
        <v>-24.745918269096478</v>
      </c>
      <c r="BC364" s="45">
        <f t="shared" si="94"/>
        <v>41.251467869595501</v>
      </c>
      <c r="BD364" s="45">
        <f t="shared" si="95"/>
        <v>-40.61295693442306</v>
      </c>
      <c r="BE364" s="64">
        <f t="shared" si="96"/>
        <v>10408599098.474953</v>
      </c>
      <c r="BF364" s="65">
        <f t="shared" si="97"/>
        <v>4420054540.7679749</v>
      </c>
      <c r="BG364" s="66">
        <f t="shared" si="98"/>
        <v>8894508881.3041611</v>
      </c>
    </row>
    <row r="365" spans="43:59" x14ac:dyDescent="0.25">
      <c r="AQ365" s="7">
        <v>350</v>
      </c>
      <c r="AR365" s="58">
        <f t="shared" si="99"/>
        <v>175</v>
      </c>
      <c r="AS365" s="58">
        <f t="shared" si="100"/>
        <v>-72702.23508904448</v>
      </c>
      <c r="AT365" s="58">
        <f t="shared" si="101"/>
        <v>50829.576130544883</v>
      </c>
      <c r="AU365" s="58">
        <f t="shared" si="102"/>
        <v>-963.44195055277669</v>
      </c>
      <c r="AV365" s="58">
        <f t="shared" si="103"/>
        <v>-693.66766951385307</v>
      </c>
      <c r="AW365" s="58">
        <f t="shared" si="89"/>
        <v>117.48045673033377</v>
      </c>
      <c r="AX365" s="58">
        <f t="shared" si="104"/>
        <v>-85.471746953852687</v>
      </c>
      <c r="AY365" s="33">
        <f t="shared" si="90"/>
        <v>44.658596524632323</v>
      </c>
      <c r="AZ365" s="33">
        <f t="shared" si="91"/>
        <v>-20.873693672419616</v>
      </c>
      <c r="BA365" s="39">
        <f t="shared" si="92"/>
        <v>31.42194601912713</v>
      </c>
      <c r="BB365" s="39">
        <f t="shared" si="93"/>
        <v>-24.343269976884073</v>
      </c>
      <c r="BC365" s="45">
        <f t="shared" si="94"/>
        <v>41.399914186574321</v>
      </c>
      <c r="BD365" s="45">
        <f t="shared" si="95"/>
        <v>-40.254783304549001</v>
      </c>
      <c r="BE365" s="64">
        <f t="shared" si="96"/>
        <v>10471156558.157154</v>
      </c>
      <c r="BF365" s="65">
        <f t="shared" si="97"/>
        <v>4444579870.3808718</v>
      </c>
      <c r="BG365" s="66">
        <f t="shared" si="98"/>
        <v>8917125729.5794487</v>
      </c>
    </row>
    <row r="366" spans="43:59" x14ac:dyDescent="0.25">
      <c r="AQ366" s="7">
        <v>351</v>
      </c>
      <c r="AR366" s="58">
        <f t="shared" si="99"/>
        <v>175.5</v>
      </c>
      <c r="AS366" s="58">
        <f t="shared" si="100"/>
        <v>-73169.271007229574</v>
      </c>
      <c r="AT366" s="58">
        <f t="shared" si="101"/>
        <v>50472.058327418723</v>
      </c>
      <c r="AU366" s="58">
        <f t="shared" si="102"/>
        <v>-904.70172218760979</v>
      </c>
      <c r="AV366" s="58">
        <f t="shared" si="103"/>
        <v>-736.40354299077944</v>
      </c>
      <c r="AW366" s="58">
        <f t="shared" si="89"/>
        <v>117.58679052275333</v>
      </c>
      <c r="AX366" s="58">
        <f t="shared" si="104"/>
        <v>-84.431495260780792</v>
      </c>
      <c r="AY366" s="33">
        <f t="shared" si="90"/>
        <v>44.529570195596996</v>
      </c>
      <c r="AZ366" s="33">
        <f t="shared" si="91"/>
        <v>-20.538180314747745</v>
      </c>
      <c r="BA366" s="39">
        <f t="shared" si="92"/>
        <v>31.485967997230844</v>
      </c>
      <c r="BB366" s="39">
        <f t="shared" si="93"/>
        <v>-23.966887435900631</v>
      </c>
      <c r="BC366" s="45">
        <f t="shared" si="94"/>
        <v>41.571252329925485</v>
      </c>
      <c r="BD366" s="45">
        <f t="shared" si="95"/>
        <v>-39.926427510132413</v>
      </c>
      <c r="BE366" s="64">
        <f t="shared" si="96"/>
        <v>10527110856.913666</v>
      </c>
      <c r="BF366" s="65">
        <f t="shared" si="97"/>
        <v>4464958884.6982059</v>
      </c>
      <c r="BG366" s="66">
        <f t="shared" si="98"/>
        <v>8933639931.2860298</v>
      </c>
    </row>
    <row r="367" spans="43:59" x14ac:dyDescent="0.25">
      <c r="AQ367" s="7">
        <v>352</v>
      </c>
      <c r="AR367" s="58">
        <f t="shared" si="99"/>
        <v>176</v>
      </c>
      <c r="AS367" s="58">
        <f t="shared" si="100"/>
        <v>-73606.923519508025</v>
      </c>
      <c r="AT367" s="58">
        <f t="shared" si="101"/>
        <v>50093.302619015732</v>
      </c>
      <c r="AU367" s="58">
        <f t="shared" si="102"/>
        <v>-845.90832692623314</v>
      </c>
      <c r="AV367" s="58">
        <f t="shared" si="103"/>
        <v>-778.61929062116985</v>
      </c>
      <c r="AW367" s="58">
        <f t="shared" si="89"/>
        <v>117.76978223142885</v>
      </c>
      <c r="AX367" s="58">
        <f t="shared" si="104"/>
        <v>-83.458391756768606</v>
      </c>
      <c r="AY367" s="33">
        <f t="shared" si="90"/>
        <v>44.429002166894726</v>
      </c>
      <c r="AZ367" s="33">
        <f t="shared" si="91"/>
        <v>-20.216217595924665</v>
      </c>
      <c r="BA367" s="39">
        <f t="shared" si="92"/>
        <v>31.574838224239585</v>
      </c>
      <c r="BB367" s="39">
        <f t="shared" si="93"/>
        <v>-23.615224694068043</v>
      </c>
      <c r="BC367" s="45">
        <f t="shared" si="94"/>
        <v>41.765941840294552</v>
      </c>
      <c r="BD367" s="45">
        <f t="shared" si="95"/>
        <v>-39.626949466775905</v>
      </c>
      <c r="BE367" s="64">
        <f t="shared" si="96"/>
        <v>10576445558.782078</v>
      </c>
      <c r="BF367" s="65">
        <f t="shared" si="97"/>
        <v>4481175164.1263561</v>
      </c>
      <c r="BG367" s="66">
        <f t="shared" si="98"/>
        <v>8944048000.662384</v>
      </c>
    </row>
    <row r="368" spans="43:59" x14ac:dyDescent="0.25">
      <c r="AQ368" s="7">
        <v>353</v>
      </c>
      <c r="AR368" s="58">
        <f t="shared" si="99"/>
        <v>176.5</v>
      </c>
      <c r="AS368" s="58">
        <f t="shared" si="100"/>
        <v>-74015.156460192215</v>
      </c>
      <c r="AT368" s="58">
        <f t="shared" si="101"/>
        <v>49693.560674735556</v>
      </c>
      <c r="AU368" s="58">
        <f t="shared" si="102"/>
        <v>-787.02343581051878</v>
      </c>
      <c r="AV368" s="58">
        <f t="shared" si="103"/>
        <v>-820.34848649955416</v>
      </c>
      <c r="AW368" s="58">
        <f t="shared" si="89"/>
        <v>118.02977109788455</v>
      </c>
      <c r="AX368" s="58">
        <f t="shared" si="104"/>
        <v>-82.549334474669067</v>
      </c>
      <c r="AY368" s="33">
        <f t="shared" si="90"/>
        <v>44.356391038866299</v>
      </c>
      <c r="AZ368" s="33">
        <f t="shared" si="91"/>
        <v>-19.906939977312625</v>
      </c>
      <c r="BA368" s="39">
        <f t="shared" si="92"/>
        <v>31.688867813125331</v>
      </c>
      <c r="BB368" s="39">
        <f t="shared" si="93"/>
        <v>-23.286871309554822</v>
      </c>
      <c r="BC368" s="45">
        <f t="shared" si="94"/>
        <v>41.984512245892923</v>
      </c>
      <c r="BD368" s="45">
        <f t="shared" si="95"/>
        <v>-39.355523187801623</v>
      </c>
      <c r="BE368" s="64">
        <f t="shared" si="96"/>
        <v>10619146206.647013</v>
      </c>
      <c r="BF368" s="65">
        <f t="shared" si="97"/>
        <v>4493215886.4579573</v>
      </c>
      <c r="BG368" s="66">
        <f t="shared" si="98"/>
        <v>8948348614.0005035</v>
      </c>
    </row>
    <row r="369" spans="43:59" x14ac:dyDescent="0.25">
      <c r="AQ369" s="7">
        <v>354</v>
      </c>
      <c r="AR369" s="58">
        <f t="shared" si="99"/>
        <v>177</v>
      </c>
      <c r="AS369" s="58">
        <f t="shared" si="100"/>
        <v>-74393.914456710234</v>
      </c>
      <c r="AT369" s="58">
        <f t="shared" si="101"/>
        <v>49273.067764676445</v>
      </c>
      <c r="AU369" s="58">
        <f t="shared" si="102"/>
        <v>-728.00855026157649</v>
      </c>
      <c r="AV369" s="58">
        <f t="shared" si="103"/>
        <v>-861.62315373688864</v>
      </c>
      <c r="AW369" s="58">
        <f t="shared" si="89"/>
        <v>118.36736942529892</v>
      </c>
      <c r="AX369" s="58">
        <f t="shared" si="104"/>
        <v>-81.701501450119267</v>
      </c>
      <c r="AY369" s="33">
        <f t="shared" si="90"/>
        <v>44.311338183421825</v>
      </c>
      <c r="AZ369" s="33">
        <f t="shared" si="91"/>
        <v>-19.609532492992088</v>
      </c>
      <c r="BA369" s="39">
        <f t="shared" si="92"/>
        <v>31.828464255133607</v>
      </c>
      <c r="BB369" s="39">
        <f t="shared" si="93"/>
        <v>-22.980538283051246</v>
      </c>
      <c r="BC369" s="45">
        <f t="shared" si="94"/>
        <v>42.227566986743483</v>
      </c>
      <c r="BD369" s="45">
        <f t="shared" si="95"/>
        <v>-39.111430674075933</v>
      </c>
      <c r="BE369" s="64">
        <f t="shared" si="96"/>
        <v>10655200276.93298</v>
      </c>
      <c r="BF369" s="65">
        <f t="shared" si="97"/>
        <v>4501071781.5727787</v>
      </c>
      <c r="BG369" s="66">
        <f t="shared" si="98"/>
        <v>8946542603.5079079</v>
      </c>
    </row>
    <row r="370" spans="43:59" x14ac:dyDescent="0.25">
      <c r="AQ370" s="7">
        <v>355</v>
      </c>
      <c r="AR370" s="58">
        <f t="shared" si="99"/>
        <v>177.5</v>
      </c>
      <c r="AS370" s="58">
        <f t="shared" si="100"/>
        <v>-74743.12281066287</v>
      </c>
      <c r="AT370" s="58">
        <f t="shared" si="101"/>
        <v>48832.04350012674</v>
      </c>
      <c r="AU370" s="58">
        <f t="shared" si="102"/>
        <v>-668.82486554892705</v>
      </c>
      <c r="AV370" s="58">
        <f t="shared" si="103"/>
        <v>-902.47390446194822</v>
      </c>
      <c r="AW370" s="58">
        <f t="shared" si="89"/>
        <v>118.78346711392041</v>
      </c>
      <c r="AX370" s="58">
        <f t="shared" si="104"/>
        <v>-80.912327247224766</v>
      </c>
      <c r="AY370" s="33">
        <f t="shared" si="90"/>
        <v>44.293543737774257</v>
      </c>
      <c r="AZ370" s="33">
        <f t="shared" si="91"/>
        <v>-19.323224971199817</v>
      </c>
      <c r="BA370" s="39">
        <f t="shared" si="92"/>
        <v>31.994135501171911</v>
      </c>
      <c r="BB370" s="39">
        <f t="shared" si="93"/>
        <v>-22.695045473154163</v>
      </c>
      <c r="BC370" s="45">
        <f t="shared" si="94"/>
        <v>42.495787874974248</v>
      </c>
      <c r="BD370" s="45">
        <f t="shared" si="95"/>
        <v>-38.894056802870786</v>
      </c>
      <c r="BE370" s="64">
        <f t="shared" si="96"/>
        <v>10684597139.812717</v>
      </c>
      <c r="BF370" s="65">
        <f t="shared" si="97"/>
        <v>4504737097.459053</v>
      </c>
      <c r="BG370" s="66">
        <f t="shared" si="98"/>
        <v>8938632956.7852764</v>
      </c>
    </row>
    <row r="371" spans="43:59" x14ac:dyDescent="0.25">
      <c r="AQ371" s="7">
        <v>356</v>
      </c>
      <c r="AR371" s="58">
        <f t="shared" si="99"/>
        <v>178</v>
      </c>
      <c r="AS371" s="58">
        <f t="shared" si="100"/>
        <v>-75062.687310048088</v>
      </c>
      <c r="AT371" s="58">
        <f t="shared" si="101"/>
        <v>48370.692506989864</v>
      </c>
      <c r="AU371" s="58">
        <f t="shared" si="102"/>
        <v>-609.43313199196689</v>
      </c>
      <c r="AV371" s="58">
        <f t="shared" si="103"/>
        <v>-942.93006808556061</v>
      </c>
      <c r="AW371" s="58">
        <f t="shared" si="89"/>
        <v>119.2792385263925</v>
      </c>
      <c r="AX371" s="58">
        <f t="shared" si="104"/>
        <v>-80.179482104449534</v>
      </c>
      <c r="AY371" s="33">
        <f t="shared" si="90"/>
        <v>44.302803490745077</v>
      </c>
      <c r="AZ371" s="33">
        <f t="shared" si="91"/>
        <v>-19.047286689490107</v>
      </c>
      <c r="BA371" s="39">
        <f t="shared" si="92"/>
        <v>32.186494880910494</v>
      </c>
      <c r="BB371" s="39">
        <f t="shared" si="93"/>
        <v>-22.429310269567033</v>
      </c>
      <c r="BC371" s="45">
        <f t="shared" si="94"/>
        <v>42.789940154736939</v>
      </c>
      <c r="BD371" s="45">
        <f t="shared" si="95"/>
        <v>-38.702885145392401</v>
      </c>
      <c r="BE371" s="64">
        <f t="shared" si="96"/>
        <v>10707328024.608894</v>
      </c>
      <c r="BF371" s="65">
        <f t="shared" si="97"/>
        <v>4504209577.2700987</v>
      </c>
      <c r="BG371" s="66">
        <f t="shared" si="98"/>
        <v>8924624821.9210358</v>
      </c>
    </row>
    <row r="372" spans="43:59" x14ac:dyDescent="0.25">
      <c r="AQ372" s="7">
        <v>357</v>
      </c>
      <c r="AR372" s="58">
        <f t="shared" si="99"/>
        <v>178.5</v>
      </c>
      <c r="AS372" s="58">
        <f t="shared" si="100"/>
        <v>-75352.493971228279</v>
      </c>
      <c r="AT372" s="58">
        <f t="shared" si="101"/>
        <v>47889.205037684027</v>
      </c>
      <c r="AU372" s="58">
        <f t="shared" si="102"/>
        <v>-549.79351272877068</v>
      </c>
      <c r="AV372" s="58">
        <f t="shared" si="103"/>
        <v>-983.01980913778539</v>
      </c>
      <c r="AW372" s="58">
        <f t="shared" si="89"/>
        <v>119.85615179248438</v>
      </c>
      <c r="AX372" s="58">
        <f t="shared" si="104"/>
        <v>-79.500853374351891</v>
      </c>
      <c r="AY372" s="33">
        <f t="shared" si="90"/>
        <v>44.339006607415662</v>
      </c>
      <c r="AZ372" s="33">
        <f t="shared" si="91"/>
        <v>-18.781021391789714</v>
      </c>
      <c r="BA372" s="39">
        <f t="shared" si="92"/>
        <v>32.406266951474443</v>
      </c>
      <c r="BB372" s="39">
        <f t="shared" si="93"/>
        <v>-22.182337324648149</v>
      </c>
      <c r="BC372" s="45">
        <f t="shared" si="94"/>
        <v>43.110878233594271</v>
      </c>
      <c r="BD372" s="45">
        <f t="shared" si="95"/>
        <v>-38.537494657914031</v>
      </c>
      <c r="BE372" s="64">
        <f t="shared" si="96"/>
        <v>10723385990.109205</v>
      </c>
      <c r="BF372" s="65">
        <f t="shared" si="97"/>
        <v>4499490447.2225237</v>
      </c>
      <c r="BG372" s="66">
        <f t="shared" si="98"/>
        <v>8904525518.2435722</v>
      </c>
    </row>
    <row r="373" spans="43:59" x14ac:dyDescent="0.25">
      <c r="AQ373" s="7">
        <v>358</v>
      </c>
      <c r="AR373" s="58">
        <f t="shared" si="99"/>
        <v>179</v>
      </c>
      <c r="AS373" s="58">
        <f t="shared" si="100"/>
        <v>-75612.408708618605</v>
      </c>
      <c r="AT373" s="58">
        <f t="shared" si="101"/>
        <v>47387.75752644334</v>
      </c>
      <c r="AU373" s="58">
        <f t="shared" si="102"/>
        <v>-489.86543683252847</v>
      </c>
      <c r="AV373" s="58">
        <f t="shared" si="103"/>
        <v>-1022.7702358249613</v>
      </c>
      <c r="AW373" s="58">
        <f t="shared" si="89"/>
        <v>120.51598069963543</v>
      </c>
      <c r="AX373" s="58">
        <f t="shared" si="104"/>
        <v>-78.874528971503281</v>
      </c>
      <c r="AY373" s="33">
        <f t="shared" si="90"/>
        <v>44.402134151784232</v>
      </c>
      <c r="AZ373" s="33">
        <f t="shared" si="91"/>
        <v>-18.523762601781723</v>
      </c>
      <c r="BA373" s="39">
        <f t="shared" si="92"/>
        <v>32.654294380695319</v>
      </c>
      <c r="BB373" s="39">
        <f t="shared" si="93"/>
        <v>-21.953209164150657</v>
      </c>
      <c r="BC373" s="45">
        <f t="shared" si="94"/>
        <v>43.459552167155884</v>
      </c>
      <c r="BD373" s="45">
        <f t="shared" si="95"/>
        <v>-38.397557205570905</v>
      </c>
      <c r="BE373" s="64">
        <f t="shared" si="96"/>
        <v>10732765899.552263</v>
      </c>
      <c r="BF373" s="65">
        <f t="shared" si="97"/>
        <v>4490584415.2305584</v>
      </c>
      <c r="BG373" s="66">
        <f t="shared" si="98"/>
        <v>8878344552.8112831</v>
      </c>
    </row>
    <row r="374" spans="43:59" x14ac:dyDescent="0.25">
      <c r="AQ374" s="7">
        <v>359</v>
      </c>
      <c r="AR374" s="58">
        <f t="shared" si="99"/>
        <v>179.5</v>
      </c>
      <c r="AS374" s="58">
        <f t="shared" si="100"/>
        <v>-75842.276929447413</v>
      </c>
      <c r="AT374" s="58">
        <f t="shared" si="101"/>
        <v>46866.513092409419</v>
      </c>
      <c r="AU374" s="58">
        <f t="shared" si="102"/>
        <v>-429.60744648271077</v>
      </c>
      <c r="AV374" s="58">
        <f t="shared" si="103"/>
        <v>-1062.2075003107129</v>
      </c>
      <c r="AW374" s="58">
        <f t="shared" si="89"/>
        <v>121.26081935643012</v>
      </c>
      <c r="AX374" s="58">
        <f t="shared" si="104"/>
        <v>-78.298782576421843</v>
      </c>
      <c r="AY374" s="33">
        <f t="shared" si="90"/>
        <v>44.492258379854739</v>
      </c>
      <c r="AZ374" s="33">
        <f t="shared" si="91"/>
        <v>-18.274869171886994</v>
      </c>
      <c r="BA374" s="39">
        <f t="shared" si="92"/>
        <v>32.931545986002767</v>
      </c>
      <c r="BB374" s="39">
        <f t="shared" si="93"/>
        <v>-21.741077513371149</v>
      </c>
      <c r="BC374" s="45">
        <f t="shared" si="94"/>
        <v>43.837014990572605</v>
      </c>
      <c r="BD374" s="45">
        <f t="shared" si="95"/>
        <v>-38.282835891163707</v>
      </c>
      <c r="BE374" s="64">
        <f t="shared" si="96"/>
        <v>10735464400.075729</v>
      </c>
      <c r="BF374" s="65">
        <f t="shared" si="97"/>
        <v>4477499680.2578897</v>
      </c>
      <c r="BG374" s="66">
        <f t="shared" si="98"/>
        <v>8846093642.7617836</v>
      </c>
    </row>
    <row r="375" spans="43:59" x14ac:dyDescent="0.25">
      <c r="AQ375" s="7">
        <v>360</v>
      </c>
      <c r="AR375" s="58">
        <f t="shared" si="99"/>
        <v>180</v>
      </c>
      <c r="AS375" s="58">
        <f t="shared" si="100"/>
        <v>-76041.923050269223</v>
      </c>
      <c r="AT375" s="58">
        <f t="shared" si="101"/>
        <v>46325.621994432011</v>
      </c>
      <c r="AU375" s="58">
        <f t="shared" si="102"/>
        <v>-368.9770368044957</v>
      </c>
      <c r="AV375" s="58">
        <f t="shared" si="103"/>
        <v>-1101.3568915989238</v>
      </c>
      <c r="AW375" s="58">
        <f t="shared" si="89"/>
        <v>122.09309986169214</v>
      </c>
      <c r="AX375" s="58">
        <f t="shared" si="104"/>
        <v>-77.772060370560155</v>
      </c>
      <c r="AY375" s="33">
        <f t="shared" si="90"/>
        <v>44.609542787633046</v>
      </c>
      <c r="AZ375" s="33">
        <f t="shared" si="91"/>
        <v>-18.033721010673016</v>
      </c>
      <c r="BA375" s="39">
        <f t="shared" si="92"/>
        <v>33.239126069534692</v>
      </c>
      <c r="BB375" s="39">
        <f t="shared" si="93"/>
        <v>-21.545155185772796</v>
      </c>
      <c r="BC375" s="45">
        <f t="shared" si="94"/>
        <v>44.244431004524401</v>
      </c>
      <c r="BD375" s="45">
        <f t="shared" si="95"/>
        <v>-38.193184174114336</v>
      </c>
      <c r="BE375" s="64">
        <f t="shared" si="96"/>
        <v>10731479906.448357</v>
      </c>
      <c r="BF375" s="65">
        <f t="shared" si="97"/>
        <v>4460247952.4546595</v>
      </c>
      <c r="BG375" s="66">
        <f t="shared" si="98"/>
        <v>8807786743.6843357</v>
      </c>
    </row>
    <row r="376" spans="43:59" x14ac:dyDescent="0.25">
      <c r="AQ376" s="7">
        <v>361</v>
      </c>
      <c r="AR376" s="58">
        <f t="shared" si="99"/>
        <v>180.5</v>
      </c>
      <c r="AS376" s="58">
        <f t="shared" si="100"/>
        <v>-76211.14993118876</v>
      </c>
      <c r="AT376" s="58">
        <f t="shared" si="101"/>
        <v>45765.222041086228</v>
      </c>
      <c r="AU376" s="58">
        <f t="shared" si="102"/>
        <v>-307.93048687364961</v>
      </c>
      <c r="AV376" s="58">
        <f t="shared" si="103"/>
        <v>-1140.2429217842039</v>
      </c>
      <c r="AW376" s="58">
        <f t="shared" si="89"/>
        <v>123.01561326342011</v>
      </c>
      <c r="AX376" s="58">
        <f t="shared" si="104"/>
        <v>-77.292969098904933</v>
      </c>
      <c r="AY376" s="33">
        <f t="shared" si="90"/>
        <v>44.754242910074467</v>
      </c>
      <c r="AZ376" s="33">
        <f t="shared" si="91"/>
        <v>-17.799714933867115</v>
      </c>
      <c r="BA376" s="39">
        <f t="shared" si="92"/>
        <v>33.578285213409494</v>
      </c>
      <c r="BB376" s="39">
        <f t="shared" si="93"/>
        <v>-21.364708387689014</v>
      </c>
      <c r="BC376" s="45">
        <f t="shared" si="94"/>
        <v>44.683085139936139</v>
      </c>
      <c r="BD376" s="45">
        <f t="shared" si="95"/>
        <v>-38.128545777348805</v>
      </c>
      <c r="BE376" s="64">
        <f t="shared" si="96"/>
        <v>10720812588.935314</v>
      </c>
      <c r="BF376" s="65">
        <f t="shared" si="97"/>
        <v>4438844484.2347822</v>
      </c>
      <c r="BG376" s="66">
        <f t="shared" si="98"/>
        <v>8763440084.2247581</v>
      </c>
    </row>
    <row r="377" spans="43:59" x14ac:dyDescent="0.25">
      <c r="AQ377" s="7">
        <v>362</v>
      </c>
      <c r="AR377" s="58">
        <f t="shared" si="99"/>
        <v>181</v>
      </c>
      <c r="AS377" s="58">
        <f t="shared" si="100"/>
        <v>-76349.738222967644</v>
      </c>
      <c r="AT377" s="58">
        <f t="shared" si="101"/>
        <v>45185.438959056766</v>
      </c>
      <c r="AU377" s="58">
        <f t="shared" si="102"/>
        <v>-246.42268024193956</v>
      </c>
      <c r="AV377" s="58">
        <f t="shared" si="103"/>
        <v>-1178.8894063336563</v>
      </c>
      <c r="AW377" s="58">
        <f t="shared" si="89"/>
        <v>124.03153415069097</v>
      </c>
      <c r="AX377" s="58">
        <f t="shared" si="104"/>
        <v>-76.860265273001033</v>
      </c>
      <c r="AY377" s="33">
        <f t="shared" si="90"/>
        <v>44.926707878442457</v>
      </c>
      <c r="AZ377" s="33">
        <f t="shared" si="91"/>
        <v>-17.572260585351795</v>
      </c>
      <c r="BA377" s="39">
        <f t="shared" si="92"/>
        <v>33.950432726965047</v>
      </c>
      <c r="BB377" s="39">
        <f t="shared" si="93"/>
        <v>-21.199049294985006</v>
      </c>
      <c r="BC377" s="45">
        <f t="shared" si="94"/>
        <v>45.154393545283469</v>
      </c>
      <c r="BD377" s="45">
        <f t="shared" si="95"/>
        <v>-38.088955392664232</v>
      </c>
      <c r="BE377" s="64">
        <f t="shared" si="96"/>
        <v>10703464365.171185</v>
      </c>
      <c r="BF377" s="65">
        <f t="shared" si="97"/>
        <v>4413308112.5384903</v>
      </c>
      <c r="BG377" s="66">
        <f t="shared" si="98"/>
        <v>8713072207.180357</v>
      </c>
    </row>
    <row r="378" spans="43:59" x14ac:dyDescent="0.25">
      <c r="AQ378" s="7">
        <v>363</v>
      </c>
      <c r="AR378" s="58">
        <f t="shared" si="99"/>
        <v>181.5</v>
      </c>
      <c r="AS378" s="58">
        <f t="shared" si="100"/>
        <v>-76457.44562131977</v>
      </c>
      <c r="AT378" s="58">
        <f t="shared" si="101"/>
        <v>44586.386722730807</v>
      </c>
      <c r="AU378" s="58">
        <f t="shared" si="102"/>
        <v>-184.40691316659408</v>
      </c>
      <c r="AV378" s="58">
        <f t="shared" si="103"/>
        <v>-1217.3195389701568</v>
      </c>
      <c r="AW378" s="58">
        <f t="shared" si="89"/>
        <v>125.14444928963889</v>
      </c>
      <c r="AX378" s="58">
        <f t="shared" si="104"/>
        <v>-76.472845338438702</v>
      </c>
      <c r="AY378" s="33">
        <f t="shared" si="90"/>
        <v>45.127382755079744</v>
      </c>
      <c r="AZ378" s="33">
        <f t="shared" si="91"/>
        <v>-17.350776374588818</v>
      </c>
      <c r="BA378" s="39">
        <f t="shared" si="92"/>
        <v>34.357150970957214</v>
      </c>
      <c r="BB378" s="39">
        <f t="shared" si="93"/>
        <v>-21.047528755428566</v>
      </c>
      <c r="BC378" s="45">
        <f t="shared" si="94"/>
        <v>45.659915563601928</v>
      </c>
      <c r="BD378" s="45">
        <f t="shared" si="95"/>
        <v>-38.074540208421325</v>
      </c>
      <c r="BE378" s="64">
        <f t="shared" si="96"/>
        <v>10679438895.937803</v>
      </c>
      <c r="BF378" s="65">
        <f t="shared" si="97"/>
        <v>4383661312.6185684</v>
      </c>
      <c r="BG378" s="66">
        <f t="shared" si="98"/>
        <v>8656704017.3947029</v>
      </c>
    </row>
    <row r="379" spans="43:59" x14ac:dyDescent="0.25">
      <c r="AQ379" s="7">
        <v>364</v>
      </c>
      <c r="AR379" s="58">
        <f t="shared" si="99"/>
        <v>182</v>
      </c>
      <c r="AS379" s="58">
        <f t="shared" si="100"/>
        <v>-76534.006021741865</v>
      </c>
      <c r="AT379" s="58">
        <f t="shared" si="101"/>
        <v>43968.167847578421</v>
      </c>
      <c r="AU379" s="58">
        <f t="shared" si="102"/>
        <v>-121.83468852177464</v>
      </c>
      <c r="AV379" s="58">
        <f t="shared" si="103"/>
        <v>-1255.5559616393762</v>
      </c>
      <c r="AW379" s="58">
        <f t="shared" si="89"/>
        <v>126.35839079361261</v>
      </c>
      <c r="AX379" s="58">
        <f t="shared" si="104"/>
        <v>-76.129736637003873</v>
      </c>
      <c r="AY379" s="33">
        <f t="shared" si="90"/>
        <v>45.356811676498708</v>
      </c>
      <c r="AZ379" s="33">
        <f t="shared" si="91"/>
        <v>-17.134685375814815</v>
      </c>
      <c r="BA379" s="39">
        <f t="shared" si="92"/>
        <v>34.800211823230256</v>
      </c>
      <c r="BB379" s="39">
        <f t="shared" si="93"/>
        <v>-20.909528963649887</v>
      </c>
      <c r="BC379" s="45">
        <f t="shared" si="94"/>
        <v>46.201367293883642</v>
      </c>
      <c r="BD379" s="45">
        <f t="shared" si="95"/>
        <v>-38.085522297539164</v>
      </c>
      <c r="BE379" s="64">
        <f t="shared" si="96"/>
        <v>10648741584.764847</v>
      </c>
      <c r="BF379" s="65">
        <f t="shared" si="97"/>
        <v>4349930263.7876053</v>
      </c>
      <c r="BG379" s="66">
        <f t="shared" si="98"/>
        <v>8594358836.8187828</v>
      </c>
    </row>
    <row r="380" spans="43:59" x14ac:dyDescent="0.25">
      <c r="AQ380" s="7">
        <v>365</v>
      </c>
      <c r="AR380" s="58">
        <f t="shared" si="99"/>
        <v>182.5</v>
      </c>
      <c r="AS380" s="58">
        <f t="shared" si="100"/>
        <v>-76579.128567153544</v>
      </c>
      <c r="AT380" s="58">
        <f t="shared" si="101"/>
        <v>43330.87364967911</v>
      </c>
      <c r="AU380" s="58">
        <f t="shared" si="102"/>
        <v>-58.655493124968331</v>
      </c>
      <c r="AV380" s="58">
        <f t="shared" si="103"/>
        <v>-1293.6208299578782</v>
      </c>
      <c r="AW380" s="58">
        <f t="shared" si="89"/>
        <v>127.67787441013746</v>
      </c>
      <c r="AX380" s="58">
        <f t="shared" si="104"/>
        <v>-75.830088994588237</v>
      </c>
      <c r="AY380" s="33">
        <f t="shared" si="90"/>
        <v>45.615641848320912</v>
      </c>
      <c r="AZ380" s="33">
        <f t="shared" si="91"/>
        <v>-16.923411132041171</v>
      </c>
      <c r="BA380" s="39">
        <f t="shared" si="92"/>
        <v>35.28159559750528</v>
      </c>
      <c r="BB380" s="39">
        <f t="shared" si="93"/>
        <v>-20.784455943392153</v>
      </c>
      <c r="BC380" s="45">
        <f t="shared" si="94"/>
        <v>46.780636964311277</v>
      </c>
      <c r="BD380" s="45">
        <f t="shared" si="95"/>
        <v>-38.122221919154917</v>
      </c>
      <c r="BE380" s="64">
        <f t="shared" si="96"/>
        <v>10611379581.290043</v>
      </c>
      <c r="BF380" s="65">
        <f t="shared" si="97"/>
        <v>4312144927.669364</v>
      </c>
      <c r="BG380" s="66">
        <f t="shared" si="98"/>
        <v>8526062467.1679258</v>
      </c>
    </row>
    <row r="381" spans="43:59" x14ac:dyDescent="0.25">
      <c r="AQ381" s="7">
        <v>366</v>
      </c>
      <c r="AR381" s="58">
        <f t="shared" si="99"/>
        <v>183</v>
      </c>
      <c r="AS381" s="58">
        <f t="shared" si="100"/>
        <v>-76592.496579414757</v>
      </c>
      <c r="AT381" s="58">
        <f t="shared" si="101"/>
        <v>42674.584473575851</v>
      </c>
      <c r="AU381" s="58">
        <f t="shared" si="102"/>
        <v>5.1834440801004007</v>
      </c>
      <c r="AV381" s="58">
        <f t="shared" si="103"/>
        <v>-1331.5358744551722</v>
      </c>
      <c r="AW381" s="58">
        <f t="shared" si="89"/>
        <v>129.10794361631582</v>
      </c>
      <c r="AX381" s="58">
        <f t="shared" si="104"/>
        <v>-75.573166761111139</v>
      </c>
      <c r="AY381" s="33">
        <f t="shared" si="90"/>
        <v>45.904628449199265</v>
      </c>
      <c r="AZ381" s="33">
        <f t="shared" si="91"/>
        <v>-16.716373303250798</v>
      </c>
      <c r="BA381" s="39">
        <f t="shared" si="92"/>
        <v>35.803512783272097</v>
      </c>
      <c r="BB381" s="39">
        <f t="shared" si="93"/>
        <v>-20.67173165343813</v>
      </c>
      <c r="BC381" s="45">
        <f t="shared" si="94"/>
        <v>47.399802383844445</v>
      </c>
      <c r="BD381" s="45">
        <f t="shared" si="95"/>
        <v>-38.185061804422212</v>
      </c>
      <c r="BE381" s="64">
        <f t="shared" si="96"/>
        <v>10567361788.332975</v>
      </c>
      <c r="BF381" s="65">
        <f t="shared" si="97"/>
        <v>4270339139.6119151</v>
      </c>
      <c r="BG381" s="66">
        <f t="shared" si="98"/>
        <v>8451843260.6731501</v>
      </c>
    </row>
    <row r="382" spans="43:59" x14ac:dyDescent="0.25">
      <c r="AQ382" s="7">
        <v>367</v>
      </c>
      <c r="AR382" s="58">
        <f t="shared" si="99"/>
        <v>183.5</v>
      </c>
      <c r="AS382" s="58">
        <f t="shared" si="100"/>
        <v>-76573.76636442267</v>
      </c>
      <c r="AT382" s="58">
        <f t="shared" si="101"/>
        <v>41999.36989050312</v>
      </c>
      <c r="AU382" s="58">
        <f t="shared" si="102"/>
        <v>69.737415888258312</v>
      </c>
      <c r="AV382" s="58">
        <f t="shared" si="103"/>
        <v>-1369.3224578357278</v>
      </c>
      <c r="AW382" s="58">
        <f t="shared" si="89"/>
        <v>130.65422034344198</v>
      </c>
      <c r="AX382" s="58">
        <f t="shared" si="104"/>
        <v>-75.358341117313401</v>
      </c>
      <c r="AY382" s="33">
        <f t="shared" si="90"/>
        <v>46.224640515818614</v>
      </c>
      <c r="AZ382" s="33">
        <f t="shared" si="91"/>
        <v>-16.512983093079939</v>
      </c>
      <c r="BA382" s="39">
        <f t="shared" si="92"/>
        <v>36.368429042261454</v>
      </c>
      <c r="BB382" s="39">
        <f t="shared" si="93"/>
        <v>-20.570785507957517</v>
      </c>
      <c r="BC382" s="45">
        <f t="shared" si="94"/>
        <v>48.061150785361903</v>
      </c>
      <c r="BD382" s="45">
        <f t="shared" si="95"/>
        <v>-38.274572516275946</v>
      </c>
      <c r="BE382" s="64">
        <f t="shared" si="96"/>
        <v>10516698872.651848</v>
      </c>
      <c r="BF382" s="65">
        <f t="shared" si="97"/>
        <v>4224550714.0455198</v>
      </c>
      <c r="BG382" s="66">
        <f t="shared" si="98"/>
        <v>8371732199.503355</v>
      </c>
    </row>
    <row r="383" spans="43:59" x14ac:dyDescent="0.25">
      <c r="AQ383" s="7">
        <v>368</v>
      </c>
      <c r="AR383" s="58">
        <f t="shared" si="99"/>
        <v>184</v>
      </c>
      <c r="AS383" s="58">
        <f t="shared" si="100"/>
        <v>-76522.565878935609</v>
      </c>
      <c r="AT383" s="58">
        <f t="shared" si="101"/>
        <v>41305.288868945587</v>
      </c>
      <c r="AU383" s="58">
        <f t="shared" si="102"/>
        <v>135.0645260599793</v>
      </c>
      <c r="AV383" s="58">
        <f t="shared" si="103"/>
        <v>-1407.0016283943846</v>
      </c>
      <c r="AW383" s="58">
        <f t="shared" si="89"/>
        <v>132.32296330546507</v>
      </c>
      <c r="AX383" s="58">
        <f t="shared" si="104"/>
        <v>-75.185082444231455</v>
      </c>
      <c r="AY383" s="33">
        <f t="shared" si="90"/>
        <v>46.576667897802423</v>
      </c>
      <c r="AZ383" s="33">
        <f t="shared" si="91"/>
        <v>-16.312638381505884</v>
      </c>
      <c r="BA383" s="39">
        <f t="shared" si="92"/>
        <v>36.979093978094376</v>
      </c>
      <c r="BB383" s="39">
        <f t="shared" si="93"/>
        <v>-20.481045067480764</v>
      </c>
      <c r="BC383" s="45">
        <f t="shared" si="94"/>
        <v>48.767201429568289</v>
      </c>
      <c r="BD383" s="45">
        <f t="shared" si="95"/>
        <v>-38.391398995244806</v>
      </c>
      <c r="BE383" s="64">
        <f t="shared" si="96"/>
        <v>10459403279.366322</v>
      </c>
      <c r="BF383" s="65">
        <f t="shared" si="97"/>
        <v>4174821564.7067447</v>
      </c>
      <c r="BG383" s="66">
        <f t="shared" si="98"/>
        <v>8285762984.5220919</v>
      </c>
    </row>
    <row r="384" spans="43:59" x14ac:dyDescent="0.25">
      <c r="AQ384" s="7">
        <v>369</v>
      </c>
      <c r="AR384" s="58">
        <f t="shared" si="99"/>
        <v>184.5</v>
      </c>
      <c r="AS384" s="58">
        <f t="shared" si="100"/>
        <v>-76438.493245492427</v>
      </c>
      <c r="AT384" s="58">
        <f t="shared" si="101"/>
        <v>40592.389919442867</v>
      </c>
      <c r="AU384" s="58">
        <f t="shared" si="102"/>
        <v>201.22600771271183</v>
      </c>
      <c r="AV384" s="58">
        <f t="shared" si="103"/>
        <v>-1444.5941696165003</v>
      </c>
      <c r="AW384" s="58">
        <f t="shared" si="89"/>
        <v>134.12113508997032</v>
      </c>
      <c r="AX384" s="58">
        <f t="shared" si="104"/>
        <v>-75.052952522746423</v>
      </c>
      <c r="AY384" s="33">
        <f t="shared" si="90"/>
        <v>46.961829390261393</v>
      </c>
      <c r="AZ384" s="33">
        <f t="shared" si="91"/>
        <v>-16.114718482347509</v>
      </c>
      <c r="BA384" s="39">
        <f t="shared" si="92"/>
        <v>37.638574293456379</v>
      </c>
      <c r="BB384" s="39">
        <f t="shared" si="93"/>
        <v>-20.401925611104076</v>
      </c>
      <c r="BC384" s="45">
        <f t="shared" si="94"/>
        <v>49.520731406252551</v>
      </c>
      <c r="BD384" s="45">
        <f t="shared" si="95"/>
        <v>-38.536308429294834</v>
      </c>
      <c r="BE384" s="64">
        <f t="shared" si="96"/>
        <v>10395489250.041332</v>
      </c>
      <c r="BF384" s="65">
        <f t="shared" si="97"/>
        <v>4121197840.8047242</v>
      </c>
      <c r="BG384" s="66">
        <f t="shared" si="98"/>
        <v>8193972134.1416397</v>
      </c>
    </row>
    <row r="385" spans="43:59" x14ac:dyDescent="0.25">
      <c r="AQ385" s="7">
        <v>370</v>
      </c>
      <c r="AR385" s="58">
        <f t="shared" si="99"/>
        <v>185</v>
      </c>
      <c r="AS385" s="58">
        <f t="shared" si="100"/>
        <v>-76321.115099749819</v>
      </c>
      <c r="AT385" s="58">
        <f t="shared" si="101"/>
        <v>39860.711215569274</v>
      </c>
      <c r="AU385" s="58">
        <f t="shared" si="102"/>
        <v>268.286575257697</v>
      </c>
      <c r="AV385" s="58">
        <f t="shared" si="103"/>
        <v>-1482.1206458778736</v>
      </c>
      <c r="AW385" s="58">
        <f t="shared" si="89"/>
        <v>136.05647939170865</v>
      </c>
      <c r="AX385" s="58">
        <f t="shared" si="104"/>
        <v>-74.961596290693222</v>
      </c>
      <c r="AY385" s="33">
        <f t="shared" si="90"/>
        <v>47.381382173441146</v>
      </c>
      <c r="AZ385" s="33">
        <f t="shared" si="91"/>
        <v>-15.918578433413852</v>
      </c>
      <c r="BA385" s="39">
        <f t="shared" si="92"/>
        <v>38.350292067358239</v>
      </c>
      <c r="BB385" s="39">
        <f t="shared" si="93"/>
        <v>-20.332818241043817</v>
      </c>
      <c r="BC385" s="45">
        <f t="shared" si="94"/>
        <v>50.324805150909285</v>
      </c>
      <c r="BD385" s="45">
        <f t="shared" si="95"/>
        <v>-38.710199616235556</v>
      </c>
      <c r="BE385" s="64">
        <f t="shared" si="96"/>
        <v>10324972844.436722</v>
      </c>
      <c r="BF385" s="65">
        <f t="shared" si="97"/>
        <v>4063730080.3788919</v>
      </c>
      <c r="BG385" s="66">
        <f t="shared" si="98"/>
        <v>8096399094.1498508</v>
      </c>
    </row>
    <row r="386" spans="43:59" x14ac:dyDescent="0.25">
      <c r="AQ386" s="7">
        <v>371</v>
      </c>
      <c r="AR386" s="58">
        <f t="shared" si="99"/>
        <v>185.5</v>
      </c>
      <c r="AS386" s="58">
        <f t="shared" si="100"/>
        <v>-76169.964752197004</v>
      </c>
      <c r="AT386" s="58">
        <f t="shared" si="101"/>
        <v>39110.280693093999</v>
      </c>
      <c r="AU386" s="58">
        <f t="shared" si="102"/>
        <v>336.31481495355132</v>
      </c>
      <c r="AV386" s="58">
        <f t="shared" si="103"/>
        <v>-1519.6014440232202</v>
      </c>
      <c r="AW386" s="58">
        <f t="shared" si="89"/>
        <v>138.13761003586347</v>
      </c>
      <c r="AX386" s="58">
        <f t="shared" si="104"/>
        <v>-74.91073283044723</v>
      </c>
      <c r="AY386" s="33">
        <f t="shared" si="90"/>
        <v>47.836732714008249</v>
      </c>
      <c r="AZ386" s="33">
        <f t="shared" si="91"/>
        <v>-15.723542713430895</v>
      </c>
      <c r="BA386" s="39">
        <f t="shared" si="92"/>
        <v>39.118069028433332</v>
      </c>
      <c r="BB386" s="39">
        <f t="shared" si="93"/>
        <v>-20.273076093482523</v>
      </c>
      <c r="BC386" s="45">
        <f t="shared" si="94"/>
        <v>51.182808293421871</v>
      </c>
      <c r="BD386" s="45">
        <f t="shared" si="95"/>
        <v>-38.914114023533813</v>
      </c>
      <c r="BE386" s="64">
        <f t="shared" si="96"/>
        <v>10247871965.935005</v>
      </c>
      <c r="BF386" s="65">
        <f t="shared" si="97"/>
        <v>4002473382.2937751</v>
      </c>
      <c r="BG386" s="66">
        <f t="shared" si="98"/>
        <v>7993086359.5143852</v>
      </c>
    </row>
    <row r="387" spans="43:59" x14ac:dyDescent="0.25">
      <c r="AQ387" s="7">
        <v>372</v>
      </c>
      <c r="AR387" s="58">
        <f t="shared" si="99"/>
        <v>186</v>
      </c>
      <c r="AS387" s="58">
        <f t="shared" si="100"/>
        <v>-75984.540143465754</v>
      </c>
      <c r="AT387" s="58">
        <f t="shared" si="101"/>
        <v>38341.116129478578</v>
      </c>
      <c r="AU387" s="58">
        <f t="shared" si="102"/>
        <v>405.38361997148309</v>
      </c>
      <c r="AV387" s="58">
        <f t="shared" si="103"/>
        <v>-1557.0568104384438</v>
      </c>
      <c r="AW387" s="58">
        <f t="shared" si="89"/>
        <v>140.37411376230415</v>
      </c>
      <c r="AX387" s="58">
        <f t="shared" si="104"/>
        <v>-74.900145186686132</v>
      </c>
      <c r="AY387" s="33">
        <f t="shared" si="90"/>
        <v>48.3294493118497</v>
      </c>
      <c r="AZ387" s="33">
        <f t="shared" si="91"/>
        <v>-15.528898262914423</v>
      </c>
      <c r="BA387" s="39">
        <f t="shared" si="92"/>
        <v>39.94617787476507</v>
      </c>
      <c r="BB387" s="39">
        <f t="shared" si="93"/>
        <v>-20.221998129775834</v>
      </c>
      <c r="BC387" s="45">
        <f t="shared" si="94"/>
        <v>52.098486575689378</v>
      </c>
      <c r="BD387" s="45">
        <f t="shared" si="95"/>
        <v>-39.149248793995866</v>
      </c>
      <c r="BE387" s="64">
        <f t="shared" si="96"/>
        <v>10164206390.664574</v>
      </c>
      <c r="BF387" s="65">
        <f t="shared" si="97"/>
        <v>3937487598.5399189</v>
      </c>
      <c r="BG387" s="66">
        <f t="shared" si="98"/>
        <v>7884079609.3178205</v>
      </c>
    </row>
    <row r="388" spans="43:59" x14ac:dyDescent="0.25">
      <c r="AQ388" s="7">
        <v>373</v>
      </c>
      <c r="AR388" s="58">
        <f t="shared" si="99"/>
        <v>186.5</v>
      </c>
      <c r="AS388" s="58">
        <f t="shared" si="100"/>
        <v>-75764.301569259726</v>
      </c>
      <c r="AT388" s="58">
        <f t="shared" si="101"/>
        <v>37553.225206111019</v>
      </c>
      <c r="AU388" s="58">
        <f t="shared" si="102"/>
        <v>475.57067685263519</v>
      </c>
      <c r="AV388" s="58">
        <f t="shared" si="103"/>
        <v>-1594.5068830317869</v>
      </c>
      <c r="AW388" s="58">
        <f t="shared" si="89"/>
        <v>142.77666913657856</v>
      </c>
      <c r="AX388" s="58">
        <f t="shared" si="104"/>
        <v>-74.929668516514141</v>
      </c>
      <c r="AY388" s="33">
        <f t="shared" si="90"/>
        <v>48.861276510715498</v>
      </c>
      <c r="AZ388" s="33">
        <f t="shared" si="91"/>
        <v>-15.333886665195115</v>
      </c>
      <c r="BA388" s="39">
        <f t="shared" si="92"/>
        <v>40.839401903869685</v>
      </c>
      <c r="BB388" s="39">
        <f t="shared" si="93"/>
        <v>-20.178809852798423</v>
      </c>
      <c r="BC388" s="45">
        <f t="shared" si="94"/>
        <v>53.075990721993385</v>
      </c>
      <c r="BD388" s="45">
        <f t="shared" si="95"/>
        <v>-39.416971998520594</v>
      </c>
      <c r="BE388" s="64">
        <f t="shared" si="96"/>
        <v>10073997800.337347</v>
      </c>
      <c r="BF388" s="65">
        <f t="shared" si="97"/>
        <v>3868837548.7660146</v>
      </c>
      <c r="BG388" s="66">
        <f t="shared" si="98"/>
        <v>7769427856.1493568</v>
      </c>
    </row>
    <row r="389" spans="43:59" x14ac:dyDescent="0.25">
      <c r="AQ389" s="7">
        <v>374</v>
      </c>
      <c r="AR389" s="58">
        <f t="shared" si="99"/>
        <v>187</v>
      </c>
      <c r="AS389" s="58">
        <f t="shared" si="100"/>
        <v>-75508.669147191336</v>
      </c>
      <c r="AT389" s="58">
        <f t="shared" si="101"/>
        <v>36746.605556030561</v>
      </c>
      <c r="AU389" s="58">
        <f t="shared" si="102"/>
        <v>546.95901142092453</v>
      </c>
      <c r="AV389" s="58">
        <f t="shared" si="103"/>
        <v>-1631.9717172900439</v>
      </c>
      <c r="AW389" s="58">
        <f t="shared" si="89"/>
        <v>145.35718443582809</v>
      </c>
      <c r="AX389" s="58">
        <f t="shared" si="104"/>
        <v>-74.999175944919386</v>
      </c>
      <c r="AY389" s="33">
        <f t="shared" si="90"/>
        <v>49.434151631865376</v>
      </c>
      <c r="AZ389" s="33">
        <f t="shared" si="91"/>
        <v>-15.137695317961489</v>
      </c>
      <c r="BA389" s="39">
        <f t="shared" si="92"/>
        <v>41.80310447764829</v>
      </c>
      <c r="BB389" s="39">
        <f t="shared" si="93"/>
        <v>-20.142640125569784</v>
      </c>
      <c r="BC389" s="45">
        <f t="shared" si="94"/>
        <v>54.119928326314422</v>
      </c>
      <c r="BD389" s="45">
        <f t="shared" si="95"/>
        <v>-39.718840501388115</v>
      </c>
      <c r="BE389" s="64">
        <f t="shared" si="96"/>
        <v>9977269818.8176956</v>
      </c>
      <c r="BF389" s="65">
        <f t="shared" si="97"/>
        <v>3796593259.2622366</v>
      </c>
      <c r="BG389" s="66">
        <f t="shared" si="98"/>
        <v>7649183611.4795046</v>
      </c>
    </row>
    <row r="390" spans="43:59" x14ac:dyDescent="0.25">
      <c r="AQ390" s="7">
        <v>375</v>
      </c>
      <c r="AR390" s="58">
        <f t="shared" si="99"/>
        <v>187.5</v>
      </c>
      <c r="AS390" s="58">
        <f t="shared" si="100"/>
        <v>-75217.019993426395</v>
      </c>
      <c r="AT390" s="58">
        <f t="shared" si="101"/>
        <v>35921.244800392422</v>
      </c>
      <c r="AU390" s="58">
        <f t="shared" si="102"/>
        <v>619.63760363883853</v>
      </c>
      <c r="AV390" s="58">
        <f t="shared" si="103"/>
        <v>-1669.4713052625036</v>
      </c>
      <c r="AW390" s="58">
        <f t="shared" si="89"/>
        <v>148.12895795009939</v>
      </c>
      <c r="AX390" s="58">
        <f t="shared" si="104"/>
        <v>-75.108561327434444</v>
      </c>
      <c r="AY390" s="33">
        <f t="shared" si="90"/>
        <v>50.050223738510311</v>
      </c>
      <c r="AZ390" s="33">
        <f t="shared" si="91"/>
        <v>-14.939447393804379</v>
      </c>
      <c r="BA390" s="39">
        <f t="shared" si="92"/>
        <v>42.843310168221933</v>
      </c>
      <c r="BB390" s="39">
        <f t="shared" si="93"/>
        <v>-20.112493051269958</v>
      </c>
      <c r="BC390" s="45">
        <f t="shared" si="94"/>
        <v>55.235424043367146</v>
      </c>
      <c r="BD390" s="45">
        <f t="shared" si="95"/>
        <v>-40.0566208823601</v>
      </c>
      <c r="BE390" s="64">
        <f t="shared" si="96"/>
        <v>9874048052.4323959</v>
      </c>
      <c r="BF390" s="65">
        <f t="shared" si="97"/>
        <v>3720830228.9563212</v>
      </c>
      <c r="BG390" s="66">
        <f t="shared" si="98"/>
        <v>7523403068.7787342</v>
      </c>
    </row>
    <row r="391" spans="43:59" x14ac:dyDescent="0.25">
      <c r="AQ391" s="7">
        <v>376</v>
      </c>
      <c r="AR391" s="58">
        <f t="shared" si="99"/>
        <v>188</v>
      </c>
      <c r="AS391" s="58">
        <f t="shared" si="100"/>
        <v>-74888.685071863219</v>
      </c>
      <c r="AT391" s="58">
        <f t="shared" si="101"/>
        <v>35077.12057759524</v>
      </c>
      <c r="AU391" s="58">
        <f t="shared" si="102"/>
        <v>693.70208261388825</v>
      </c>
      <c r="AV391" s="58">
        <f t="shared" si="103"/>
        <v>-1707.0255859262209</v>
      </c>
      <c r="AW391" s="58">
        <f t="shared" si="89"/>
        <v>151.10686486979961</v>
      </c>
      <c r="AX391" s="58">
        <f t="shared" si="104"/>
        <v>-75.257717895148389</v>
      </c>
      <c r="AY391" s="33">
        <f t="shared" si="90"/>
        <v>50.711875397074529</v>
      </c>
      <c r="AZ391" s="33">
        <f t="shared" si="91"/>
        <v>-14.738190348849033</v>
      </c>
      <c r="BA391" s="39">
        <f t="shared" si="92"/>
        <v>43.966799826715452</v>
      </c>
      <c r="BB391" s="39">
        <f t="shared" si="93"/>
        <v>-20.08721358913964</v>
      </c>
      <c r="BC391" s="45">
        <f t="shared" si="94"/>
        <v>56.428189646009614</v>
      </c>
      <c r="BD391" s="45">
        <f t="shared" si="95"/>
        <v>-40.432313957159714</v>
      </c>
      <c r="BE391" s="64">
        <f t="shared" si="96"/>
        <v>9764360134.018465</v>
      </c>
      <c r="BF391" s="65">
        <f t="shared" si="97"/>
        <v>3641629725.3814311</v>
      </c>
      <c r="BG391" s="66">
        <f t="shared" si="98"/>
        <v>7392146306.4170895</v>
      </c>
    </row>
    <row r="392" spans="43:59" x14ac:dyDescent="0.25">
      <c r="AQ392" s="7">
        <v>377</v>
      </c>
      <c r="AR392" s="58">
        <f t="shared" si="99"/>
        <v>188.5</v>
      </c>
      <c r="AS392" s="58">
        <f t="shared" si="100"/>
        <v>-74522.945672447546</v>
      </c>
      <c r="AT392" s="58">
        <f t="shared" si="101"/>
        <v>34214.200569895234</v>
      </c>
      <c r="AU392" s="58">
        <f t="shared" si="102"/>
        <v>769.25551504878808</v>
      </c>
      <c r="AV392" s="58">
        <f t="shared" si="103"/>
        <v>-1744.654444873795</v>
      </c>
      <c r="AW392" s="58">
        <f t="shared" si="89"/>
        <v>154.30757583415439</v>
      </c>
      <c r="AX392" s="58">
        <f t="shared" si="104"/>
        <v>-75.44651145602964</v>
      </c>
      <c r="AY392" s="33">
        <f t="shared" si="90"/>
        <v>51.421747671489953</v>
      </c>
      <c r="AZ392" s="33">
        <f t="shared" si="91"/>
        <v>-14.532882689786321</v>
      </c>
      <c r="BA392" s="39">
        <f t="shared" si="92"/>
        <v>45.181222307298306</v>
      </c>
      <c r="BB392" s="39">
        <f t="shared" si="93"/>
        <v>-20.065445207499089</v>
      </c>
      <c r="BC392" s="45">
        <f t="shared" si="94"/>
        <v>57.70460585536614</v>
      </c>
      <c r="BD392" s="45">
        <f t="shared" si="95"/>
        <v>-40.848183558744225</v>
      </c>
      <c r="BE392" s="64">
        <f t="shared" si="96"/>
        <v>9648235770.6850605</v>
      </c>
      <c r="BF392" s="65">
        <f t="shared" si="97"/>
        <v>3559079114.0397811</v>
      </c>
      <c r="BG392" s="66">
        <f t="shared" si="98"/>
        <v>7255477512.7079687</v>
      </c>
    </row>
    <row r="393" spans="43:59" x14ac:dyDescent="0.25">
      <c r="AQ393" s="7">
        <v>378</v>
      </c>
      <c r="AR393" s="58">
        <f t="shared" si="99"/>
        <v>189</v>
      </c>
      <c r="AS393" s="58">
        <f t="shared" si="100"/>
        <v>-74119.029467943896</v>
      </c>
      <c r="AT393" s="58">
        <f t="shared" si="101"/>
        <v>33332.442533526329</v>
      </c>
      <c r="AU393" s="58">
        <f t="shared" si="102"/>
        <v>846.40930296586532</v>
      </c>
      <c r="AV393" s="58">
        <f t="shared" si="103"/>
        <v>-1782.3777006018099</v>
      </c>
      <c r="AW393" s="58">
        <f t="shared" si="89"/>
        <v>157.74981333955702</v>
      </c>
      <c r="AX393" s="58">
        <f t="shared" si="104"/>
        <v>-75.674746425046038</v>
      </c>
      <c r="AY393" s="33">
        <f t="shared" si="90"/>
        <v>52.182768871634046</v>
      </c>
      <c r="AZ393" s="33">
        <f t="shared" si="91"/>
        <v>-14.322378649005223</v>
      </c>
      <c r="BA393" s="39">
        <f t="shared" si="92"/>
        <v>46.495226187513772</v>
      </c>
      <c r="BB393" s="39">
        <f t="shared" si="93"/>
        <v>-20.045577383202275</v>
      </c>
      <c r="BC393" s="45">
        <f t="shared" si="94"/>
        <v>59.071818280409218</v>
      </c>
      <c r="BD393" s="45">
        <f t="shared" si="95"/>
        <v>-41.306790392838543</v>
      </c>
      <c r="BE393" s="64">
        <f t="shared" si="96"/>
        <v>9525706795.2356319</v>
      </c>
      <c r="BF393" s="65">
        <f t="shared" si="97"/>
        <v>3473272225.1324883</v>
      </c>
      <c r="BG393" s="66">
        <f t="shared" si="98"/>
        <v>7113465235.8471222</v>
      </c>
    </row>
    <row r="394" spans="43:59" x14ac:dyDescent="0.25">
      <c r="AQ394" s="7">
        <v>379</v>
      </c>
      <c r="AR394" s="58">
        <f t="shared" si="99"/>
        <v>189.5</v>
      </c>
      <c r="AS394" s="58">
        <f t="shared" si="100"/>
        <v>-73676.106089793524</v>
      </c>
      <c r="AT394" s="58">
        <f t="shared" si="101"/>
        <v>32431.794339922297</v>
      </c>
      <c r="AU394" s="58">
        <f t="shared" si="102"/>
        <v>925.28420963564383</v>
      </c>
      <c r="AV394" s="58">
        <f t="shared" si="103"/>
        <v>-1820.215073814333</v>
      </c>
      <c r="AW394" s="58">
        <f t="shared" si="89"/>
        <v>161.45465361012245</v>
      </c>
      <c r="AX394" s="58">
        <f t="shared" si="104"/>
        <v>-75.94212241818542</v>
      </c>
      <c r="AY394" s="33">
        <f t="shared" si="90"/>
        <v>52.998187680395823</v>
      </c>
      <c r="AZ394" s="33">
        <f t="shared" si="91"/>
        <v>-14.105410341988998</v>
      </c>
      <c r="BA394" s="39">
        <f t="shared" si="92"/>
        <v>47.918615583951748</v>
      </c>
      <c r="BB394" s="39">
        <f t="shared" si="93"/>
        <v>-20.025680104939521</v>
      </c>
      <c r="BC394" s="45">
        <f t="shared" si="94"/>
        <v>60.537850345774878</v>
      </c>
      <c r="BD394" s="45">
        <f t="shared" si="95"/>
        <v>-41.811031971256909</v>
      </c>
      <c r="BE394" s="64">
        <f t="shared" si="96"/>
        <v>9396807221.1544323</v>
      </c>
      <c r="BF394" s="65">
        <f t="shared" si="97"/>
        <v>3384309762.2713394</v>
      </c>
      <c r="BG394" s="66">
        <f t="shared" si="98"/>
        <v>6966182661.9612598</v>
      </c>
    </row>
    <row r="395" spans="43:59" x14ac:dyDescent="0.25">
      <c r="AQ395" s="7">
        <v>380</v>
      </c>
      <c r="AR395" s="58">
        <f t="shared" si="99"/>
        <v>190</v>
      </c>
      <c r="AS395" s="58">
        <f t="shared" si="100"/>
        <v>-73193.282153274442</v>
      </c>
      <c r="AT395" s="58">
        <f t="shared" si="101"/>
        <v>31512.194037712859</v>
      </c>
      <c r="AU395" s="58">
        <f t="shared" si="102"/>
        <v>1006.0115364407051</v>
      </c>
      <c r="AV395" s="58">
        <f t="shared" si="103"/>
        <v>-1858.1861350234258</v>
      </c>
      <c r="AW395" s="58">
        <f t="shared" si="89"/>
        <v>165.44588329213269</v>
      </c>
      <c r="AX395" s="58">
        <f t="shared" si="104"/>
        <v>-76.248178422514513</v>
      </c>
      <c r="AY395" s="33">
        <f t="shared" si="90"/>
        <v>53.871611410226592</v>
      </c>
      <c r="AZ395" s="33">
        <f t="shared" si="91"/>
        <v>-13.880566886560461</v>
      </c>
      <c r="BA395" s="39">
        <f t="shared" si="92"/>
        <v>49.462535108912817</v>
      </c>
      <c r="BB395" s="39">
        <f t="shared" si="93"/>
        <v>-20.003421668813445</v>
      </c>
      <c r="BC395" s="45">
        <f t="shared" si="94"/>
        <v>62.111736772993282</v>
      </c>
      <c r="BD395" s="45">
        <f t="shared" si="95"/>
        <v>-42.364189867140603</v>
      </c>
      <c r="BE395" s="64">
        <f t="shared" si="96"/>
        <v>9261573301.0045929</v>
      </c>
      <c r="BF395" s="65">
        <f t="shared" si="97"/>
        <v>3292299758.5540743</v>
      </c>
      <c r="BG395" s="66">
        <f t="shared" si="98"/>
        <v>6813707925.0379505</v>
      </c>
    </row>
    <row r="396" spans="43:59" x14ac:dyDescent="0.25">
      <c r="AQ396" s="7">
        <v>381</v>
      </c>
      <c r="AR396" s="58">
        <f t="shared" si="99"/>
        <v>190.5</v>
      </c>
      <c r="AS396" s="58">
        <f t="shared" si="100"/>
        <v>-72669.595649642579</v>
      </c>
      <c r="AT396" s="58">
        <f t="shared" si="101"/>
        <v>30573.569947898333</v>
      </c>
      <c r="AU396" s="58">
        <f t="shared" si="102"/>
        <v>1088.7344780867713</v>
      </c>
      <c r="AV396" s="58">
        <f t="shared" si="103"/>
        <v>-1896.3102242346831</v>
      </c>
      <c r="AW396" s="58">
        <f t="shared" si="89"/>
        <v>169.7504225491208</v>
      </c>
      <c r="AX396" s="58">
        <f t="shared" si="104"/>
        <v>-76.592220576696562</v>
      </c>
      <c r="AY396" s="33">
        <f t="shared" si="90"/>
        <v>54.807050295431594</v>
      </c>
      <c r="AZ396" s="33">
        <f t="shared" si="91"/>
        <v>-13.646269844649961</v>
      </c>
      <c r="BA396" s="39">
        <f t="shared" si="92"/>
        <v>51.139690198642221</v>
      </c>
      <c r="BB396" s="39">
        <f t="shared" si="93"/>
        <v>-19.975964889010047</v>
      </c>
      <c r="BC396" s="45">
        <f t="shared" si="94"/>
        <v>63.803682055046991</v>
      </c>
      <c r="BD396" s="45">
        <f t="shared" si="95"/>
        <v>-42.969985843036554</v>
      </c>
      <c r="BE396" s="64">
        <f t="shared" si="96"/>
        <v>9120043588.008812</v>
      </c>
      <c r="BF396" s="65">
        <f t="shared" si="97"/>
        <v>3197358086.297914</v>
      </c>
      <c r="BG396" s="66">
        <f t="shared" si="98"/>
        <v>6656124453.1821079</v>
      </c>
    </row>
    <row r="397" spans="43:59" x14ac:dyDescent="0.25">
      <c r="AQ397" s="7">
        <v>382</v>
      </c>
      <c r="AR397" s="58">
        <f t="shared" si="99"/>
        <v>191</v>
      </c>
      <c r="AS397" s="58">
        <f t="shared" si="100"/>
        <v>-72104.009607780565</v>
      </c>
      <c r="AT397" s="58">
        <f t="shared" si="101"/>
        <v>29615.840808208904</v>
      </c>
      <c r="AU397" s="58">
        <f t="shared" si="102"/>
        <v>1173.6096893613317</v>
      </c>
      <c r="AV397" s="58">
        <f t="shared" si="103"/>
        <v>-1934.6063345230314</v>
      </c>
      <c r="AW397" s="58">
        <f t="shared" si="89"/>
        <v>174.39882893403936</v>
      </c>
      <c r="AX397" s="58">
        <f t="shared" si="104"/>
        <v>-76.973228266126185</v>
      </c>
      <c r="AY397" s="33">
        <f t="shared" si="90"/>
        <v>55.80896891848959</v>
      </c>
      <c r="AZ397" s="33">
        <f t="shared" si="91"/>
        <v>-13.400744196996708</v>
      </c>
      <c r="BA397" s="39">
        <f t="shared" si="92"/>
        <v>52.964610529814003</v>
      </c>
      <c r="BB397" s="39">
        <f t="shared" si="93"/>
        <v>-19.939835272609677</v>
      </c>
      <c r="BC397" s="45">
        <f t="shared" si="94"/>
        <v>65.625249485735765</v>
      </c>
      <c r="BD397" s="45">
        <f t="shared" si="95"/>
        <v>-43.632648796519803</v>
      </c>
      <c r="BE397" s="64">
        <f t="shared" si="96"/>
        <v>8972259000.4841728</v>
      </c>
      <c r="BF397" s="65">
        <f t="shared" si="97"/>
        <v>3099609027.820683</v>
      </c>
      <c r="BG397" s="66">
        <f t="shared" si="98"/>
        <v>6493521356.4645452</v>
      </c>
    </row>
    <row r="398" spans="43:59" x14ac:dyDescent="0.25">
      <c r="AQ398" s="7">
        <v>383</v>
      </c>
      <c r="AR398" s="58">
        <f t="shared" si="99"/>
        <v>191.5</v>
      </c>
      <c r="AS398" s="58">
        <f t="shared" si="100"/>
        <v>-71495.404909483143</v>
      </c>
      <c r="AT398" s="58">
        <f t="shared" si="101"/>
        <v>28638.915987414126</v>
      </c>
      <c r="AU398" s="58">
        <f t="shared" si="102"/>
        <v>1260.8091038283515</v>
      </c>
      <c r="AV398" s="58">
        <f t="shared" si="103"/>
        <v>-1973.0929486560944</v>
      </c>
      <c r="AW398" s="58">
        <f t="shared" si="89"/>
        <v>179.42589996762126</v>
      </c>
      <c r="AX398" s="58">
        <f t="shared" si="104"/>
        <v>-77.389731415717137</v>
      </c>
      <c r="AY398" s="33">
        <f t="shared" si="90"/>
        <v>56.882346107346166</v>
      </c>
      <c r="AZ398" s="33">
        <f t="shared" si="91"/>
        <v>-13.141983870335068</v>
      </c>
      <c r="BA398" s="39">
        <f t="shared" si="92"/>
        <v>54.953966107014871</v>
      </c>
      <c r="BB398" s="39">
        <f t="shared" si="93"/>
        <v>-19.890752568006828</v>
      </c>
      <c r="BC398" s="45">
        <f t="shared" si="94"/>
        <v>67.589587753260204</v>
      </c>
      <c r="BD398" s="45">
        <f t="shared" si="95"/>
        <v>-44.356994977375244</v>
      </c>
      <c r="BE398" s="64">
        <f t="shared" si="96"/>
        <v>8818262888.6732254</v>
      </c>
      <c r="BF398" s="65">
        <f t="shared" si="97"/>
        <v>2999185915.9775028</v>
      </c>
      <c r="BG398" s="66">
        <f t="shared" si="98"/>
        <v>6325993862.6327028</v>
      </c>
    </row>
    <row r="399" spans="43:59" x14ac:dyDescent="0.25">
      <c r="AQ399" s="7">
        <v>384</v>
      </c>
      <c r="AR399" s="58">
        <f t="shared" si="99"/>
        <v>192</v>
      </c>
      <c r="AS399" s="58">
        <f t="shared" si="100"/>
        <v>-70842.572120073004</v>
      </c>
      <c r="AT399" s="58">
        <f t="shared" si="101"/>
        <v>27642.695796659114</v>
      </c>
      <c r="AU399" s="58">
        <f t="shared" si="102"/>
        <v>1350.5220538121621</v>
      </c>
      <c r="AV399" s="58">
        <f t="shared" si="103"/>
        <v>-2011.787814363953</v>
      </c>
      <c r="AW399" s="58">
        <f t="shared" si="89"/>
        <v>184.87139687619356</v>
      </c>
      <c r="AX399" s="58">
        <f t="shared" si="104"/>
        <v>-77.839649353484972</v>
      </c>
      <c r="AY399" s="33">
        <f t="shared" si="90"/>
        <v>58.032744938880512</v>
      </c>
      <c r="AZ399" s="33">
        <f t="shared" si="91"/>
        <v>-12.867710592825514</v>
      </c>
      <c r="BA399" s="39">
        <f t="shared" si="92"/>
        <v>57.12694794761903</v>
      </c>
      <c r="BB399" s="39">
        <f t="shared" si="93"/>
        <v>-19.823414166599704</v>
      </c>
      <c r="BC399" s="45">
        <f t="shared" si="94"/>
        <v>69.711703989694001</v>
      </c>
      <c r="BD399" s="45">
        <f t="shared" si="95"/>
        <v>-45.148524594059751</v>
      </c>
      <c r="BE399" s="64">
        <f t="shared" si="96"/>
        <v>8658101103.347414</v>
      </c>
      <c r="BF399" s="65">
        <f t="shared" si="97"/>
        <v>2896231854.7582779</v>
      </c>
      <c r="BG399" s="66">
        <f t="shared" si="98"/>
        <v>6153643808.1934233</v>
      </c>
    </row>
    <row r="400" spans="43:59" x14ac:dyDescent="0.25">
      <c r="AQ400" s="7">
        <v>385</v>
      </c>
      <c r="AR400" s="58">
        <f t="shared" si="99"/>
        <v>192.5</v>
      </c>
      <c r="AS400" s="58">
        <f t="shared" si="100"/>
        <v>-70144.2021685574</v>
      </c>
      <c r="AT400" s="58">
        <f t="shared" si="101"/>
        <v>26627.071933307951</v>
      </c>
      <c r="AU400" s="58">
        <f t="shared" si="102"/>
        <v>1442.9577522502589</v>
      </c>
      <c r="AV400" s="58">
        <f t="shared" si="103"/>
        <v>-2050.7076390406955</v>
      </c>
      <c r="AW400" s="58">
        <f t="shared" ref="AW400:AW463" si="105">(AY400+BA400+BC400)</f>
        <v>190.780917722114</v>
      </c>
      <c r="AX400" s="58">
        <f t="shared" si="104"/>
        <v>-78.320078134782804</v>
      </c>
      <c r="AY400" s="33">
        <f t="shared" ref="AY400:AY463" si="106">$H$27*(($H$23-AS400)/(BE400+$H$28^2)^(3/2))</f>
        <v>59.266394858712843</v>
      </c>
      <c r="AZ400" s="33">
        <f t="shared" ref="AZ400:AZ463" si="107">$H$27*(($I$23-AT400)/(BE400+$H$28^2)^(3/2))</f>
        <v>-12.575324540237974</v>
      </c>
      <c r="BA400" s="39">
        <f t="shared" ref="BA400:BA463" si="108">$H$35*(($H$31-AS400)/(BF400+$H$36^2)^(3/2))</f>
        <v>59.50572823015758</v>
      </c>
      <c r="BB400" s="39">
        <f t="shared" ref="BB400:BB463" si="109">$H$35*(($I$31-AT400)/(BF400+$H$36^2)^(3/2))</f>
        <v>-19.731214795298996</v>
      </c>
      <c r="BC400" s="45">
        <f t="shared" ref="BC400:BC463" si="110">$H$43*(($H$39-AS400)/(BG400+$H$44^2)^(3/2))</f>
        <v>72.008794633243596</v>
      </c>
      <c r="BD400" s="45">
        <f t="shared" ref="BD400:BD463" si="111">$H$43*(($I$39-AT400)/(BG400+$H$44^2)^(3/2))</f>
        <v>-46.013538799245836</v>
      </c>
      <c r="BE400" s="64">
        <f t="shared" ref="BE400:BE463" si="112">($H$23-AS400)^2+($I$23-AT400)^2</f>
        <v>8491822065.3476858</v>
      </c>
      <c r="BF400" s="65">
        <f t="shared" ref="BF400:BF463" si="113">($H$31-AS400)^2+($I$31-AT400)^2</f>
        <v>2790900532.1965537</v>
      </c>
      <c r="BG400" s="66">
        <f t="shared" ref="BG400:BG463" si="114">($H$39-AS400)^2+($I$39-AT400)^2</f>
        <v>5976580193.9186726</v>
      </c>
    </row>
    <row r="401" spans="43:59" x14ac:dyDescent="0.25">
      <c r="AQ401" s="7">
        <v>386</v>
      </c>
      <c r="AR401" s="58">
        <f t="shared" ref="AR401:AR464" si="115">AR400+$H$9</f>
        <v>193</v>
      </c>
      <c r="AS401" s="58">
        <f t="shared" ref="AS401:AS464" si="116">AS400+(AU400*$H$9)+(AW400*$H$9^2)*(1/2)</f>
        <v>-69398.875677717006</v>
      </c>
      <c r="AT401" s="58">
        <f t="shared" ref="AT401:AT464" si="117">AT400+(AV400*$H$9)+(AX400*$H$9^2)*(1/2)</f>
        <v>25591.928104020757</v>
      </c>
      <c r="AU401" s="58">
        <f t="shared" ref="AU401:AU464" si="118">AU400+AW400*$H$9</f>
        <v>1538.3482111113158</v>
      </c>
      <c r="AV401" s="58">
        <f t="shared" ref="AV401:AV464" si="119">AV400+AX400*$H$9</f>
        <v>-2089.8676781080871</v>
      </c>
      <c r="AW401" s="58">
        <f t="shared" si="105"/>
        <v>197.20695556311469</v>
      </c>
      <c r="AX401" s="58">
        <f t="shared" ref="AX401:AX464" si="120">(AZ401+BB401+BD401)</f>
        <v>-78.827008347371901</v>
      </c>
      <c r="AY401" s="33">
        <f t="shared" si="106"/>
        <v>60.590288401867191</v>
      </c>
      <c r="AZ401" s="33">
        <f t="shared" si="107"/>
        <v>-12.261844830356123</v>
      </c>
      <c r="BA401" s="39">
        <f t="shared" si="108"/>
        <v>62.116018447100053</v>
      </c>
      <c r="BB401" s="39">
        <f t="shared" si="109"/>
        <v>-19.605881317094205</v>
      </c>
      <c r="BC401" s="45">
        <f t="shared" si="110"/>
        <v>74.500648714147445</v>
      </c>
      <c r="BD401" s="45">
        <f t="shared" si="111"/>
        <v>-46.959282199921581</v>
      </c>
      <c r="BE401" s="64">
        <f t="shared" si="112"/>
        <v>8319476834.9609575</v>
      </c>
      <c r="BF401" s="65">
        <f t="shared" si="113"/>
        <v>2683357140.2234931</v>
      </c>
      <c r="BG401" s="66">
        <f t="shared" si="114"/>
        <v>5794919815.7560406</v>
      </c>
    </row>
    <row r="402" spans="43:59" x14ac:dyDescent="0.25">
      <c r="AQ402" s="7">
        <v>387</v>
      </c>
      <c r="AR402" s="58">
        <f t="shared" si="115"/>
        <v>193.5</v>
      </c>
      <c r="AS402" s="58">
        <f t="shared" si="116"/>
        <v>-68605.050702715947</v>
      </c>
      <c r="AT402" s="58">
        <f t="shared" si="117"/>
        <v>24537.140888923292</v>
      </c>
      <c r="AU402" s="58">
        <f t="shared" si="118"/>
        <v>1636.9516888928731</v>
      </c>
      <c r="AV402" s="58">
        <f t="shared" si="119"/>
        <v>-2129.281182281773</v>
      </c>
      <c r="AW402" s="58">
        <f t="shared" si="105"/>
        <v>204.21018677509608</v>
      </c>
      <c r="AX402" s="58">
        <f t="shared" si="120"/>
        <v>-79.354948558041812</v>
      </c>
      <c r="AY402" s="33">
        <f t="shared" si="106"/>
        <v>62.012295602758542</v>
      </c>
      <c r="AZ402" s="33">
        <f t="shared" si="107"/>
        <v>-11.923837395844648</v>
      </c>
      <c r="BA402" s="39">
        <f t="shared" si="108"/>
        <v>64.987748666497524</v>
      </c>
      <c r="BB402" s="39">
        <f t="shared" si="109"/>
        <v>-19.436993579064847</v>
      </c>
      <c r="BC402" s="45">
        <f t="shared" si="110"/>
        <v>77.210142505840025</v>
      </c>
      <c r="BD402" s="45">
        <f t="shared" si="111"/>
        <v>-47.994117583132315</v>
      </c>
      <c r="BE402" s="64">
        <f t="shared" si="112"/>
        <v>8141119179.6998854</v>
      </c>
      <c r="BF402" s="65">
        <f t="shared" si="113"/>
        <v>2573779419.0379934</v>
      </c>
      <c r="BG402" s="66">
        <f t="shared" si="114"/>
        <v>5608787984.5656366</v>
      </c>
    </row>
    <row r="403" spans="43:59" x14ac:dyDescent="0.25">
      <c r="AQ403" s="7">
        <v>388</v>
      </c>
      <c r="AR403" s="58">
        <f t="shared" si="115"/>
        <v>194</v>
      </c>
      <c r="AS403" s="58">
        <f t="shared" si="116"/>
        <v>-67761.048584922624</v>
      </c>
      <c r="AT403" s="58">
        <f t="shared" si="117"/>
        <v>23462.580929212651</v>
      </c>
      <c r="AU403" s="58">
        <f t="shared" si="118"/>
        <v>1739.0567822804212</v>
      </c>
      <c r="AV403" s="58">
        <f t="shared" si="119"/>
        <v>-2168.9586565607938</v>
      </c>
      <c r="AW403" s="58">
        <f t="shared" si="105"/>
        <v>211.86104686331498</v>
      </c>
      <c r="AX403" s="58">
        <f t="shared" si="120"/>
        <v>-79.896419823505482</v>
      </c>
      <c r="AY403" s="33">
        <f t="shared" si="106"/>
        <v>63.541299957231104</v>
      </c>
      <c r="AZ403" s="33">
        <f t="shared" si="107"/>
        <v>-11.557327074701019</v>
      </c>
      <c r="BA403" s="39">
        <f t="shared" si="108"/>
        <v>68.155896608615734</v>
      </c>
      <c r="BB403" s="39">
        <f t="shared" si="109"/>
        <v>-19.21135111313691</v>
      </c>
      <c r="BC403" s="45">
        <f t="shared" si="110"/>
        <v>80.163850297468159</v>
      </c>
      <c r="BD403" s="45">
        <f t="shared" si="111"/>
        <v>-49.127741635667547</v>
      </c>
      <c r="BE403" s="64">
        <f t="shared" si="112"/>
        <v>7956805638.6468124</v>
      </c>
      <c r="BF403" s="65">
        <f t="shared" si="113"/>
        <v>2462358847.2069392</v>
      </c>
      <c r="BG403" s="66">
        <f t="shared" si="114"/>
        <v>5418319351.215251</v>
      </c>
    </row>
    <row r="404" spans="43:59" x14ac:dyDescent="0.25">
      <c r="AQ404" s="7">
        <v>389</v>
      </c>
      <c r="AR404" s="58">
        <f t="shared" si="115"/>
        <v>194.5</v>
      </c>
      <c r="AS404" s="58">
        <f t="shared" si="116"/>
        <v>-66865.037562924495</v>
      </c>
      <c r="AT404" s="58">
        <f t="shared" si="117"/>
        <v>22368.114548454312</v>
      </c>
      <c r="AU404" s="58">
        <f t="shared" si="118"/>
        <v>1844.9873057120788</v>
      </c>
      <c r="AV404" s="58">
        <f t="shared" si="119"/>
        <v>-2208.9068664725464</v>
      </c>
      <c r="AW404" s="58">
        <f t="shared" si="105"/>
        <v>220.24166670672739</v>
      </c>
      <c r="AX404" s="58">
        <f t="shared" si="120"/>
        <v>-80.441272753352081</v>
      </c>
      <c r="AY404" s="33">
        <f t="shared" si="106"/>
        <v>65.187360799140734</v>
      </c>
      <c r="AZ404" s="33">
        <f t="shared" si="107"/>
        <v>-11.15768984467373</v>
      </c>
      <c r="BA404" s="39">
        <f t="shared" si="108"/>
        <v>71.661501984741065</v>
      </c>
      <c r="BB404" s="39">
        <f t="shared" si="109"/>
        <v>-18.912129624808841</v>
      </c>
      <c r="BC404" s="45">
        <f t="shared" si="110"/>
        <v>83.392803922845587</v>
      </c>
      <c r="BD404" s="45">
        <f t="shared" si="111"/>
        <v>-50.371453283869513</v>
      </c>
      <c r="BE404" s="64">
        <f t="shared" si="112"/>
        <v>7766595581.0342426</v>
      </c>
      <c r="BF404" s="65">
        <f t="shared" si="113"/>
        <v>2349302003.2580113</v>
      </c>
      <c r="BG404" s="66">
        <f t="shared" si="114"/>
        <v>5223658857.5684614</v>
      </c>
    </row>
    <row r="405" spans="43:59" x14ac:dyDescent="0.25">
      <c r="AQ405" s="7">
        <v>390</v>
      </c>
      <c r="AR405" s="58">
        <f t="shared" si="115"/>
        <v>195</v>
      </c>
      <c r="AS405" s="58">
        <f t="shared" si="116"/>
        <v>-65915.013701730117</v>
      </c>
      <c r="AT405" s="58">
        <f t="shared" si="117"/>
        <v>21253.605956123869</v>
      </c>
      <c r="AU405" s="58">
        <f t="shared" si="118"/>
        <v>1955.1081390654424</v>
      </c>
      <c r="AV405" s="58">
        <f t="shared" si="119"/>
        <v>-2249.1275028492223</v>
      </c>
      <c r="AW405" s="58">
        <f t="shared" si="105"/>
        <v>229.44826210054123</v>
      </c>
      <c r="AX405" s="58">
        <f t="shared" si="120"/>
        <v>-80.975758511272602</v>
      </c>
      <c r="AY405" s="33">
        <f t="shared" si="106"/>
        <v>66.961908254678775</v>
      </c>
      <c r="AZ405" s="33">
        <f t="shared" si="107"/>
        <v>-10.719519913041974</v>
      </c>
      <c r="BA405" s="39">
        <f t="shared" si="108"/>
        <v>75.552909383065995</v>
      </c>
      <c r="BB405" s="39">
        <f t="shared" si="109"/>
        <v>-18.517748389645377</v>
      </c>
      <c r="BC405" s="45">
        <f t="shared" si="110"/>
        <v>86.93344446279643</v>
      </c>
      <c r="BD405" s="45">
        <f t="shared" si="111"/>
        <v>-51.738490208585247</v>
      </c>
      <c r="BE405" s="64">
        <f t="shared" si="112"/>
        <v>7570551256.1647997</v>
      </c>
      <c r="BF405" s="65">
        <f t="shared" si="113"/>
        <v>2234832130.2457709</v>
      </c>
      <c r="BG405" s="66">
        <f t="shared" si="114"/>
        <v>5024962839.1038675</v>
      </c>
    </row>
    <row r="406" spans="43:59" x14ac:dyDescent="0.25">
      <c r="AQ406" s="7">
        <v>391</v>
      </c>
      <c r="AR406" s="58">
        <f t="shared" si="115"/>
        <v>195.5</v>
      </c>
      <c r="AS406" s="58">
        <f t="shared" si="116"/>
        <v>-64908.778599434831</v>
      </c>
      <c r="AT406" s="58">
        <f t="shared" si="117"/>
        <v>20118.920234885347</v>
      </c>
      <c r="AU406" s="58">
        <f t="shared" si="118"/>
        <v>2069.8322701157131</v>
      </c>
      <c r="AV406" s="58">
        <f t="shared" si="119"/>
        <v>-2289.6153821048588</v>
      </c>
      <c r="AW406" s="58">
        <f t="shared" si="105"/>
        <v>239.59409462740325</v>
      </c>
      <c r="AX406" s="58">
        <f t="shared" si="120"/>
        <v>-81.481255911691335</v>
      </c>
      <c r="AY406" s="33">
        <f t="shared" si="106"/>
        <v>68.877978643466221</v>
      </c>
      <c r="AZ406" s="33">
        <f t="shared" si="107"/>
        <v>-10.236464742266616</v>
      </c>
      <c r="BA406" s="39">
        <f t="shared" si="108"/>
        <v>79.887291537548862</v>
      </c>
      <c r="BB406" s="39">
        <f t="shared" si="109"/>
        <v>-18.000336594762373</v>
      </c>
      <c r="BC406" s="45">
        <f t="shared" si="110"/>
        <v>90.828824446388197</v>
      </c>
      <c r="BD406" s="45">
        <f t="shared" si="111"/>
        <v>-53.244454574662342</v>
      </c>
      <c r="BE406" s="64">
        <f t="shared" si="112"/>
        <v>7368737831.1422396</v>
      </c>
      <c r="BF406" s="65">
        <f t="shared" si="113"/>
        <v>2119190942.0130279</v>
      </c>
      <c r="BG406" s="66">
        <f t="shared" si="114"/>
        <v>4822400311.7403393</v>
      </c>
    </row>
    <row r="407" spans="43:59" x14ac:dyDescent="0.25">
      <c r="AQ407" s="7">
        <v>392</v>
      </c>
      <c r="AR407" s="58">
        <f t="shared" si="115"/>
        <v>196</v>
      </c>
      <c r="AS407" s="58">
        <f t="shared" si="116"/>
        <v>-63843.913202548545</v>
      </c>
      <c r="AT407" s="58">
        <f t="shared" si="117"/>
        <v>18963.927386843956</v>
      </c>
      <c r="AU407" s="58">
        <f t="shared" si="118"/>
        <v>2189.6293174294146</v>
      </c>
      <c r="AV407" s="58">
        <f t="shared" si="119"/>
        <v>-2330.3560100607046</v>
      </c>
      <c r="AW407" s="58">
        <f t="shared" si="105"/>
        <v>250.81315313225031</v>
      </c>
      <c r="AX407" s="58">
        <f t="shared" si="120"/>
        <v>-81.932513939556543</v>
      </c>
      <c r="AY407" s="33">
        <f t="shared" si="106"/>
        <v>70.950500451378616</v>
      </c>
      <c r="AZ407" s="33">
        <f t="shared" si="107"/>
        <v>-9.701018883385327</v>
      </c>
      <c r="BA407" s="39">
        <f t="shared" si="108"/>
        <v>84.732512960537505</v>
      </c>
      <c r="BB407" s="39">
        <f t="shared" si="109"/>
        <v>-17.32363828872197</v>
      </c>
      <c r="BC407" s="45">
        <f t="shared" si="110"/>
        <v>95.130139720334185</v>
      </c>
      <c r="BD407" s="45">
        <f t="shared" si="111"/>
        <v>-54.907856767449239</v>
      </c>
      <c r="BE407" s="64">
        <f t="shared" si="112"/>
        <v>7161223412.2473249</v>
      </c>
      <c r="BF407" s="65">
        <f t="shared" si="113"/>
        <v>2002640719.1092217</v>
      </c>
      <c r="BG407" s="66">
        <f t="shared" si="114"/>
        <v>4616154484.5278759</v>
      </c>
    </row>
    <row r="408" spans="43:59" x14ac:dyDescent="0.25">
      <c r="AQ408" s="7">
        <v>393</v>
      </c>
      <c r="AR408" s="58">
        <f t="shared" si="115"/>
        <v>196.5</v>
      </c>
      <c r="AS408" s="58">
        <f t="shared" si="116"/>
        <v>-62717.746899692305</v>
      </c>
      <c r="AT408" s="58">
        <f t="shared" si="117"/>
        <v>17788.507817571157</v>
      </c>
      <c r="AU408" s="58">
        <f t="shared" si="118"/>
        <v>2315.0358939955399</v>
      </c>
      <c r="AV408" s="58">
        <f t="shared" si="119"/>
        <v>-2371.3222670304831</v>
      </c>
      <c r="AW408" s="58">
        <f t="shared" si="105"/>
        <v>263.26474267176644</v>
      </c>
      <c r="AX408" s="58">
        <f t="shared" si="120"/>
        <v>-82.295205815902563</v>
      </c>
      <c r="AY408" s="33">
        <f t="shared" si="106"/>
        <v>73.196644009852179</v>
      </c>
      <c r="AZ408" s="33">
        <f t="shared" si="107"/>
        <v>-9.1042644697342254</v>
      </c>
      <c r="BA408" s="39">
        <f t="shared" si="108"/>
        <v>90.169399019694282</v>
      </c>
      <c r="BB408" s="39">
        <f t="shared" si="109"/>
        <v>-16.440124307577666</v>
      </c>
      <c r="BC408" s="45">
        <f t="shared" si="110"/>
        <v>99.898699642219967</v>
      </c>
      <c r="BD408" s="45">
        <f t="shared" si="111"/>
        <v>-56.750817038590668</v>
      </c>
      <c r="BE408" s="64">
        <f t="shared" si="112"/>
        <v>6948079045.2737799</v>
      </c>
      <c r="BF408" s="65">
        <f t="shared" si="113"/>
        <v>1885466754.2105386</v>
      </c>
      <c r="BG408" s="66">
        <f t="shared" si="114"/>
        <v>4406424552.0798655</v>
      </c>
    </row>
    <row r="409" spans="43:59" x14ac:dyDescent="0.25">
      <c r="AQ409" s="7">
        <v>394</v>
      </c>
      <c r="AR409" s="58">
        <f t="shared" si="115"/>
        <v>197</v>
      </c>
      <c r="AS409" s="58">
        <f t="shared" si="116"/>
        <v>-61527.320859860571</v>
      </c>
      <c r="AT409" s="58">
        <f t="shared" si="117"/>
        <v>16592.559783328928</v>
      </c>
      <c r="AU409" s="58">
        <f t="shared" si="118"/>
        <v>2446.6682653314233</v>
      </c>
      <c r="AV409" s="58">
        <f t="shared" si="119"/>
        <v>-2412.4698699384344</v>
      </c>
      <c r="AW409" s="58">
        <f t="shared" si="105"/>
        <v>277.13921045096487</v>
      </c>
      <c r="AX409" s="58">
        <f t="shared" si="120"/>
        <v>-82.522496894202291</v>
      </c>
      <c r="AY409" s="33">
        <f t="shared" si="106"/>
        <v>75.6362520691589</v>
      </c>
      <c r="AZ409" s="33">
        <f t="shared" si="107"/>
        <v>-8.4355420547661026</v>
      </c>
      <c r="BA409" s="39">
        <f t="shared" si="108"/>
        <v>96.294471891739548</v>
      </c>
      <c r="BB409" s="39">
        <f t="shared" si="109"/>
        <v>-15.286973722496757</v>
      </c>
      <c r="BC409" s="45">
        <f t="shared" si="110"/>
        <v>105.20848649006642</v>
      </c>
      <c r="BD409" s="45">
        <f t="shared" si="111"/>
        <v>-58.799981116939428</v>
      </c>
      <c r="BE409" s="64">
        <f t="shared" si="112"/>
        <v>6729378690.0000668</v>
      </c>
      <c r="BF409" s="65">
        <f t="shared" si="113"/>
        <v>1767980222.2945766</v>
      </c>
      <c r="BG409" s="66">
        <f t="shared" si="114"/>
        <v>4193427837.2568402</v>
      </c>
    </row>
    <row r="410" spans="43:59" x14ac:dyDescent="0.25">
      <c r="AQ410" s="7">
        <v>395</v>
      </c>
      <c r="AR410" s="58">
        <f t="shared" si="115"/>
        <v>197.5</v>
      </c>
      <c r="AS410" s="58">
        <f t="shared" si="116"/>
        <v>-60269.344325888487</v>
      </c>
      <c r="AT410" s="58">
        <f t="shared" si="117"/>
        <v>15376.009536247935</v>
      </c>
      <c r="AU410" s="58">
        <f t="shared" si="118"/>
        <v>2585.2378705569058</v>
      </c>
      <c r="AV410" s="58">
        <f t="shared" si="119"/>
        <v>-2453.7311183855354</v>
      </c>
      <c r="AW410" s="58">
        <f t="shared" si="105"/>
        <v>292.66508087859819</v>
      </c>
      <c r="AX410" s="58">
        <f t="shared" si="120"/>
        <v>-82.550188776635252</v>
      </c>
      <c r="AY410" s="33">
        <f t="shared" si="106"/>
        <v>78.292373962650487</v>
      </c>
      <c r="AZ410" s="33">
        <f t="shared" si="107"/>
        <v>-7.6820296605618159</v>
      </c>
      <c r="BA410" s="39">
        <f t="shared" si="108"/>
        <v>103.22319062466197</v>
      </c>
      <c r="BB410" s="39">
        <f t="shared" si="109"/>
        <v>-13.780429417207243</v>
      </c>
      <c r="BC410" s="45">
        <f t="shared" si="110"/>
        <v>111.14951629128574</v>
      </c>
      <c r="BD410" s="45">
        <f t="shared" si="111"/>
        <v>-61.087729698866198</v>
      </c>
      <c r="BE410" s="64">
        <f t="shared" si="112"/>
        <v>6505199164.7231159</v>
      </c>
      <c r="BF410" s="65">
        <f t="shared" si="113"/>
        <v>1650521570.9707961</v>
      </c>
      <c r="BG410" s="66">
        <f t="shared" si="114"/>
        <v>3977402377.5598474</v>
      </c>
    </row>
    <row r="411" spans="43:59" x14ac:dyDescent="0.25">
      <c r="AQ411" s="7">
        <v>396</v>
      </c>
      <c r="AR411" s="58">
        <f t="shared" si="115"/>
        <v>198</v>
      </c>
      <c r="AS411" s="58">
        <f t="shared" si="116"/>
        <v>-58940.142255500214</v>
      </c>
      <c r="AT411" s="58">
        <f t="shared" si="117"/>
        <v>14138.825203458089</v>
      </c>
      <c r="AU411" s="58">
        <f t="shared" si="118"/>
        <v>2731.5704109962048</v>
      </c>
      <c r="AV411" s="58">
        <f t="shared" si="119"/>
        <v>-2495.0062127738529</v>
      </c>
      <c r="AW411" s="58">
        <f t="shared" si="105"/>
        <v>310.11790105535351</v>
      </c>
      <c r="AX411" s="58">
        <f t="shared" si="120"/>
        <v>-82.289793269411561</v>
      </c>
      <c r="AY411" s="33">
        <f t="shared" si="106"/>
        <v>81.191933623021768</v>
      </c>
      <c r="AZ411" s="33">
        <f t="shared" si="107"/>
        <v>-6.8281996947688111</v>
      </c>
      <c r="BA411" s="39">
        <f t="shared" si="108"/>
        <v>111.09366389360497</v>
      </c>
      <c r="BB411" s="39">
        <f t="shared" si="109"/>
        <v>-11.807796002656069</v>
      </c>
      <c r="BC411" s="45">
        <f t="shared" si="110"/>
        <v>117.83230353872679</v>
      </c>
      <c r="BD411" s="45">
        <f t="shared" si="111"/>
        <v>-63.653797571986679</v>
      </c>
      <c r="BE411" s="64">
        <f t="shared" si="112"/>
        <v>6275620059.4006815</v>
      </c>
      <c r="BF411" s="65">
        <f t="shared" si="113"/>
        <v>1533464552.9433732</v>
      </c>
      <c r="BG411" s="66">
        <f t="shared" si="114"/>
        <v>3758610080.7812839</v>
      </c>
    </row>
    <row r="412" spans="43:59" x14ac:dyDescent="0.25">
      <c r="AQ412" s="7">
        <v>397</v>
      </c>
      <c r="AR412" s="58">
        <f t="shared" si="115"/>
        <v>198.5</v>
      </c>
      <c r="AS412" s="58">
        <f t="shared" si="116"/>
        <v>-57535.592312370187</v>
      </c>
      <c r="AT412" s="58">
        <f t="shared" si="117"/>
        <v>12881.035872912486</v>
      </c>
      <c r="AU412" s="58">
        <f t="shared" si="118"/>
        <v>2886.6293615238815</v>
      </c>
      <c r="AV412" s="58">
        <f t="shared" si="119"/>
        <v>-2536.1511094085586</v>
      </c>
      <c r="AW412" s="58">
        <f t="shared" si="105"/>
        <v>329.83108252017519</v>
      </c>
      <c r="AX412" s="58">
        <f t="shared" si="120"/>
        <v>-81.618579605036345</v>
      </c>
      <c r="AY412" s="33">
        <f t="shared" si="106"/>
        <v>84.366572200794408</v>
      </c>
      <c r="AZ412" s="33">
        <f t="shared" si="107"/>
        <v>-5.8551116712718665</v>
      </c>
      <c r="BA412" s="39">
        <f t="shared" si="108"/>
        <v>120.07064315430613</v>
      </c>
      <c r="BB412" s="39">
        <f t="shared" si="109"/>
        <v>-9.2159949770454634</v>
      </c>
      <c r="BC412" s="45">
        <f t="shared" si="110"/>
        <v>125.39386716507468</v>
      </c>
      <c r="BD412" s="45">
        <f t="shared" si="111"/>
        <v>-66.54747295671902</v>
      </c>
      <c r="BE412" s="64">
        <f t="shared" si="112"/>
        <v>6040723622.2956505</v>
      </c>
      <c r="BF412" s="65">
        <f t="shared" si="113"/>
        <v>1417221057.9414725</v>
      </c>
      <c r="BG412" s="66">
        <f t="shared" si="114"/>
        <v>3537340620.9582024</v>
      </c>
    </row>
    <row r="413" spans="43:59" x14ac:dyDescent="0.25">
      <c r="AQ413" s="7">
        <v>398</v>
      </c>
      <c r="AR413" s="58">
        <f t="shared" si="115"/>
        <v>199</v>
      </c>
      <c r="AS413" s="58">
        <f t="shared" si="116"/>
        <v>-56051.048746293221</v>
      </c>
      <c r="AT413" s="58">
        <f t="shared" si="117"/>
        <v>11602.757995757576</v>
      </c>
      <c r="AU413" s="58">
        <f t="shared" si="118"/>
        <v>3051.5449027839691</v>
      </c>
      <c r="AV413" s="58">
        <f t="shared" si="119"/>
        <v>-2576.9603992110769</v>
      </c>
      <c r="AW413" s="58">
        <f t="shared" si="105"/>
        <v>352.20889651928644</v>
      </c>
      <c r="AX413" s="58">
        <f t="shared" si="120"/>
        <v>-80.36518383993851</v>
      </c>
      <c r="AY413" s="33">
        <f t="shared" si="106"/>
        <v>87.85372072483041</v>
      </c>
      <c r="AZ413" s="33">
        <f t="shared" si="107"/>
        <v>-4.7394817179088449</v>
      </c>
      <c r="BA413" s="39">
        <f t="shared" si="108"/>
        <v>130.34925579258916</v>
      </c>
      <c r="BB413" s="39">
        <f t="shared" si="109"/>
        <v>-5.7950689155500061</v>
      </c>
      <c r="BC413" s="45">
        <f t="shared" si="110"/>
        <v>134.00592000186688</v>
      </c>
      <c r="BD413" s="45">
        <f t="shared" si="111"/>
        <v>-69.830633206479661</v>
      </c>
      <c r="BE413" s="64">
        <f t="shared" si="112"/>
        <v>5800594638.5828209</v>
      </c>
      <c r="BF413" s="65">
        <f t="shared" si="113"/>
        <v>1302246948.9005749</v>
      </c>
      <c r="BG413" s="66">
        <f t="shared" si="114"/>
        <v>3313916311.0772505</v>
      </c>
    </row>
    <row r="414" spans="43:59" x14ac:dyDescent="0.25">
      <c r="AQ414" s="7">
        <v>399</v>
      </c>
      <c r="AR414" s="58">
        <f t="shared" si="115"/>
        <v>199.5</v>
      </c>
      <c r="AS414" s="58">
        <f t="shared" si="116"/>
        <v>-54481.250182836331</v>
      </c>
      <c r="AT414" s="58">
        <f t="shared" si="117"/>
        <v>10304.232148172045</v>
      </c>
      <c r="AU414" s="58">
        <f t="shared" si="118"/>
        <v>3227.6493510436121</v>
      </c>
      <c r="AV414" s="58">
        <f t="shared" si="119"/>
        <v>-2617.1429911310461</v>
      </c>
      <c r="AW414" s="58">
        <f t="shared" si="105"/>
        <v>377.74139386116713</v>
      </c>
      <c r="AX414" s="58">
        <f t="shared" si="120"/>
        <v>-78.288724316207635</v>
      </c>
      <c r="AY414" s="33">
        <f t="shared" si="106"/>
        <v>91.697979009886268</v>
      </c>
      <c r="AZ414" s="33">
        <f t="shared" si="107"/>
        <v>-3.4524450117404855</v>
      </c>
      <c r="BA414" s="39">
        <f t="shared" si="108"/>
        <v>142.15721454282271</v>
      </c>
      <c r="BB414" s="39">
        <f t="shared" si="109"/>
        <v>-1.2542699156553505</v>
      </c>
      <c r="BC414" s="45">
        <f t="shared" si="110"/>
        <v>143.88620030845811</v>
      </c>
      <c r="BD414" s="45">
        <f t="shared" si="111"/>
        <v>-73.582009388811798</v>
      </c>
      <c r="BE414" s="64">
        <f t="shared" si="112"/>
        <v>5555320346.7390985</v>
      </c>
      <c r="BF414" s="65">
        <f t="shared" si="113"/>
        <v>1189049171.3713319</v>
      </c>
      <c r="BG414" s="66">
        <f t="shared" si="114"/>
        <v>3088698284.2650237</v>
      </c>
    </row>
    <row r="415" spans="43:59" x14ac:dyDescent="0.25">
      <c r="AQ415" s="7">
        <v>400</v>
      </c>
      <c r="AR415" s="58">
        <f t="shared" si="115"/>
        <v>200</v>
      </c>
      <c r="AS415" s="58">
        <f t="shared" si="116"/>
        <v>-52820.207833081877</v>
      </c>
      <c r="AT415" s="58">
        <f t="shared" si="117"/>
        <v>8985.8745620669961</v>
      </c>
      <c r="AU415" s="58">
        <f t="shared" si="118"/>
        <v>3416.5200479741957</v>
      </c>
      <c r="AV415" s="58">
        <f t="shared" si="119"/>
        <v>-2656.2873532891499</v>
      </c>
      <c r="AW415" s="58">
        <f t="shared" si="105"/>
        <v>407.02007884959551</v>
      </c>
      <c r="AX415" s="58">
        <f t="shared" si="120"/>
        <v>-75.048514574337005</v>
      </c>
      <c r="AY415" s="33">
        <f t="shared" si="106"/>
        <v>95.952906607730696</v>
      </c>
      <c r="AZ415" s="33">
        <f t="shared" si="107"/>
        <v>-1.9578903621316845</v>
      </c>
      <c r="BA415" s="39">
        <f t="shared" si="108"/>
        <v>155.75277101215832</v>
      </c>
      <c r="BB415" s="39">
        <f t="shared" si="109"/>
        <v>4.8126705325970471</v>
      </c>
      <c r="BC415" s="45">
        <f t="shared" si="110"/>
        <v>155.31440122970653</v>
      </c>
      <c r="BD415" s="45">
        <f t="shared" si="111"/>
        <v>-77.903294744802366</v>
      </c>
      <c r="BE415" s="64">
        <f t="shared" si="112"/>
        <v>5304990492.0674372</v>
      </c>
      <c r="BF415" s="65">
        <f t="shared" si="113"/>
        <v>1078194492.6105516</v>
      </c>
      <c r="BG415" s="66">
        <f t="shared" si="114"/>
        <v>2862094455.706358</v>
      </c>
    </row>
    <row r="416" spans="43:59" x14ac:dyDescent="0.25">
      <c r="AQ416" s="7">
        <v>401</v>
      </c>
      <c r="AR416" s="58">
        <f t="shared" si="115"/>
        <v>200.5</v>
      </c>
      <c r="AS416" s="58">
        <f t="shared" si="116"/>
        <v>-51061.070299238585</v>
      </c>
      <c r="AT416" s="58">
        <f t="shared" si="117"/>
        <v>7648.349821100629</v>
      </c>
      <c r="AU416" s="58">
        <f t="shared" si="118"/>
        <v>3620.0300873989936</v>
      </c>
      <c r="AV416" s="58">
        <f t="shared" si="119"/>
        <v>-2693.8116105763183</v>
      </c>
      <c r="AW416" s="58">
        <f t="shared" si="105"/>
        <v>440.75107285550109</v>
      </c>
      <c r="AX416" s="58">
        <f t="shared" si="120"/>
        <v>-70.160524066803262</v>
      </c>
      <c r="AY416" s="33">
        <f t="shared" si="106"/>
        <v>100.68337400415889</v>
      </c>
      <c r="AZ416" s="33">
        <f t="shared" si="107"/>
        <v>-0.21019048064471296</v>
      </c>
      <c r="BA416" s="39">
        <f t="shared" si="108"/>
        <v>171.41274863932122</v>
      </c>
      <c r="BB416" s="39">
        <f t="shared" si="109"/>
        <v>12.977750512775282</v>
      </c>
      <c r="BC416" s="45">
        <f t="shared" si="110"/>
        <v>168.65495021202096</v>
      </c>
      <c r="BD416" s="45">
        <f t="shared" si="111"/>
        <v>-82.928084098933837</v>
      </c>
      <c r="BE416" s="64">
        <f t="shared" si="112"/>
        <v>5049697719.7427473</v>
      </c>
      <c r="BF416" s="65">
        <f t="shared" si="113"/>
        <v>970320346.69815874</v>
      </c>
      <c r="BG416" s="66">
        <f t="shared" si="114"/>
        <v>2634569946.7303476</v>
      </c>
    </row>
    <row r="417" spans="43:59" x14ac:dyDescent="0.25">
      <c r="AQ417" s="7">
        <v>402</v>
      </c>
      <c r="AR417" s="58">
        <f t="shared" si="115"/>
        <v>201</v>
      </c>
      <c r="AS417" s="58">
        <f t="shared" si="116"/>
        <v>-49195.961371432153</v>
      </c>
      <c r="AT417" s="58">
        <f t="shared" si="117"/>
        <v>6292.673950304119</v>
      </c>
      <c r="AU417" s="58">
        <f t="shared" si="118"/>
        <v>3840.405623826744</v>
      </c>
      <c r="AV417" s="58">
        <f t="shared" si="119"/>
        <v>-2728.8918726097199</v>
      </c>
      <c r="AW417" s="58">
        <f t="shared" si="105"/>
        <v>479.75810575791616</v>
      </c>
      <c r="AX417" s="58">
        <f t="shared" si="120"/>
        <v>-62.936273663196957</v>
      </c>
      <c r="AY417" s="33">
        <f t="shared" si="106"/>
        <v>105.96868309132807</v>
      </c>
      <c r="AZ417" s="33">
        <f t="shared" si="107"/>
        <v>1.8489337963147066</v>
      </c>
      <c r="BA417" s="39">
        <f t="shared" si="108"/>
        <v>189.39923324565805</v>
      </c>
      <c r="BB417" s="39">
        <f t="shared" si="109"/>
        <v>24.05006302998855</v>
      </c>
      <c r="BC417" s="45">
        <f t="shared" si="110"/>
        <v>184.39018942093003</v>
      </c>
      <c r="BD417" s="45">
        <f t="shared" si="111"/>
        <v>-88.835270489500218</v>
      </c>
      <c r="BE417" s="64">
        <f t="shared" si="112"/>
        <v>4789538706.307004</v>
      </c>
      <c r="BF417" s="65">
        <f t="shared" si="113"/>
        <v>866148426.84091222</v>
      </c>
      <c r="BG417" s="66">
        <f t="shared" si="114"/>
        <v>2406660965.4990826</v>
      </c>
    </row>
    <row r="418" spans="43:59" x14ac:dyDescent="0.25">
      <c r="AQ418" s="7">
        <v>403</v>
      </c>
      <c r="AR418" s="58">
        <f t="shared" si="115"/>
        <v>201.5</v>
      </c>
      <c r="AS418" s="58">
        <f t="shared" si="116"/>
        <v>-47215.788796299043</v>
      </c>
      <c r="AT418" s="58">
        <f t="shared" si="117"/>
        <v>4920.3609797913596</v>
      </c>
      <c r="AU418" s="58">
        <f t="shared" si="118"/>
        <v>4080.2846767057022</v>
      </c>
      <c r="AV418" s="58">
        <f t="shared" si="119"/>
        <v>-2760.3600094413182</v>
      </c>
      <c r="AW418" s="58">
        <f t="shared" si="105"/>
        <v>524.95891084109894</v>
      </c>
      <c r="AX418" s="58">
        <f t="shared" si="120"/>
        <v>-52.401728366711573</v>
      </c>
      <c r="AY418" s="33">
        <f t="shared" si="106"/>
        <v>111.90675253138195</v>
      </c>
      <c r="AZ418" s="33">
        <f t="shared" si="107"/>
        <v>4.2948097556311025</v>
      </c>
      <c r="BA418" s="39">
        <f t="shared" si="108"/>
        <v>209.88249033257165</v>
      </c>
      <c r="BB418" s="39">
        <f t="shared" si="109"/>
        <v>39.173117322870752</v>
      </c>
      <c r="BC418" s="45">
        <f t="shared" si="110"/>
        <v>203.16966797714525</v>
      </c>
      <c r="BD418" s="45">
        <f t="shared" si="111"/>
        <v>-95.869655445213425</v>
      </c>
      <c r="BE418" s="64">
        <f t="shared" si="112"/>
        <v>4524616800.983264</v>
      </c>
      <c r="BF418" s="65">
        <f t="shared" si="113"/>
        <v>766501892.38038278</v>
      </c>
      <c r="BG418" s="66">
        <f t="shared" si="114"/>
        <v>2178993605.2589221</v>
      </c>
    </row>
    <row r="419" spans="43:59" x14ac:dyDescent="0.25">
      <c r="AQ419" s="7">
        <v>404</v>
      </c>
      <c r="AR419" s="58">
        <f t="shared" si="115"/>
        <v>202</v>
      </c>
      <c r="AS419" s="58">
        <f t="shared" si="116"/>
        <v>-45110.026594091054</v>
      </c>
      <c r="AT419" s="58">
        <f t="shared" si="117"/>
        <v>3533.6307590248616</v>
      </c>
      <c r="AU419" s="58">
        <f t="shared" si="118"/>
        <v>4342.7641321262518</v>
      </c>
      <c r="AV419" s="58">
        <f t="shared" si="119"/>
        <v>-2786.5608736246741</v>
      </c>
      <c r="AW419" s="58">
        <f t="shared" si="105"/>
        <v>577.28235830404276</v>
      </c>
      <c r="AX419" s="58">
        <f t="shared" si="120"/>
        <v>-37.203286178426993</v>
      </c>
      <c r="AY419" s="33">
        <f t="shared" si="106"/>
        <v>118.6197839383449</v>
      </c>
      <c r="AZ419" s="33">
        <f t="shared" si="107"/>
        <v>7.2260738782568161</v>
      </c>
      <c r="BA419" s="39">
        <f t="shared" si="108"/>
        <v>232.77766152872096</v>
      </c>
      <c r="BB419" s="39">
        <f t="shared" si="109"/>
        <v>59.94522964183782</v>
      </c>
      <c r="BC419" s="45">
        <f t="shared" si="110"/>
        <v>225.88491283697692</v>
      </c>
      <c r="BD419" s="45">
        <f t="shared" si="111"/>
        <v>-104.37458969852163</v>
      </c>
      <c r="BE419" s="64">
        <f t="shared" si="112"/>
        <v>4255047648.0389981</v>
      </c>
      <c r="BF419" s="65">
        <f t="shared" si="113"/>
        <v>672327366.71658933</v>
      </c>
      <c r="BG419" s="66">
        <f t="shared" si="114"/>
        <v>1952309702.4905641</v>
      </c>
    </row>
    <row r="420" spans="43:59" x14ac:dyDescent="0.25">
      <c r="AQ420" s="7">
        <v>405</v>
      </c>
      <c r="AR420" s="58">
        <f t="shared" si="115"/>
        <v>202.5</v>
      </c>
      <c r="AS420" s="58">
        <f t="shared" si="116"/>
        <v>-42866.484233239928</v>
      </c>
      <c r="AT420" s="58">
        <f t="shared" si="117"/>
        <v>2135.6999114402211</v>
      </c>
      <c r="AU420" s="58">
        <f t="shared" si="118"/>
        <v>4631.4053112782731</v>
      </c>
      <c r="AV420" s="58">
        <f t="shared" si="119"/>
        <v>-2805.1625167138877</v>
      </c>
      <c r="AW420" s="58">
        <f t="shared" si="105"/>
        <v>637.46750449615593</v>
      </c>
      <c r="AX420" s="58">
        <f t="shared" si="120"/>
        <v>-15.538985946613735</v>
      </c>
      <c r="AY420" s="33">
        <f t="shared" si="106"/>
        <v>126.26198239885704</v>
      </c>
      <c r="AZ420" s="33">
        <f t="shared" si="107"/>
        <v>10.773740119632837</v>
      </c>
      <c r="BA420" s="39">
        <f t="shared" si="108"/>
        <v>257.42019107590744</v>
      </c>
      <c r="BB420" s="39">
        <f t="shared" si="109"/>
        <v>88.532614407444257</v>
      </c>
      <c r="BC420" s="45">
        <f t="shared" si="110"/>
        <v>253.78533102139144</v>
      </c>
      <c r="BD420" s="45">
        <f t="shared" si="111"/>
        <v>-114.84534047369083</v>
      </c>
      <c r="BE420" s="64">
        <f t="shared" si="112"/>
        <v>3980970555.2883272</v>
      </c>
      <c r="BF420" s="65">
        <f t="shared" si="113"/>
        <v>584723317.0719316</v>
      </c>
      <c r="BG420" s="66">
        <f t="shared" si="114"/>
        <v>1727502839.6411405</v>
      </c>
    </row>
    <row r="421" spans="43:59" x14ac:dyDescent="0.25">
      <c r="AQ421" s="7">
        <v>406</v>
      </c>
      <c r="AR421" s="58">
        <f t="shared" si="115"/>
        <v>203</v>
      </c>
      <c r="AS421" s="58">
        <f t="shared" si="116"/>
        <v>-40471.098139538772</v>
      </c>
      <c r="AT421" s="58">
        <f t="shared" si="117"/>
        <v>731.17627983995044</v>
      </c>
      <c r="AU421" s="58">
        <f t="shared" si="118"/>
        <v>4950.1390635263506</v>
      </c>
      <c r="AV421" s="58">
        <f t="shared" si="119"/>
        <v>-2812.9320096871947</v>
      </c>
      <c r="AW421" s="58">
        <f t="shared" si="105"/>
        <v>705.65763555859746</v>
      </c>
      <c r="AX421" s="58">
        <f t="shared" si="120"/>
        <v>14.762481815842875</v>
      </c>
      <c r="AY421" s="33">
        <f t="shared" si="106"/>
        <v>135.03008281805208</v>
      </c>
      <c r="AZ421" s="33">
        <f t="shared" si="107"/>
        <v>15.114573004858254</v>
      </c>
      <c r="BA421" s="39">
        <f t="shared" si="108"/>
        <v>281.96573663920515</v>
      </c>
      <c r="BB421" s="39">
        <f t="shared" si="109"/>
        <v>127.66734301302853</v>
      </c>
      <c r="BC421" s="45">
        <f t="shared" si="110"/>
        <v>288.66181610134026</v>
      </c>
      <c r="BD421" s="45">
        <f t="shared" si="111"/>
        <v>-128.0194342020439</v>
      </c>
      <c r="BE421" s="64">
        <f t="shared" si="112"/>
        <v>3702570684.7563305</v>
      </c>
      <c r="BF421" s="65">
        <f t="shared" si="113"/>
        <v>504976952.19402933</v>
      </c>
      <c r="BG421" s="66">
        <f t="shared" si="114"/>
        <v>1505668710.37219</v>
      </c>
    </row>
    <row r="422" spans="43:59" x14ac:dyDescent="0.25">
      <c r="AQ422" s="7">
        <v>407</v>
      </c>
      <c r="AR422" s="58">
        <f t="shared" si="115"/>
        <v>203.5</v>
      </c>
      <c r="AS422" s="58">
        <f t="shared" si="116"/>
        <v>-37907.821403330774</v>
      </c>
      <c r="AT422" s="58">
        <f t="shared" si="117"/>
        <v>-673.44441477666658</v>
      </c>
      <c r="AU422" s="58">
        <f t="shared" si="118"/>
        <v>5302.9678813056489</v>
      </c>
      <c r="AV422" s="58">
        <f t="shared" si="119"/>
        <v>-2805.5507687792733</v>
      </c>
      <c r="AW422" s="58">
        <f t="shared" si="105"/>
        <v>780.72633972382107</v>
      </c>
      <c r="AX422" s="58">
        <f t="shared" si="120"/>
        <v>55.695720686443082</v>
      </c>
      <c r="AY422" s="33">
        <f t="shared" si="106"/>
        <v>145.17755079838687</v>
      </c>
      <c r="AZ422" s="33">
        <f t="shared" si="107"/>
        <v>20.491198131238615</v>
      </c>
      <c r="BA422" s="39">
        <f t="shared" si="108"/>
        <v>302.40519192386648</v>
      </c>
      <c r="BB422" s="39">
        <f t="shared" si="109"/>
        <v>180.23995962674277</v>
      </c>
      <c r="BC422" s="45">
        <f t="shared" si="110"/>
        <v>333.14359700156774</v>
      </c>
      <c r="BD422" s="45">
        <f t="shared" si="111"/>
        <v>-145.0354370715383</v>
      </c>
      <c r="BE422" s="64">
        <f t="shared" si="112"/>
        <v>3420120973.2814975</v>
      </c>
      <c r="BF422" s="65">
        <f t="shared" si="113"/>
        <v>434612483.08891904</v>
      </c>
      <c r="BG422" s="66">
        <f t="shared" si="114"/>
        <v>1288174904.4500089</v>
      </c>
    </row>
    <row r="423" spans="43:59" x14ac:dyDescent="0.25">
      <c r="AQ423" s="7">
        <v>408</v>
      </c>
      <c r="AR423" s="58">
        <f t="shared" si="115"/>
        <v>204</v>
      </c>
      <c r="AS423" s="58">
        <f t="shared" si="116"/>
        <v>-35158.746670212473</v>
      </c>
      <c r="AT423" s="58">
        <f t="shared" si="117"/>
        <v>-2069.257834080498</v>
      </c>
      <c r="AU423" s="58">
        <f t="shared" si="118"/>
        <v>5693.3310511675591</v>
      </c>
      <c r="AV423" s="58">
        <f t="shared" si="119"/>
        <v>-2777.702908436052</v>
      </c>
      <c r="AW423" s="58">
        <f t="shared" si="105"/>
        <v>859.54071916694215</v>
      </c>
      <c r="AX423" s="58">
        <f t="shared" si="120"/>
        <v>107.39110137874513</v>
      </c>
      <c r="AY423" s="33">
        <f t="shared" si="106"/>
        <v>157.03313438471145</v>
      </c>
      <c r="AZ423" s="33">
        <f t="shared" si="107"/>
        <v>27.243014791570992</v>
      </c>
      <c r="BA423" s="39">
        <f t="shared" si="108"/>
        <v>311.32155660887753</v>
      </c>
      <c r="BB423" s="39">
        <f t="shared" si="109"/>
        <v>247.87142484565078</v>
      </c>
      <c r="BC423" s="45">
        <f t="shared" si="110"/>
        <v>391.18602817335324</v>
      </c>
      <c r="BD423" s="45">
        <f t="shared" si="111"/>
        <v>-167.72333825847664</v>
      </c>
      <c r="BE423" s="64">
        <f t="shared" si="112"/>
        <v>3134058029.7237864</v>
      </c>
      <c r="BF423" s="65">
        <f t="shared" si="113"/>
        <v>375454585.27719116</v>
      </c>
      <c r="BG423" s="66">
        <f t="shared" si="114"/>
        <v>1076754093.6795404</v>
      </c>
    </row>
    <row r="424" spans="43:59" x14ac:dyDescent="0.25">
      <c r="AQ424" s="7">
        <v>409</v>
      </c>
      <c r="AR424" s="58">
        <f t="shared" si="115"/>
        <v>204.5</v>
      </c>
      <c r="AS424" s="58">
        <f t="shared" si="116"/>
        <v>-32204.638554732825</v>
      </c>
      <c r="AT424" s="58">
        <f t="shared" si="117"/>
        <v>-3444.685400626181</v>
      </c>
      <c r="AU424" s="58">
        <f t="shared" si="118"/>
        <v>6123.10141075103</v>
      </c>
      <c r="AV424" s="58">
        <f t="shared" si="119"/>
        <v>-2724.0073577466792</v>
      </c>
      <c r="AW424" s="58">
        <f t="shared" si="105"/>
        <v>937.30838179536454</v>
      </c>
      <c r="AX424" s="58">
        <f t="shared" si="120"/>
        <v>164.32307367964719</v>
      </c>
      <c r="AY424" s="33">
        <f t="shared" si="106"/>
        <v>171.02332315901768</v>
      </c>
      <c r="AZ424" s="33">
        <f t="shared" si="107"/>
        <v>35.854983770889049</v>
      </c>
      <c r="BA424" s="39">
        <f t="shared" si="108"/>
        <v>297.4080667872322</v>
      </c>
      <c r="BB424" s="39">
        <f t="shared" si="109"/>
        <v>327.62608049643222</v>
      </c>
      <c r="BC424" s="45">
        <f t="shared" si="110"/>
        <v>468.87699184911469</v>
      </c>
      <c r="BD424" s="45">
        <f t="shared" si="111"/>
        <v>-199.15799058767405</v>
      </c>
      <c r="BE424" s="64">
        <f t="shared" si="112"/>
        <v>2845110425.1489768</v>
      </c>
      <c r="BF424" s="65">
        <f t="shared" si="113"/>
        <v>329712767.77348173</v>
      </c>
      <c r="BG424" s="66">
        <f t="shared" si="114"/>
        <v>873617654.38415742</v>
      </c>
    </row>
    <row r="425" spans="43:59" x14ac:dyDescent="0.25">
      <c r="AQ425" s="7">
        <v>410</v>
      </c>
      <c r="AR425" s="58">
        <f t="shared" si="115"/>
        <v>205</v>
      </c>
      <c r="AS425" s="58">
        <f t="shared" si="116"/>
        <v>-29025.924301632891</v>
      </c>
      <c r="AT425" s="58">
        <f t="shared" si="117"/>
        <v>-4786.1486952895648</v>
      </c>
      <c r="AU425" s="58">
        <f t="shared" si="118"/>
        <v>6591.7556016487124</v>
      </c>
      <c r="AV425" s="58">
        <f t="shared" si="119"/>
        <v>-2641.8458209068558</v>
      </c>
      <c r="AW425" s="58">
        <f t="shared" si="105"/>
        <v>1011.9597547430014</v>
      </c>
      <c r="AX425" s="58">
        <f t="shared" si="120"/>
        <v>209.40353521543352</v>
      </c>
      <c r="AY425" s="33">
        <f t="shared" si="106"/>
        <v>187.69495504110301</v>
      </c>
      <c r="AZ425" s="33">
        <f t="shared" si="107"/>
        <v>47.037320761209479</v>
      </c>
      <c r="BA425" s="39">
        <f t="shared" si="108"/>
        <v>248.52170019504754</v>
      </c>
      <c r="BB425" s="39">
        <f t="shared" si="109"/>
        <v>407.12493150705416</v>
      </c>
      <c r="BC425" s="45">
        <f t="shared" si="110"/>
        <v>575.74309950685085</v>
      </c>
      <c r="BD425" s="45">
        <f t="shared" si="111"/>
        <v>-244.75871705283009</v>
      </c>
      <c r="BE425" s="64">
        <f t="shared" si="112"/>
        <v>2554490703.3922038</v>
      </c>
      <c r="BF425" s="65">
        <f t="shared" si="113"/>
        <v>300097502.73802048</v>
      </c>
      <c r="BG425" s="66">
        <f t="shared" si="114"/>
        <v>681567797.02252889</v>
      </c>
    </row>
    <row r="426" spans="43:59" x14ac:dyDescent="0.25">
      <c r="AQ426" s="7">
        <v>411</v>
      </c>
      <c r="AR426" s="58">
        <f t="shared" si="115"/>
        <v>205.5</v>
      </c>
      <c r="AS426" s="58">
        <f t="shared" si="116"/>
        <v>-25603.551531465659</v>
      </c>
      <c r="AT426" s="58">
        <f t="shared" si="117"/>
        <v>-6080.8961638410638</v>
      </c>
      <c r="AU426" s="58">
        <f t="shared" si="118"/>
        <v>7097.7354790202135</v>
      </c>
      <c r="AV426" s="58">
        <f t="shared" si="119"/>
        <v>-2537.1440532991392</v>
      </c>
      <c r="AW426" s="58">
        <f t="shared" si="105"/>
        <v>1095.6119807330665</v>
      </c>
      <c r="AX426" s="58">
        <f t="shared" si="120"/>
        <v>210.01625644556071</v>
      </c>
      <c r="AY426" s="33">
        <f t="shared" si="106"/>
        <v>207.72641727160664</v>
      </c>
      <c r="AZ426" s="33">
        <f t="shared" si="107"/>
        <v>61.861649119715878</v>
      </c>
      <c r="BA426" s="39">
        <f t="shared" si="108"/>
        <v>161.23753574350971</v>
      </c>
      <c r="BB426" s="39">
        <f t="shared" si="109"/>
        <v>462.71441521424015</v>
      </c>
      <c r="BC426" s="45">
        <f t="shared" si="110"/>
        <v>726.64802771795007</v>
      </c>
      <c r="BD426" s="45">
        <f t="shared" si="111"/>
        <v>-314.55980788839537</v>
      </c>
      <c r="BE426" s="64">
        <f t="shared" si="112"/>
        <v>2264124652.8960767</v>
      </c>
      <c r="BF426" s="65">
        <f t="shared" si="113"/>
        <v>289995011.1980294</v>
      </c>
      <c r="BG426" s="66">
        <f t="shared" si="114"/>
        <v>504056748.94994593</v>
      </c>
    </row>
    <row r="427" spans="43:59" x14ac:dyDescent="0.25">
      <c r="AQ427" s="7">
        <v>412</v>
      </c>
      <c r="AR427" s="58">
        <f t="shared" si="115"/>
        <v>206</v>
      </c>
      <c r="AS427" s="58">
        <f t="shared" si="116"/>
        <v>-21917.732294363919</v>
      </c>
      <c r="AT427" s="58">
        <f t="shared" si="117"/>
        <v>-7323.2161584349387</v>
      </c>
      <c r="AU427" s="58">
        <f t="shared" si="118"/>
        <v>7645.5414693867469</v>
      </c>
      <c r="AV427" s="58">
        <f t="shared" si="119"/>
        <v>-2432.1359250763589</v>
      </c>
      <c r="AW427" s="58">
        <f t="shared" si="105"/>
        <v>1227.0526431384051</v>
      </c>
      <c r="AX427" s="58">
        <f t="shared" si="120"/>
        <v>123.56878154117226</v>
      </c>
      <c r="AY427" s="33">
        <f t="shared" si="106"/>
        <v>231.89792121826389</v>
      </c>
      <c r="AZ427" s="33">
        <f t="shared" si="107"/>
        <v>82.0052236788637</v>
      </c>
      <c r="BA427" s="39">
        <f t="shared" si="108"/>
        <v>51.980500689096552</v>
      </c>
      <c r="BB427" s="39">
        <f t="shared" si="109"/>
        <v>469.5490877988093</v>
      </c>
      <c r="BC427" s="45">
        <f t="shared" si="110"/>
        <v>943.17422123104473</v>
      </c>
      <c r="BD427" s="45">
        <f t="shared" si="111"/>
        <v>-427.98552993650071</v>
      </c>
      <c r="BE427" s="64">
        <f t="shared" si="112"/>
        <v>1976824017.9816463</v>
      </c>
      <c r="BF427" s="65">
        <f t="shared" si="113"/>
        <v>303771515.2247076</v>
      </c>
      <c r="BG427" s="66">
        <f t="shared" si="114"/>
        <v>345142676.13387829</v>
      </c>
    </row>
    <row r="428" spans="43:59" x14ac:dyDescent="0.25">
      <c r="AQ428" s="7">
        <v>413</v>
      </c>
      <c r="AR428" s="58">
        <f t="shared" si="115"/>
        <v>206.5</v>
      </c>
      <c r="AS428" s="58">
        <f t="shared" si="116"/>
        <v>-17941.579979278245</v>
      </c>
      <c r="AT428" s="58">
        <f t="shared" si="117"/>
        <v>-8523.838023280472</v>
      </c>
      <c r="AU428" s="58">
        <f t="shared" si="118"/>
        <v>8259.067790955949</v>
      </c>
      <c r="AV428" s="58">
        <f t="shared" si="119"/>
        <v>-2370.3515343057729</v>
      </c>
      <c r="AW428" s="58">
        <f t="shared" si="105"/>
        <v>1459.0424182163613</v>
      </c>
      <c r="AX428" s="58">
        <f t="shared" si="120"/>
        <v>-91.217880050569534</v>
      </c>
      <c r="AY428" s="33">
        <f t="shared" si="106"/>
        <v>260.93719086110053</v>
      </c>
      <c r="AZ428" s="33">
        <f t="shared" si="107"/>
        <v>110.20140128301621</v>
      </c>
      <c r="BA428" s="39">
        <f t="shared" si="108"/>
        <v>-46.846388975226262</v>
      </c>
      <c r="BB428" s="39">
        <f t="shared" si="109"/>
        <v>421.573300209357</v>
      </c>
      <c r="BC428" s="45">
        <f t="shared" si="110"/>
        <v>1244.951616330487</v>
      </c>
      <c r="BD428" s="45">
        <f t="shared" si="111"/>
        <v>-622.99258154294273</v>
      </c>
      <c r="BE428" s="64">
        <f t="shared" si="112"/>
        <v>1696326876.3202972</v>
      </c>
      <c r="BF428" s="65">
        <f t="shared" si="113"/>
        <v>347369668.09443951</v>
      </c>
      <c r="BG428" s="66">
        <f t="shared" si="114"/>
        <v>209425166.3087633</v>
      </c>
    </row>
    <row r="429" spans="43:59" x14ac:dyDescent="0.25">
      <c r="AQ429" s="7">
        <v>414</v>
      </c>
      <c r="AR429" s="58">
        <f t="shared" si="115"/>
        <v>207</v>
      </c>
      <c r="AS429" s="58">
        <f t="shared" si="116"/>
        <v>-13629.665781523227</v>
      </c>
      <c r="AT429" s="58">
        <f t="shared" si="117"/>
        <v>-9720.4160254396793</v>
      </c>
      <c r="AU429" s="58">
        <f t="shared" si="118"/>
        <v>8988.5890000641302</v>
      </c>
      <c r="AV429" s="58">
        <f t="shared" si="119"/>
        <v>-2415.9604743310579</v>
      </c>
      <c r="AW429" s="58">
        <f t="shared" si="105"/>
        <v>1755.4731775955015</v>
      </c>
      <c r="AX429" s="58">
        <f t="shared" si="120"/>
        <v>-470.99171516875623</v>
      </c>
      <c r="AY429" s="33">
        <f t="shared" si="106"/>
        <v>294.95146742963965</v>
      </c>
      <c r="AZ429" s="33">
        <f t="shared" si="107"/>
        <v>151.03293055154052</v>
      </c>
      <c r="BA429" s="39">
        <f t="shared" si="108"/>
        <v>-109.31122675414595</v>
      </c>
      <c r="BB429" s="39">
        <f t="shared" si="109"/>
        <v>338.39085892708096</v>
      </c>
      <c r="BC429" s="45">
        <f t="shared" si="110"/>
        <v>1569.8329369200078</v>
      </c>
      <c r="BD429" s="45">
        <f t="shared" si="111"/>
        <v>-960.4155046473777</v>
      </c>
      <c r="BE429" s="64">
        <f t="shared" si="112"/>
        <v>1427497148.6661737</v>
      </c>
      <c r="BF429" s="65">
        <f t="shared" si="113"/>
        <v>429475966.27151412</v>
      </c>
      <c r="BG429" s="66">
        <f t="shared" si="114"/>
        <v>102345138.44522703</v>
      </c>
    </row>
    <row r="430" spans="43:59" x14ac:dyDescent="0.25">
      <c r="AQ430" s="7">
        <v>415</v>
      </c>
      <c r="AR430" s="58">
        <f t="shared" si="115"/>
        <v>207.5</v>
      </c>
      <c r="AS430" s="58">
        <f t="shared" si="116"/>
        <v>-8915.9371342917239</v>
      </c>
      <c r="AT430" s="58">
        <f t="shared" si="117"/>
        <v>-10987.270227001303</v>
      </c>
      <c r="AU430" s="58">
        <f t="shared" si="118"/>
        <v>9866.3255888618805</v>
      </c>
      <c r="AV430" s="58">
        <f t="shared" si="119"/>
        <v>-2651.4563319154358</v>
      </c>
      <c r="AW430" s="58">
        <f t="shared" si="105"/>
        <v>1560.7397992392009</v>
      </c>
      <c r="AX430" s="58">
        <f t="shared" si="120"/>
        <v>-933.67164648522589</v>
      </c>
      <c r="AY430" s="33">
        <f t="shared" si="106"/>
        <v>331.42494675118382</v>
      </c>
      <c r="AZ430" s="33">
        <f t="shared" si="107"/>
        <v>211.89500178060658</v>
      </c>
      <c r="BA430" s="39">
        <f t="shared" si="108"/>
        <v>-131.37779509459841</v>
      </c>
      <c r="BB430" s="39">
        <f t="shared" si="109"/>
        <v>248.7590805721899</v>
      </c>
      <c r="BC430" s="45">
        <f t="shared" si="110"/>
        <v>1360.6926475826156</v>
      </c>
      <c r="BD430" s="45">
        <f t="shared" si="111"/>
        <v>-1394.3257288380223</v>
      </c>
      <c r="BE430" s="64">
        <f t="shared" si="112"/>
        <v>1177910580.8004799</v>
      </c>
      <c r="BF430" s="65">
        <f t="shared" si="113"/>
        <v>563321961.19214845</v>
      </c>
      <c r="BG430" s="66">
        <f t="shared" si="114"/>
        <v>31436563.870835051</v>
      </c>
    </row>
    <row r="431" spans="43:59" x14ac:dyDescent="0.25">
      <c r="AQ431" s="7">
        <v>416</v>
      </c>
      <c r="AR431" s="58">
        <f t="shared" si="115"/>
        <v>208</v>
      </c>
      <c r="AS431" s="58">
        <f t="shared" si="116"/>
        <v>-3787.6818649558836</v>
      </c>
      <c r="AT431" s="58">
        <f t="shared" si="117"/>
        <v>-12429.707348769674</v>
      </c>
      <c r="AU431" s="58">
        <f t="shared" si="118"/>
        <v>10646.69548848148</v>
      </c>
      <c r="AV431" s="58">
        <f t="shared" si="119"/>
        <v>-3118.2921551580489</v>
      </c>
      <c r="AW431" s="58">
        <f t="shared" si="105"/>
        <v>-330.7675823449274</v>
      </c>
      <c r="AX431" s="58">
        <f t="shared" si="120"/>
        <v>-723.57894600966392</v>
      </c>
      <c r="AY431" s="33">
        <f t="shared" si="106"/>
        <v>359.35361489373963</v>
      </c>
      <c r="AZ431" s="33">
        <f t="shared" si="107"/>
        <v>301.072312140912</v>
      </c>
      <c r="BA431" s="39">
        <f t="shared" si="108"/>
        <v>-125.15741274116405</v>
      </c>
      <c r="BB431" s="39">
        <f t="shared" si="109"/>
        <v>173.15501194399971</v>
      </c>
      <c r="BC431" s="45">
        <f t="shared" si="110"/>
        <v>-564.96378449750296</v>
      </c>
      <c r="BD431" s="45">
        <f t="shared" si="111"/>
        <v>-1197.8062700945757</v>
      </c>
      <c r="BE431" s="64">
        <f t="shared" si="112"/>
        <v>963047043.51595521</v>
      </c>
      <c r="BF431" s="65">
        <f t="shared" si="113"/>
        <v>765931031.06333268</v>
      </c>
      <c r="BG431" s="66">
        <f t="shared" si="114"/>
        <v>8076119.5735254604</v>
      </c>
    </row>
    <row r="432" spans="43:59" x14ac:dyDescent="0.25">
      <c r="AQ432" s="7">
        <v>417</v>
      </c>
      <c r="AR432" s="58">
        <f t="shared" si="115"/>
        <v>208.5</v>
      </c>
      <c r="AS432" s="58">
        <f t="shared" si="116"/>
        <v>1494.3199314917406</v>
      </c>
      <c r="AT432" s="58">
        <f t="shared" si="117"/>
        <v>-14079.300794599905</v>
      </c>
      <c r="AU432" s="58">
        <f t="shared" si="118"/>
        <v>10481.311697309016</v>
      </c>
      <c r="AV432" s="58">
        <f t="shared" si="119"/>
        <v>-3480.0816281628809</v>
      </c>
      <c r="AW432" s="58">
        <f t="shared" si="105"/>
        <v>-1741.0970807101919</v>
      </c>
      <c r="AX432" s="58">
        <f t="shared" si="120"/>
        <v>251.06742563123231</v>
      </c>
      <c r="AY432" s="33">
        <f t="shared" si="106"/>
        <v>354.06598614155075</v>
      </c>
      <c r="AZ432" s="33">
        <f t="shared" si="107"/>
        <v>412.87304156345255</v>
      </c>
      <c r="BA432" s="39">
        <f t="shared" si="108"/>
        <v>-107.14889565962773</v>
      </c>
      <c r="BB432" s="39">
        <f t="shared" si="109"/>
        <v>120.03499048217225</v>
      </c>
      <c r="BC432" s="45">
        <f t="shared" si="110"/>
        <v>-1988.0141711921149</v>
      </c>
      <c r="BD432" s="45">
        <f t="shared" si="111"/>
        <v>-281.84060641439254</v>
      </c>
      <c r="BE432" s="64">
        <f t="shared" si="112"/>
        <v>808126417.58180404</v>
      </c>
      <c r="BF432" s="65">
        <f t="shared" si="113"/>
        <v>1041818516.0741427</v>
      </c>
      <c r="BG432" s="66">
        <f t="shared" si="114"/>
        <v>43023878.399395242</v>
      </c>
    </row>
    <row r="433" spans="43:59" x14ac:dyDescent="0.25">
      <c r="AQ433" s="7">
        <v>418</v>
      </c>
      <c r="AR433" s="58">
        <f t="shared" si="115"/>
        <v>209</v>
      </c>
      <c r="AS433" s="58">
        <f t="shared" si="116"/>
        <v>6517.3386450574753</v>
      </c>
      <c r="AT433" s="58">
        <f t="shared" si="117"/>
        <v>-15787.958180477441</v>
      </c>
      <c r="AU433" s="58">
        <f t="shared" si="118"/>
        <v>9610.7631569539208</v>
      </c>
      <c r="AV433" s="58">
        <f t="shared" si="119"/>
        <v>-3354.5479153472647</v>
      </c>
      <c r="AW433" s="58">
        <f t="shared" si="105"/>
        <v>-1483.4991667464201</v>
      </c>
      <c r="AX433" s="58">
        <f t="shared" si="120"/>
        <v>718.01930328881133</v>
      </c>
      <c r="AY433" s="33">
        <f t="shared" si="106"/>
        <v>298.3977615675218</v>
      </c>
      <c r="AZ433" s="33">
        <f t="shared" si="107"/>
        <v>515.40822761858578</v>
      </c>
      <c r="BA433" s="39">
        <f t="shared" si="108"/>
        <v>-89.265051788805138</v>
      </c>
      <c r="BB433" s="39">
        <f t="shared" si="109"/>
        <v>86.809745627958023</v>
      </c>
      <c r="BC433" s="45">
        <f t="shared" si="110"/>
        <v>-1692.6318765251367</v>
      </c>
      <c r="BD433" s="45">
        <f t="shared" si="111"/>
        <v>115.80133004226749</v>
      </c>
      <c r="BE433" s="64">
        <f t="shared" si="112"/>
        <v>724111153.42772686</v>
      </c>
      <c r="BF433" s="65">
        <f t="shared" si="113"/>
        <v>1368188035.9347119</v>
      </c>
      <c r="BG433" s="66">
        <f t="shared" si="114"/>
        <v>133269967.55911569</v>
      </c>
    </row>
    <row r="434" spans="43:59" x14ac:dyDescent="0.25">
      <c r="AQ434" s="7">
        <v>419</v>
      </c>
      <c r="AR434" s="58">
        <f t="shared" si="115"/>
        <v>209.5</v>
      </c>
      <c r="AS434" s="58">
        <f t="shared" si="116"/>
        <v>11137.282827691133</v>
      </c>
      <c r="AT434" s="58">
        <f t="shared" si="117"/>
        <v>-17375.479725239973</v>
      </c>
      <c r="AU434" s="58">
        <f t="shared" si="118"/>
        <v>8869.0135735807107</v>
      </c>
      <c r="AV434" s="58">
        <f t="shared" si="119"/>
        <v>-2995.5382637028592</v>
      </c>
      <c r="AW434" s="58">
        <f t="shared" si="105"/>
        <v>-1075.5661762466054</v>
      </c>
      <c r="AX434" s="58">
        <f t="shared" si="120"/>
        <v>822.23779604459128</v>
      </c>
      <c r="AY434" s="33">
        <f t="shared" si="106"/>
        <v>206.111599671748</v>
      </c>
      <c r="AZ434" s="33">
        <f t="shared" si="107"/>
        <v>578.50485568814042</v>
      </c>
      <c r="BA434" s="39">
        <f t="shared" si="108"/>
        <v>-75.226263586968116</v>
      </c>
      <c r="BB434" s="39">
        <f t="shared" si="109"/>
        <v>66.137917846806147</v>
      </c>
      <c r="BC434" s="45">
        <f t="shared" si="110"/>
        <v>-1206.4515123313854</v>
      </c>
      <c r="BD434" s="45">
        <f t="shared" si="111"/>
        <v>177.59502250964468</v>
      </c>
      <c r="BE434" s="64">
        <f t="shared" si="112"/>
        <v>697337247.23716342</v>
      </c>
      <c r="BF434" s="65">
        <f t="shared" si="113"/>
        <v>1718947272.0786538</v>
      </c>
      <c r="BG434" s="66">
        <f t="shared" si="114"/>
        <v>266054800.98592132</v>
      </c>
    </row>
    <row r="435" spans="43:59" x14ac:dyDescent="0.25">
      <c r="AQ435" s="7">
        <v>420</v>
      </c>
      <c r="AR435" s="58">
        <f t="shared" si="115"/>
        <v>210</v>
      </c>
      <c r="AS435" s="58">
        <f t="shared" si="116"/>
        <v>15437.343842450662</v>
      </c>
      <c r="AT435" s="58">
        <f t="shared" si="117"/>
        <v>-18770.469132585829</v>
      </c>
      <c r="AU435" s="58">
        <f t="shared" si="118"/>
        <v>8331.2304854574086</v>
      </c>
      <c r="AV435" s="58">
        <f t="shared" si="119"/>
        <v>-2584.4193656805637</v>
      </c>
      <c r="AW435" s="58">
        <f t="shared" si="105"/>
        <v>-833.49911124850803</v>
      </c>
      <c r="AX435" s="58">
        <f t="shared" si="120"/>
        <v>809.02390943344778</v>
      </c>
      <c r="AY435" s="33">
        <f t="shared" si="106"/>
        <v>103.44772045286788</v>
      </c>
      <c r="AZ435" s="33">
        <f t="shared" si="107"/>
        <v>595.62238598603994</v>
      </c>
      <c r="BA435" s="39">
        <f t="shared" si="108"/>
        <v>-64.625888565148259</v>
      </c>
      <c r="BB435" s="39">
        <f t="shared" si="109"/>
        <v>52.46773404902428</v>
      </c>
      <c r="BC435" s="45">
        <f t="shared" si="110"/>
        <v>-872.3209431362277</v>
      </c>
      <c r="BD435" s="45">
        <f t="shared" si="111"/>
        <v>160.93378939838354</v>
      </c>
      <c r="BE435" s="64">
        <f t="shared" si="112"/>
        <v>710955379.65816772</v>
      </c>
      <c r="BF435" s="65">
        <f t="shared" si="113"/>
        <v>2083545232.7171497</v>
      </c>
      <c r="BG435" s="66">
        <f t="shared" si="114"/>
        <v>431901460.81433845</v>
      </c>
    </row>
    <row r="436" spans="43:59" x14ac:dyDescent="0.25">
      <c r="AQ436" s="7">
        <v>421</v>
      </c>
      <c r="AR436" s="58">
        <f t="shared" si="115"/>
        <v>210.5</v>
      </c>
      <c r="AS436" s="58">
        <f t="shared" si="116"/>
        <v>19498.771696273303</v>
      </c>
      <c r="AT436" s="58">
        <f t="shared" si="117"/>
        <v>-19961.55082674693</v>
      </c>
      <c r="AU436" s="58">
        <f t="shared" si="118"/>
        <v>7914.4809298331547</v>
      </c>
      <c r="AV436" s="58">
        <f t="shared" si="119"/>
        <v>-2179.90741096384</v>
      </c>
      <c r="AW436" s="58">
        <f t="shared" si="105"/>
        <v>-703.37842614634303</v>
      </c>
      <c r="AX436" s="58">
        <f t="shared" si="120"/>
        <v>751.76252993185426</v>
      </c>
      <c r="AY436" s="33">
        <f t="shared" si="106"/>
        <v>10.508760554776954</v>
      </c>
      <c r="AZ436" s="33">
        <f t="shared" si="107"/>
        <v>575.75930959093898</v>
      </c>
      <c r="BA436" s="39">
        <f t="shared" si="108"/>
        <v>-56.517697650856405</v>
      </c>
      <c r="BB436" s="39">
        <f t="shared" si="109"/>
        <v>42.871152647428211</v>
      </c>
      <c r="BC436" s="45">
        <f t="shared" si="110"/>
        <v>-657.36948905026361</v>
      </c>
      <c r="BD436" s="45">
        <f t="shared" si="111"/>
        <v>133.13206769348707</v>
      </c>
      <c r="BE436" s="64">
        <f t="shared" si="112"/>
        <v>754388003.6224618</v>
      </c>
      <c r="BF436" s="65">
        <f t="shared" si="113"/>
        <v>2457847493.4580607</v>
      </c>
      <c r="BG436" s="66">
        <f t="shared" si="114"/>
        <v>624806801.23251498</v>
      </c>
    </row>
    <row r="437" spans="43:59" x14ac:dyDescent="0.25">
      <c r="AQ437" s="7">
        <v>422</v>
      </c>
      <c r="AR437" s="58">
        <f t="shared" si="115"/>
        <v>211</v>
      </c>
      <c r="AS437" s="58">
        <f t="shared" si="116"/>
        <v>23368.089857921586</v>
      </c>
      <c r="AT437" s="58">
        <f t="shared" si="117"/>
        <v>-20957.534215987369</v>
      </c>
      <c r="AU437" s="58">
        <f t="shared" si="118"/>
        <v>7562.7917167599835</v>
      </c>
      <c r="AV437" s="58">
        <f t="shared" si="119"/>
        <v>-1804.0261459979129</v>
      </c>
      <c r="AW437" s="58">
        <f t="shared" si="105"/>
        <v>-628.4499413542319</v>
      </c>
      <c r="AX437" s="58">
        <f t="shared" si="120"/>
        <v>676.96008029691939</v>
      </c>
      <c r="AY437" s="33">
        <f t="shared" si="106"/>
        <v>-63.076687383406664</v>
      </c>
      <c r="AZ437" s="33">
        <f t="shared" si="107"/>
        <v>532.94510098139551</v>
      </c>
      <c r="BA437" s="39">
        <f t="shared" si="108"/>
        <v>-50.180054770096788</v>
      </c>
      <c r="BB437" s="39">
        <f t="shared" si="109"/>
        <v>35.820133365215284</v>
      </c>
      <c r="BC437" s="45">
        <f t="shared" si="110"/>
        <v>-515.19319920072849</v>
      </c>
      <c r="BD437" s="45">
        <f t="shared" si="111"/>
        <v>108.19484595030855</v>
      </c>
      <c r="BE437" s="64">
        <f t="shared" si="112"/>
        <v>821175282.94512606</v>
      </c>
      <c r="BF437" s="65">
        <f t="shared" si="113"/>
        <v>2839160142.6587896</v>
      </c>
      <c r="BG437" s="66">
        <f t="shared" si="114"/>
        <v>840240736.12177372</v>
      </c>
    </row>
    <row r="438" spans="43:59" x14ac:dyDescent="0.25">
      <c r="AQ438" s="7">
        <v>423</v>
      </c>
      <c r="AR438" s="58">
        <f t="shared" si="115"/>
        <v>211.5</v>
      </c>
      <c r="AS438" s="58">
        <f t="shared" si="116"/>
        <v>27070.929473632299</v>
      </c>
      <c r="AT438" s="58">
        <f t="shared" si="117"/>
        <v>-21774.927278949213</v>
      </c>
      <c r="AU438" s="58">
        <f t="shared" si="118"/>
        <v>7248.5667460828672</v>
      </c>
      <c r="AV438" s="58">
        <f t="shared" si="119"/>
        <v>-1465.5461058494532</v>
      </c>
      <c r="AW438" s="58">
        <f t="shared" si="105"/>
        <v>-578.1920737741043</v>
      </c>
      <c r="AX438" s="58">
        <f t="shared" si="120"/>
        <v>598.25851398644545</v>
      </c>
      <c r="AY438" s="33">
        <f t="shared" si="106"/>
        <v>-115.85595595915315</v>
      </c>
      <c r="AZ438" s="33">
        <f t="shared" si="107"/>
        <v>479.66461809370389</v>
      </c>
      <c r="BA438" s="39">
        <f t="shared" si="108"/>
        <v>-45.119486929029854</v>
      </c>
      <c r="BB438" s="39">
        <f t="shared" si="109"/>
        <v>30.457618578288766</v>
      </c>
      <c r="BC438" s="45">
        <f t="shared" si="110"/>
        <v>-417.21663088592129</v>
      </c>
      <c r="BD438" s="45">
        <f t="shared" si="111"/>
        <v>88.136277314452769</v>
      </c>
      <c r="BE438" s="64">
        <f t="shared" si="112"/>
        <v>907019410.80884671</v>
      </c>
      <c r="BF438" s="65">
        <f t="shared" si="113"/>
        <v>3225318405.0941768</v>
      </c>
      <c r="BG438" s="66">
        <f t="shared" si="114"/>
        <v>1074444156.9377472</v>
      </c>
    </row>
    <row r="439" spans="43:59" x14ac:dyDescent="0.25">
      <c r="AQ439" s="7">
        <v>424</v>
      </c>
      <c r="AR439" s="58">
        <f t="shared" si="115"/>
        <v>212</v>
      </c>
      <c r="AS439" s="58">
        <f t="shared" si="116"/>
        <v>30622.938837451969</v>
      </c>
      <c r="AT439" s="58">
        <f t="shared" si="117"/>
        <v>-22432.918017625634</v>
      </c>
      <c r="AU439" s="58">
        <f t="shared" si="118"/>
        <v>6959.4707091958153</v>
      </c>
      <c r="AV439" s="58">
        <f t="shared" si="119"/>
        <v>-1166.4168488562304</v>
      </c>
      <c r="AW439" s="58">
        <f t="shared" si="105"/>
        <v>-538.66103471803933</v>
      </c>
      <c r="AX439" s="58">
        <f t="shared" si="120"/>
        <v>523.15013200522094</v>
      </c>
      <c r="AY439" s="33">
        <f t="shared" si="106"/>
        <v>-150.64265484454194</v>
      </c>
      <c r="AZ439" s="33">
        <f t="shared" si="107"/>
        <v>424.47521410193167</v>
      </c>
      <c r="BA439" s="39">
        <f t="shared" si="108"/>
        <v>-40.999850120379037</v>
      </c>
      <c r="BB439" s="39">
        <f t="shared" si="109"/>
        <v>26.267632978775566</v>
      </c>
      <c r="BC439" s="45">
        <f t="shared" si="110"/>
        <v>-347.01852975311834</v>
      </c>
      <c r="BD439" s="45">
        <f t="shared" si="111"/>
        <v>72.407284924513732</v>
      </c>
      <c r="BE439" s="64">
        <f t="shared" si="112"/>
        <v>1008826410.5941427</v>
      </c>
      <c r="BF439" s="65">
        <f t="shared" si="113"/>
        <v>3614576107.6784286</v>
      </c>
      <c r="BG439" s="66">
        <f t="shared" si="114"/>
        <v>1324242041.6735878</v>
      </c>
    </row>
    <row r="440" spans="43:59" x14ac:dyDescent="0.25">
      <c r="AQ440" s="7">
        <v>425</v>
      </c>
      <c r="AR440" s="58">
        <f t="shared" si="115"/>
        <v>212.5</v>
      </c>
      <c r="AS440" s="58">
        <f t="shared" si="116"/>
        <v>34035.34156271012</v>
      </c>
      <c r="AT440" s="58">
        <f t="shared" si="117"/>
        <v>-22950.732675553096</v>
      </c>
      <c r="AU440" s="58">
        <f t="shared" si="118"/>
        <v>6690.1401918367956</v>
      </c>
      <c r="AV440" s="58">
        <f t="shared" si="119"/>
        <v>-904.84178285361997</v>
      </c>
      <c r="AW440" s="58">
        <f t="shared" si="105"/>
        <v>-504.13257493616959</v>
      </c>
      <c r="AX440" s="58">
        <f t="shared" si="120"/>
        <v>455.22153522836396</v>
      </c>
      <c r="AY440" s="33">
        <f t="shared" si="106"/>
        <v>-171.56269519462788</v>
      </c>
      <c r="AZ440" s="33">
        <f t="shared" si="107"/>
        <v>372.2182139370932</v>
      </c>
      <c r="BA440" s="39">
        <f t="shared" si="108"/>
        <v>-37.58838033815173</v>
      </c>
      <c r="BB440" s="39">
        <f t="shared" si="109"/>
        <v>22.921381385033925</v>
      </c>
      <c r="BC440" s="45">
        <f t="shared" si="110"/>
        <v>-294.98149940338999</v>
      </c>
      <c r="BD440" s="45">
        <f t="shared" si="111"/>
        <v>60.081939906236855</v>
      </c>
      <c r="BE440" s="64">
        <f t="shared" si="112"/>
        <v>1124237933.2599351</v>
      </c>
      <c r="BF440" s="65">
        <f t="shared" si="113"/>
        <v>4005568921.6545105</v>
      </c>
      <c r="BG440" s="66">
        <f t="shared" si="114"/>
        <v>1586972040.9955518</v>
      </c>
    </row>
    <row r="441" spans="43:59" x14ac:dyDescent="0.25">
      <c r="AQ441" s="7">
        <v>426</v>
      </c>
      <c r="AR441" s="58">
        <f t="shared" si="115"/>
        <v>213</v>
      </c>
      <c r="AS441" s="58">
        <f t="shared" si="116"/>
        <v>37317.395086761499</v>
      </c>
      <c r="AT441" s="58">
        <f t="shared" si="117"/>
        <v>-23346.250875076359</v>
      </c>
      <c r="AU441" s="58">
        <f t="shared" si="118"/>
        <v>6438.0739043687108</v>
      </c>
      <c r="AV441" s="58">
        <f t="shared" si="119"/>
        <v>-677.23101523943797</v>
      </c>
      <c r="AW441" s="58">
        <f t="shared" si="105"/>
        <v>-472.50799160387379</v>
      </c>
      <c r="AX441" s="58">
        <f t="shared" si="120"/>
        <v>395.65805270770124</v>
      </c>
      <c r="AY441" s="33">
        <f t="shared" si="106"/>
        <v>-182.52120794221759</v>
      </c>
      <c r="AZ441" s="33">
        <f t="shared" si="107"/>
        <v>325.11211657413884</v>
      </c>
      <c r="BA441" s="39">
        <f t="shared" si="108"/>
        <v>-34.72061886056462</v>
      </c>
      <c r="BB441" s="39">
        <f t="shared" si="109"/>
        <v>20.199844485425878</v>
      </c>
      <c r="BC441" s="45">
        <f t="shared" si="110"/>
        <v>-255.26616480109158</v>
      </c>
      <c r="BD441" s="45">
        <f t="shared" si="111"/>
        <v>50.346091648136522</v>
      </c>
      <c r="BE441" s="64">
        <f t="shared" si="112"/>
        <v>1251383365.6391404</v>
      </c>
      <c r="BF441" s="65">
        <f t="shared" si="113"/>
        <v>4397256226.9554424</v>
      </c>
      <c r="BG441" s="66">
        <f t="shared" si="114"/>
        <v>1860421830.598779</v>
      </c>
    </row>
    <row r="442" spans="43:59" x14ac:dyDescent="0.25">
      <c r="AQ442" s="7">
        <v>427</v>
      </c>
      <c r="AR442" s="58">
        <f t="shared" si="115"/>
        <v>213.5</v>
      </c>
      <c r="AS442" s="58">
        <f t="shared" si="116"/>
        <v>40477.368539995368</v>
      </c>
      <c r="AT442" s="58">
        <f t="shared" si="117"/>
        <v>-23635.409126107614</v>
      </c>
      <c r="AU442" s="58">
        <f t="shared" si="118"/>
        <v>6201.8199085667738</v>
      </c>
      <c r="AV442" s="58">
        <f t="shared" si="119"/>
        <v>-479.40198888558734</v>
      </c>
      <c r="AW442" s="58">
        <f t="shared" si="105"/>
        <v>-443.12739100333079</v>
      </c>
      <c r="AX442" s="58">
        <f t="shared" si="120"/>
        <v>344.33145975747976</v>
      </c>
      <c r="AY442" s="33">
        <f t="shared" si="106"/>
        <v>-186.65777796382488</v>
      </c>
      <c r="AZ442" s="33">
        <f t="shared" si="107"/>
        <v>283.80923418567124</v>
      </c>
      <c r="BA442" s="39">
        <f t="shared" si="108"/>
        <v>-32.278002156611549</v>
      </c>
      <c r="BB442" s="39">
        <f t="shared" si="109"/>
        <v>17.951902249070582</v>
      </c>
      <c r="BC442" s="45">
        <f t="shared" si="110"/>
        <v>-224.19161088289431</v>
      </c>
      <c r="BD442" s="45">
        <f t="shared" si="111"/>
        <v>42.570323322737927</v>
      </c>
      <c r="BE442" s="64">
        <f t="shared" si="112"/>
        <v>1388736323.7728972</v>
      </c>
      <c r="BF442" s="65">
        <f t="shared" si="113"/>
        <v>4788852852.6030645</v>
      </c>
      <c r="BG442" s="66">
        <f t="shared" si="114"/>
        <v>2142761340.0978231</v>
      </c>
    </row>
    <row r="443" spans="43:59" x14ac:dyDescent="0.25">
      <c r="AQ443" s="7">
        <v>428</v>
      </c>
      <c r="AR443" s="58">
        <f t="shared" si="115"/>
        <v>214</v>
      </c>
      <c r="AS443" s="58">
        <f t="shared" si="116"/>
        <v>43522.887570403342</v>
      </c>
      <c r="AT443" s="58">
        <f t="shared" si="117"/>
        <v>-23832.068688080722</v>
      </c>
      <c r="AU443" s="58">
        <f t="shared" si="118"/>
        <v>5980.2562130651086</v>
      </c>
      <c r="AV443" s="58">
        <f t="shared" si="119"/>
        <v>-307.23625900684749</v>
      </c>
      <c r="AW443" s="58">
        <f t="shared" si="105"/>
        <v>-415.82410737731936</v>
      </c>
      <c r="AX443" s="58">
        <f t="shared" si="120"/>
        <v>300.49909346177731</v>
      </c>
      <c r="AY443" s="33">
        <f t="shared" si="106"/>
        <v>-186.29566589863273</v>
      </c>
      <c r="AZ443" s="33">
        <f t="shared" si="107"/>
        <v>248.14252003533312</v>
      </c>
      <c r="BA443" s="39">
        <f t="shared" si="108"/>
        <v>-30.173393019606124</v>
      </c>
      <c r="BB443" s="39">
        <f t="shared" si="109"/>
        <v>16.070244037007459</v>
      </c>
      <c r="BC443" s="45">
        <f t="shared" si="110"/>
        <v>-199.35504845908048</v>
      </c>
      <c r="BD443" s="45">
        <f t="shared" si="111"/>
        <v>36.286329389436702</v>
      </c>
      <c r="BE443" s="64">
        <f t="shared" si="112"/>
        <v>1535024767.9244447</v>
      </c>
      <c r="BF443" s="65">
        <f t="shared" si="113"/>
        <v>5179766116.9971151</v>
      </c>
      <c r="BG443" s="66">
        <f t="shared" si="114"/>
        <v>2432476055.480979</v>
      </c>
    </row>
    <row r="444" spans="43:59" x14ac:dyDescent="0.25">
      <c r="AQ444" s="7">
        <v>429</v>
      </c>
      <c r="AR444" s="58">
        <f t="shared" si="115"/>
        <v>214.5</v>
      </c>
      <c r="AS444" s="58">
        <f t="shared" si="116"/>
        <v>46461.037663513729</v>
      </c>
      <c r="AT444" s="58">
        <f t="shared" si="117"/>
        <v>-23948.124430901422</v>
      </c>
      <c r="AU444" s="58">
        <f t="shared" si="118"/>
        <v>5772.3441593764492</v>
      </c>
      <c r="AV444" s="58">
        <f t="shared" si="119"/>
        <v>-156.98671227595884</v>
      </c>
      <c r="AW444" s="58">
        <f t="shared" si="105"/>
        <v>-390.5538286306774</v>
      </c>
      <c r="AX444" s="58">
        <f t="shared" si="120"/>
        <v>263.20386518848596</v>
      </c>
      <c r="AY444" s="33">
        <f t="shared" si="106"/>
        <v>-183.07443466498506</v>
      </c>
      <c r="AZ444" s="33">
        <f t="shared" si="107"/>
        <v>217.57830039295868</v>
      </c>
      <c r="BA444" s="39">
        <f t="shared" si="108"/>
        <v>-28.341582870723428</v>
      </c>
      <c r="BB444" s="39">
        <f t="shared" si="109"/>
        <v>14.476806497293495</v>
      </c>
      <c r="BC444" s="45">
        <f t="shared" si="110"/>
        <v>-179.13781109496892</v>
      </c>
      <c r="BD444" s="45">
        <f t="shared" si="111"/>
        <v>31.148758298233798</v>
      </c>
      <c r="BE444" s="64">
        <f t="shared" si="112"/>
        <v>1689171044.4513512</v>
      </c>
      <c r="BF444" s="65">
        <f t="shared" si="113"/>
        <v>5569544679.6869574</v>
      </c>
      <c r="BG444" s="66">
        <f t="shared" si="114"/>
        <v>2728307328.2364736</v>
      </c>
    </row>
    <row r="445" spans="43:59" x14ac:dyDescent="0.25">
      <c r="AQ445" s="7">
        <v>430</v>
      </c>
      <c r="AR445" s="58">
        <f t="shared" si="115"/>
        <v>215</v>
      </c>
      <c r="AS445" s="58">
        <f t="shared" si="116"/>
        <v>49298.390514623119</v>
      </c>
      <c r="AT445" s="58">
        <f t="shared" si="117"/>
        <v>-23993.71730389084</v>
      </c>
      <c r="AU445" s="58">
        <f t="shared" si="118"/>
        <v>5577.06724506111</v>
      </c>
      <c r="AV445" s="58">
        <f t="shared" si="119"/>
        <v>-25.384779681715855</v>
      </c>
      <c r="AW445" s="58">
        <f t="shared" si="105"/>
        <v>-367.2689766311023</v>
      </c>
      <c r="AX445" s="58">
        <f t="shared" si="120"/>
        <v>231.47979652055372</v>
      </c>
      <c r="AY445" s="33">
        <f t="shared" si="106"/>
        <v>-178.1176611267577</v>
      </c>
      <c r="AZ445" s="33">
        <f t="shared" si="107"/>
        <v>191.46400767497903</v>
      </c>
      <c r="BA445" s="39">
        <f t="shared" si="108"/>
        <v>-26.732946054407499</v>
      </c>
      <c r="BB445" s="39">
        <f t="shared" si="109"/>
        <v>13.113612078507517</v>
      </c>
      <c r="BC445" s="45">
        <f t="shared" si="110"/>
        <v>-162.41836944993713</v>
      </c>
      <c r="BD445" s="45">
        <f t="shared" si="111"/>
        <v>26.902176767067179</v>
      </c>
      <c r="BE445" s="64">
        <f t="shared" si="112"/>
        <v>1850249916.3647513</v>
      </c>
      <c r="BF445" s="65">
        <f t="shared" si="113"/>
        <v>5957839744.0540543</v>
      </c>
      <c r="BG445" s="66">
        <f t="shared" si="114"/>
        <v>3029202163.4208193</v>
      </c>
    </row>
    <row r="446" spans="43:59" x14ac:dyDescent="0.25">
      <c r="AQ446" s="7">
        <v>431</v>
      </c>
      <c r="AR446" s="58">
        <f t="shared" si="115"/>
        <v>215.5</v>
      </c>
      <c r="AS446" s="58">
        <f t="shared" si="116"/>
        <v>52041.015515074789</v>
      </c>
      <c r="AT446" s="58">
        <f t="shared" si="117"/>
        <v>-23977.474719166628</v>
      </c>
      <c r="AU446" s="58">
        <f t="shared" si="118"/>
        <v>5393.4327567455584</v>
      </c>
      <c r="AV446" s="58">
        <f t="shared" si="119"/>
        <v>90.355118578561004</v>
      </c>
      <c r="AW446" s="58">
        <f t="shared" si="105"/>
        <v>-345.88905312845077</v>
      </c>
      <c r="AX446" s="58">
        <f t="shared" si="120"/>
        <v>204.44459524192251</v>
      </c>
      <c r="AY446" s="33">
        <f t="shared" si="106"/>
        <v>-172.17998263467618</v>
      </c>
      <c r="AZ446" s="33">
        <f t="shared" si="107"/>
        <v>169.15166274863049</v>
      </c>
      <c r="BA446" s="39">
        <f t="shared" si="108"/>
        <v>-25.309124784549518</v>
      </c>
      <c r="BB446" s="39">
        <f t="shared" si="109"/>
        <v>11.936813235945014</v>
      </c>
      <c r="BC446" s="45">
        <f t="shared" si="110"/>
        <v>-148.39994570922508</v>
      </c>
      <c r="BD446" s="45">
        <f t="shared" si="111"/>
        <v>23.356119257347018</v>
      </c>
      <c r="BE446" s="64">
        <f t="shared" si="112"/>
        <v>2017458089.9330375</v>
      </c>
      <c r="BF446" s="65">
        <f t="shared" si="113"/>
        <v>6344376704.7348537</v>
      </c>
      <c r="BG446" s="66">
        <f t="shared" si="114"/>
        <v>3334272503.3242784</v>
      </c>
    </row>
    <row r="447" spans="43:59" x14ac:dyDescent="0.25">
      <c r="AQ447" s="7">
        <v>432</v>
      </c>
      <c r="AR447" s="58">
        <f t="shared" si="115"/>
        <v>216</v>
      </c>
      <c r="AS447" s="58">
        <f t="shared" si="116"/>
        <v>54694.495761806516</v>
      </c>
      <c r="AT447" s="58">
        <f t="shared" si="117"/>
        <v>-23906.741585472108</v>
      </c>
      <c r="AU447" s="58">
        <f t="shared" si="118"/>
        <v>5220.4882301813332</v>
      </c>
      <c r="AV447" s="58">
        <f t="shared" si="119"/>
        <v>192.57741619952225</v>
      </c>
      <c r="AW447" s="58">
        <f t="shared" si="105"/>
        <v>-326.30383589667065</v>
      </c>
      <c r="AX447" s="58">
        <f t="shared" si="120"/>
        <v>181.33196819174512</v>
      </c>
      <c r="AY447" s="33">
        <f t="shared" si="106"/>
        <v>-165.76008600434591</v>
      </c>
      <c r="AZ447" s="33">
        <f t="shared" si="107"/>
        <v>150.05216452965831</v>
      </c>
      <c r="BA447" s="39">
        <f t="shared" si="108"/>
        <v>-24.040044087444912</v>
      </c>
      <c r="BB447" s="39">
        <f t="shared" si="109"/>
        <v>10.912712566876255</v>
      </c>
      <c r="BC447" s="45">
        <f t="shared" si="110"/>
        <v>-136.50370580487984</v>
      </c>
      <c r="BD447" s="45">
        <f t="shared" si="111"/>
        <v>20.367091095210554</v>
      </c>
      <c r="BE447" s="64">
        <f t="shared" si="112"/>
        <v>2190091453.1826334</v>
      </c>
      <c r="BF447" s="65">
        <f t="shared" si="113"/>
        <v>6728934822.0545158</v>
      </c>
      <c r="BG447" s="66">
        <f t="shared" si="114"/>
        <v>3642762869.9267144</v>
      </c>
    </row>
    <row r="448" spans="43:59" x14ac:dyDescent="0.25">
      <c r="AQ448" s="7">
        <v>433</v>
      </c>
      <c r="AR448" s="58">
        <f t="shared" si="115"/>
        <v>216.5</v>
      </c>
      <c r="AS448" s="58">
        <f t="shared" si="116"/>
        <v>57263.951897410101</v>
      </c>
      <c r="AT448" s="58">
        <f t="shared" si="117"/>
        <v>-23787.786381348378</v>
      </c>
      <c r="AU448" s="58">
        <f t="shared" si="118"/>
        <v>5057.3363122329974</v>
      </c>
      <c r="AV448" s="58">
        <f t="shared" si="119"/>
        <v>283.24340029539479</v>
      </c>
      <c r="AW448" s="58">
        <f t="shared" si="105"/>
        <v>-308.38468394904299</v>
      </c>
      <c r="AX448" s="58">
        <f t="shared" si="120"/>
        <v>161.49433998021476</v>
      </c>
      <c r="AY448" s="33">
        <f t="shared" si="106"/>
        <v>-159.1821921178682</v>
      </c>
      <c r="AZ448" s="33">
        <f t="shared" si="107"/>
        <v>133.65352221391117</v>
      </c>
      <c r="BA448" s="39">
        <f t="shared" si="108"/>
        <v>-22.901812281161007</v>
      </c>
      <c r="BB448" s="39">
        <f t="shared" si="109"/>
        <v>10.015039641371837</v>
      </c>
      <c r="BC448" s="45">
        <f t="shared" si="110"/>
        <v>-126.30067955001381</v>
      </c>
      <c r="BD448" s="45">
        <f t="shared" si="111"/>
        <v>17.825778124931769</v>
      </c>
      <c r="BE448" s="64">
        <f t="shared" si="112"/>
        <v>2367527687.657383</v>
      </c>
      <c r="BF448" s="65">
        <f t="shared" si="113"/>
        <v>7111332771.3569317</v>
      </c>
      <c r="BG448" s="66">
        <f t="shared" si="114"/>
        <v>3954024895.3672109</v>
      </c>
    </row>
    <row r="449" spans="43:59" x14ac:dyDescent="0.25">
      <c r="AQ449" s="7">
        <v>434</v>
      </c>
      <c r="AR449" s="58">
        <f t="shared" si="115"/>
        <v>217</v>
      </c>
      <c r="AS449" s="58">
        <f t="shared" si="116"/>
        <v>59754.071968032964</v>
      </c>
      <c r="AT449" s="58">
        <f t="shared" si="117"/>
        <v>-23625.977888703153</v>
      </c>
      <c r="AU449" s="58">
        <f t="shared" si="118"/>
        <v>4903.1439702584757</v>
      </c>
      <c r="AV449" s="58">
        <f t="shared" si="119"/>
        <v>363.99057028550214</v>
      </c>
      <c r="AW449" s="58">
        <f t="shared" si="105"/>
        <v>-291.99532798913953</v>
      </c>
      <c r="AX449" s="58">
        <f t="shared" si="120"/>
        <v>144.39261178534892</v>
      </c>
      <c r="AY449" s="33">
        <f t="shared" si="106"/>
        <v>-152.65287575247874</v>
      </c>
      <c r="AZ449" s="33">
        <f t="shared" si="107"/>
        <v>119.52159364050439</v>
      </c>
      <c r="BA449" s="39">
        <f t="shared" si="108"/>
        <v>-21.875220673316505</v>
      </c>
      <c r="BB449" s="39">
        <f t="shared" si="109"/>
        <v>9.2230486609671356</v>
      </c>
      <c r="BC449" s="45">
        <f t="shared" si="110"/>
        <v>-117.46723156334427</v>
      </c>
      <c r="BD449" s="45">
        <f t="shared" si="111"/>
        <v>15.647969483877402</v>
      </c>
      <c r="BE449" s="64">
        <f t="shared" si="112"/>
        <v>2549212737.5675821</v>
      </c>
      <c r="BF449" s="65">
        <f t="shared" si="113"/>
        <v>7491418384.4537354</v>
      </c>
      <c r="BG449" s="66">
        <f t="shared" si="114"/>
        <v>4267497330.9775882</v>
      </c>
    </row>
    <row r="450" spans="43:59" x14ac:dyDescent="0.25">
      <c r="AQ450" s="7">
        <v>435</v>
      </c>
      <c r="AR450" s="58">
        <f t="shared" si="115"/>
        <v>217.5</v>
      </c>
      <c r="AS450" s="58">
        <f t="shared" si="116"/>
        <v>62169.144537163556</v>
      </c>
      <c r="AT450" s="58">
        <f t="shared" si="117"/>
        <v>-23425.933527087233</v>
      </c>
      <c r="AU450" s="58">
        <f t="shared" si="118"/>
        <v>4757.1463062639059</v>
      </c>
      <c r="AV450" s="58">
        <f t="shared" si="119"/>
        <v>436.18687617817659</v>
      </c>
      <c r="AW450" s="58">
        <f t="shared" si="105"/>
        <v>-276.99986437793439</v>
      </c>
      <c r="AX450" s="58">
        <f t="shared" si="120"/>
        <v>129.58146083500131</v>
      </c>
      <c r="AY450" s="33">
        <f t="shared" si="106"/>
        <v>-146.29996478647627</v>
      </c>
      <c r="AZ450" s="33">
        <f t="shared" si="107"/>
        <v>107.2932125055174</v>
      </c>
      <c r="BA450" s="39">
        <f t="shared" si="108"/>
        <v>-20.94465517265002</v>
      </c>
      <c r="BB450" s="39">
        <f t="shared" si="109"/>
        <v>8.5201647831702054</v>
      </c>
      <c r="BC450" s="45">
        <f t="shared" si="110"/>
        <v>-109.75524441880812</v>
      </c>
      <c r="BD450" s="45">
        <f t="shared" si="111"/>
        <v>13.768083546313715</v>
      </c>
      <c r="BE450" s="64">
        <f t="shared" si="112"/>
        <v>2734650115.5180092</v>
      </c>
      <c r="BF450" s="65">
        <f t="shared" si="113"/>
        <v>7869061346.1265287</v>
      </c>
      <c r="BG450" s="66">
        <f t="shared" si="114"/>
        <v>4582690333.6572609</v>
      </c>
    </row>
    <row r="451" spans="43:59" x14ac:dyDescent="0.25">
      <c r="AQ451" s="7">
        <v>436</v>
      </c>
      <c r="AR451" s="58">
        <f t="shared" si="115"/>
        <v>218</v>
      </c>
      <c r="AS451" s="58">
        <f t="shared" si="116"/>
        <v>64513.092707248266</v>
      </c>
      <c r="AT451" s="58">
        <f t="shared" si="117"/>
        <v>-23191.64240639377</v>
      </c>
      <c r="AU451" s="58">
        <f t="shared" si="118"/>
        <v>4618.6463740749386</v>
      </c>
      <c r="AV451" s="58">
        <f t="shared" si="119"/>
        <v>500.97760659567723</v>
      </c>
      <c r="AW451" s="58">
        <f t="shared" si="105"/>
        <v>-263.26792524507175</v>
      </c>
      <c r="AX451" s="58">
        <f t="shared" si="120"/>
        <v>116.69423935007119</v>
      </c>
      <c r="AY451" s="33">
        <f t="shared" si="106"/>
        <v>-140.19890770823699</v>
      </c>
      <c r="AZ451" s="33">
        <f t="shared" si="107"/>
        <v>96.666721619357304</v>
      </c>
      <c r="BA451" s="39">
        <f t="shared" si="108"/>
        <v>-20.097295400359918</v>
      </c>
      <c r="BB451" s="39">
        <f t="shared" si="109"/>
        <v>7.8930047510520014</v>
      </c>
      <c r="BC451" s="45">
        <f t="shared" si="110"/>
        <v>-102.97172213647482</v>
      </c>
      <c r="BD451" s="45">
        <f t="shared" si="111"/>
        <v>12.134512979661876</v>
      </c>
      <c r="BE451" s="64">
        <f t="shared" si="112"/>
        <v>2923392335.9660273</v>
      </c>
      <c r="BF451" s="65">
        <f t="shared" si="113"/>
        <v>8244147964.577857</v>
      </c>
      <c r="BG451" s="66">
        <f t="shared" si="114"/>
        <v>4899173063.04072</v>
      </c>
    </row>
    <row r="452" spans="43:59" x14ac:dyDescent="0.25">
      <c r="AQ452" s="7">
        <v>437</v>
      </c>
      <c r="AR452" s="58">
        <f t="shared" si="115"/>
        <v>218.5</v>
      </c>
      <c r="AS452" s="58">
        <f t="shared" si="116"/>
        <v>66789.507403630094</v>
      </c>
      <c r="AT452" s="58">
        <f t="shared" si="117"/>
        <v>-22926.566823177174</v>
      </c>
      <c r="AU452" s="58">
        <f t="shared" si="118"/>
        <v>4487.0124114524024</v>
      </c>
      <c r="AV452" s="58">
        <f t="shared" si="119"/>
        <v>559.32472627071286</v>
      </c>
      <c r="AW452" s="58">
        <f t="shared" si="105"/>
        <v>-250.67763539068437</v>
      </c>
      <c r="AX452" s="58">
        <f t="shared" si="120"/>
        <v>105.42921420586843</v>
      </c>
      <c r="AY452" s="33">
        <f t="shared" si="106"/>
        <v>-134.39055451653593</v>
      </c>
      <c r="AZ452" s="33">
        <f t="shared" si="107"/>
        <v>87.39231110357818</v>
      </c>
      <c r="BA452" s="39">
        <f t="shared" si="108"/>
        <v>-19.322517414912973</v>
      </c>
      <c r="BB452" s="39">
        <f t="shared" si="109"/>
        <v>7.330657586236347</v>
      </c>
      <c r="BC452" s="45">
        <f t="shared" si="110"/>
        <v>-96.964563459235478</v>
      </c>
      <c r="BD452" s="45">
        <f t="shared" si="111"/>
        <v>10.706245516053912</v>
      </c>
      <c r="BE452" s="64">
        <f t="shared" si="112"/>
        <v>3115033971.7196217</v>
      </c>
      <c r="BF452" s="65">
        <f t="shared" si="113"/>
        <v>8616577398.1259155</v>
      </c>
      <c r="BG452" s="66">
        <f t="shared" si="114"/>
        <v>5216563834.8581533</v>
      </c>
    </row>
    <row r="453" spans="43:59" x14ac:dyDescent="0.25">
      <c r="AQ453" s="7">
        <v>438</v>
      </c>
      <c r="AR453" s="58">
        <f t="shared" si="115"/>
        <v>219</v>
      </c>
      <c r="AS453" s="58">
        <f t="shared" si="116"/>
        <v>69001.678904932458</v>
      </c>
      <c r="AT453" s="58">
        <f t="shared" si="117"/>
        <v>-22633.725808266085</v>
      </c>
      <c r="AU453" s="58">
        <f t="shared" si="118"/>
        <v>4361.6735937570602</v>
      </c>
      <c r="AV453" s="58">
        <f t="shared" si="119"/>
        <v>612.03933337364708</v>
      </c>
      <c r="AW453" s="58">
        <f t="shared" si="105"/>
        <v>-239.11701917181489</v>
      </c>
      <c r="AX453" s="58">
        <f t="shared" si="120"/>
        <v>95.53773338911769</v>
      </c>
      <c r="AY453" s="33">
        <f t="shared" si="106"/>
        <v>-128.89311593705744</v>
      </c>
      <c r="AZ453" s="33">
        <f t="shared" si="107"/>
        <v>79.263198751938631</v>
      </c>
      <c r="BA453" s="39">
        <f t="shared" si="108"/>
        <v>-18.611442659740248</v>
      </c>
      <c r="BB453" s="39">
        <f t="shared" si="109"/>
        <v>6.8241489837847302</v>
      </c>
      <c r="BC453" s="45">
        <f t="shared" si="110"/>
        <v>-91.612460575017195</v>
      </c>
      <c r="BD453" s="45">
        <f t="shared" si="111"/>
        <v>9.4503856533943367</v>
      </c>
      <c r="BE453" s="64">
        <f t="shared" si="112"/>
        <v>3309205966.5898643</v>
      </c>
      <c r="BF453" s="65">
        <f t="shared" si="113"/>
        <v>8986258908.0257912</v>
      </c>
      <c r="BG453" s="66">
        <f t="shared" si="114"/>
        <v>5534522250.4645138</v>
      </c>
    </row>
    <row r="454" spans="43:59" x14ac:dyDescent="0.25">
      <c r="AQ454" s="7">
        <v>439</v>
      </c>
      <c r="AR454" s="58">
        <f t="shared" si="115"/>
        <v>219.5</v>
      </c>
      <c r="AS454" s="58">
        <f t="shared" si="116"/>
        <v>71152.626074414511</v>
      </c>
      <c r="AT454" s="58">
        <f t="shared" si="117"/>
        <v>-22315.763924905619</v>
      </c>
      <c r="AU454" s="58">
        <f t="shared" si="118"/>
        <v>4242.1150841711524</v>
      </c>
      <c r="AV454" s="58">
        <f t="shared" si="119"/>
        <v>659.80820006820591</v>
      </c>
      <c r="AW454" s="58">
        <f t="shared" si="105"/>
        <v>-228.48439744751681</v>
      </c>
      <c r="AX454" s="58">
        <f t="shared" si="120"/>
        <v>86.814363540635156</v>
      </c>
      <c r="AY454" s="33">
        <f t="shared" si="106"/>
        <v>-123.71019484067507</v>
      </c>
      <c r="AZ454" s="33">
        <f t="shared" si="107"/>
        <v>72.108007888153438</v>
      </c>
      <c r="BA454" s="39">
        <f t="shared" si="108"/>
        <v>-17.956593313653411</v>
      </c>
      <c r="BB454" s="39">
        <f t="shared" si="109"/>
        <v>6.3660374408284932</v>
      </c>
      <c r="BC454" s="45">
        <f t="shared" si="110"/>
        <v>-86.817609293188326</v>
      </c>
      <c r="BD454" s="45">
        <f t="shared" si="111"/>
        <v>8.34031821165323</v>
      </c>
      <c r="BE454" s="64">
        <f t="shared" si="112"/>
        <v>3505570932.7345743</v>
      </c>
      <c r="BF454" s="65">
        <f t="shared" si="113"/>
        <v>9353109838.3122635</v>
      </c>
      <c r="BG454" s="66">
        <f t="shared" si="114"/>
        <v>5852742859.834548</v>
      </c>
    </row>
    <row r="455" spans="43:59" x14ac:dyDescent="0.25">
      <c r="AQ455" s="7">
        <v>440</v>
      </c>
      <c r="AR455" s="58">
        <f t="shared" si="115"/>
        <v>220</v>
      </c>
      <c r="AS455" s="58">
        <f t="shared" si="116"/>
        <v>73245.123066819142</v>
      </c>
      <c r="AT455" s="58">
        <f t="shared" si="117"/>
        <v>-21975.008029428936</v>
      </c>
      <c r="AU455" s="58">
        <f t="shared" si="118"/>
        <v>4127.8728854473939</v>
      </c>
      <c r="AV455" s="58">
        <f t="shared" si="119"/>
        <v>703.21538183852351</v>
      </c>
      <c r="AW455" s="58">
        <f t="shared" si="105"/>
        <v>-218.68816691651045</v>
      </c>
      <c r="AX455" s="58">
        <f t="shared" si="120"/>
        <v>79.088814325770528</v>
      </c>
      <c r="AY455" s="33">
        <f t="shared" si="106"/>
        <v>-118.83617187195252</v>
      </c>
      <c r="AZ455" s="33">
        <f t="shared" si="107"/>
        <v>65.784374574864671</v>
      </c>
      <c r="BA455" s="39">
        <f t="shared" si="108"/>
        <v>-17.351626039172285</v>
      </c>
      <c r="BB455" s="39">
        <f t="shared" si="109"/>
        <v>5.9501061683258332</v>
      </c>
      <c r="BC455" s="45">
        <f t="shared" si="110"/>
        <v>-82.500369005385679</v>
      </c>
      <c r="BD455" s="45">
        <f t="shared" si="111"/>
        <v>7.3543335825800291</v>
      </c>
      <c r="BE455" s="64">
        <f t="shared" si="112"/>
        <v>3703819228.7356162</v>
      </c>
      <c r="BF455" s="65">
        <f t="shared" si="113"/>
        <v>9717054114.2282906</v>
      </c>
      <c r="BG455" s="66">
        <f t="shared" si="114"/>
        <v>6170950020.7522707</v>
      </c>
    </row>
    <row r="456" spans="43:59" x14ac:dyDescent="0.25">
      <c r="AQ456" s="7">
        <v>441</v>
      </c>
      <c r="AR456" s="58">
        <f t="shared" si="115"/>
        <v>220.5</v>
      </c>
      <c r="AS456" s="58">
        <f t="shared" si="116"/>
        <v>75281.723488678283</v>
      </c>
      <c r="AT456" s="58">
        <f t="shared" si="117"/>
        <v>-21613.514236718951</v>
      </c>
      <c r="AU456" s="58">
        <f t="shared" si="118"/>
        <v>4018.5288019891386</v>
      </c>
      <c r="AV456" s="58">
        <f t="shared" si="119"/>
        <v>742.75978900140876</v>
      </c>
      <c r="AW456" s="58">
        <f t="shared" si="105"/>
        <v>-209.64622942272604</v>
      </c>
      <c r="AX456" s="58">
        <f t="shared" si="120"/>
        <v>72.219390674642113</v>
      </c>
      <c r="AY456" s="33">
        <f t="shared" si="106"/>
        <v>-114.25980842795337</v>
      </c>
      <c r="AZ456" s="33">
        <f t="shared" si="107"/>
        <v>60.173676749301599</v>
      </c>
      <c r="BA456" s="39">
        <f t="shared" si="108"/>
        <v>-16.791124177692062</v>
      </c>
      <c r="BB456" s="39">
        <f t="shared" si="109"/>
        <v>5.5711255401993061</v>
      </c>
      <c r="BC456" s="45">
        <f t="shared" si="110"/>
        <v>-78.595296817080595</v>
      </c>
      <c r="BD456" s="45">
        <f t="shared" si="111"/>
        <v>6.474588385141204</v>
      </c>
      <c r="BE456" s="64">
        <f t="shared" si="112"/>
        <v>3903665663.0903211</v>
      </c>
      <c r="BF456" s="65">
        <f t="shared" si="113"/>
        <v>10078021113.368177</v>
      </c>
      <c r="BG456" s="66">
        <f t="shared" si="114"/>
        <v>6488893696.8718824</v>
      </c>
    </row>
    <row r="457" spans="43:59" x14ac:dyDescent="0.25">
      <c r="AQ457" s="7">
        <v>442</v>
      </c>
      <c r="AR457" s="58">
        <f t="shared" si="115"/>
        <v>221</v>
      </c>
      <c r="AS457" s="58">
        <f t="shared" si="116"/>
        <v>77264.782110995002</v>
      </c>
      <c r="AT457" s="58">
        <f t="shared" si="117"/>
        <v>-21233.106918383917</v>
      </c>
      <c r="AU457" s="58">
        <f t="shared" si="118"/>
        <v>3913.7056872777757</v>
      </c>
      <c r="AV457" s="58">
        <f t="shared" si="119"/>
        <v>778.86948433872976</v>
      </c>
      <c r="AW457" s="58">
        <f t="shared" si="105"/>
        <v>-201.28524589184053</v>
      </c>
      <c r="AX457" s="58">
        <f t="shared" si="120"/>
        <v>66.087710492654963</v>
      </c>
      <c r="AY457" s="33">
        <f t="shared" si="106"/>
        <v>-109.96664720348208</v>
      </c>
      <c r="AZ457" s="33">
        <f t="shared" si="107"/>
        <v>55.176730183474952</v>
      </c>
      <c r="BA457" s="39">
        <f t="shared" si="108"/>
        <v>-16.270434002447089</v>
      </c>
      <c r="BB457" s="39">
        <f t="shared" si="109"/>
        <v>5.224668104710573</v>
      </c>
      <c r="BC457" s="45">
        <f t="shared" si="110"/>
        <v>-75.04816468591136</v>
      </c>
      <c r="BD457" s="45">
        <f t="shared" si="111"/>
        <v>5.6863122044694343</v>
      </c>
      <c r="BE457" s="64">
        <f t="shared" si="112"/>
        <v>4104846703.4030151</v>
      </c>
      <c r="BF457" s="65">
        <f t="shared" si="113"/>
        <v>10435944806.874535</v>
      </c>
      <c r="BG457" s="66">
        <f t="shared" si="114"/>
        <v>6806345997.6254892</v>
      </c>
    </row>
    <row r="458" spans="43:59" x14ac:dyDescent="0.25">
      <c r="AQ458" s="7">
        <v>443</v>
      </c>
      <c r="AR458" s="58">
        <f t="shared" si="115"/>
        <v>221.5</v>
      </c>
      <c r="AS458" s="58">
        <f t="shared" si="116"/>
        <v>79196.474298897403</v>
      </c>
      <c r="AT458" s="58">
        <f t="shared" si="117"/>
        <v>-20835.411212402971</v>
      </c>
      <c r="AU458" s="58">
        <f t="shared" si="118"/>
        <v>3813.0630643318555</v>
      </c>
      <c r="AV458" s="58">
        <f t="shared" si="119"/>
        <v>811.9133395850572</v>
      </c>
      <c r="AW458" s="58">
        <f t="shared" si="105"/>
        <v>-193.53982464092624</v>
      </c>
      <c r="AX458" s="58">
        <f t="shared" si="120"/>
        <v>60.594451587729928</v>
      </c>
      <c r="AY458" s="33">
        <f t="shared" si="106"/>
        <v>-105.94060061458119</v>
      </c>
      <c r="AZ458" s="33">
        <f t="shared" si="107"/>
        <v>50.710291753963823</v>
      </c>
      <c r="BA458" s="39">
        <f t="shared" si="108"/>
        <v>-15.785534530048114</v>
      </c>
      <c r="BB458" s="39">
        <f t="shared" si="109"/>
        <v>4.9069631948303059</v>
      </c>
      <c r="BC458" s="45">
        <f t="shared" si="110"/>
        <v>-71.813689496296945</v>
      </c>
      <c r="BD458" s="45">
        <f t="shared" si="111"/>
        <v>4.9771966389358004</v>
      </c>
      <c r="BE458" s="64">
        <f t="shared" si="112"/>
        <v>4307118097.9959927</v>
      </c>
      <c r="BF458" s="65">
        <f t="shared" si="113"/>
        <v>10790763097.969801</v>
      </c>
      <c r="BG458" s="66">
        <f t="shared" si="114"/>
        <v>7123098308.3827295</v>
      </c>
    </row>
    <row r="459" spans="43:59" x14ac:dyDescent="0.25">
      <c r="AQ459" s="7">
        <v>444</v>
      </c>
      <c r="AR459" s="58">
        <f t="shared" si="115"/>
        <v>222</v>
      </c>
      <c r="AS459" s="58">
        <f t="shared" si="116"/>
        <v>81078.813352983212</v>
      </c>
      <c r="AT459" s="58">
        <f t="shared" si="117"/>
        <v>-20421.880236161975</v>
      </c>
      <c r="AU459" s="58">
        <f t="shared" si="118"/>
        <v>3716.2931520113925</v>
      </c>
      <c r="AV459" s="58">
        <f t="shared" si="119"/>
        <v>842.21056537892218</v>
      </c>
      <c r="AW459" s="58">
        <f t="shared" si="105"/>
        <v>-186.35171018236957</v>
      </c>
      <c r="AX459" s="58">
        <f t="shared" si="120"/>
        <v>55.655927017735564</v>
      </c>
      <c r="AY459" s="33">
        <f t="shared" si="106"/>
        <v>-102.16499019760295</v>
      </c>
      <c r="AZ459" s="33">
        <f t="shared" si="107"/>
        <v>46.704224657088936</v>
      </c>
      <c r="BA459" s="39">
        <f t="shared" si="108"/>
        <v>-15.332933144640501</v>
      </c>
      <c r="BB459" s="39">
        <f t="shared" si="109"/>
        <v>4.6147816770107024</v>
      </c>
      <c r="BC459" s="45">
        <f t="shared" si="110"/>
        <v>-68.853786840126105</v>
      </c>
      <c r="BD459" s="45">
        <f t="shared" si="111"/>
        <v>4.3369206836359249</v>
      </c>
      <c r="BE459" s="64">
        <f t="shared" si="112"/>
        <v>4510252836.5311337</v>
      </c>
      <c r="BF459" s="65">
        <f t="shared" si="113"/>
        <v>11142417305.9506</v>
      </c>
      <c r="BG459" s="66">
        <f t="shared" si="114"/>
        <v>7438958893.5530052</v>
      </c>
    </row>
    <row r="460" spans="43:59" x14ac:dyDescent="0.25">
      <c r="AQ460" s="7">
        <v>445</v>
      </c>
      <c r="AR460" s="58">
        <f t="shared" si="115"/>
        <v>222.5</v>
      </c>
      <c r="AS460" s="58">
        <f t="shared" si="116"/>
        <v>82913.665965216118</v>
      </c>
      <c r="AT460" s="58">
        <f t="shared" si="117"/>
        <v>-19993.817962595298</v>
      </c>
      <c r="AU460" s="58">
        <f t="shared" si="118"/>
        <v>3623.1172969202075</v>
      </c>
      <c r="AV460" s="58">
        <f t="shared" si="119"/>
        <v>870.03852888778999</v>
      </c>
      <c r="AW460" s="58">
        <f t="shared" si="105"/>
        <v>-179.66901015441465</v>
      </c>
      <c r="AX460" s="58">
        <f t="shared" si="120"/>
        <v>51.201323531829232</v>
      </c>
      <c r="AY460" s="33">
        <f t="shared" si="106"/>
        <v>-98.623214806538783</v>
      </c>
      <c r="AZ460" s="33">
        <f t="shared" si="107"/>
        <v>43.099200677259347</v>
      </c>
      <c r="BA460" s="39">
        <f t="shared" si="108"/>
        <v>-14.909581260042261</v>
      </c>
      <c r="BB460" s="39">
        <f t="shared" si="109"/>
        <v>4.3453438570867524</v>
      </c>
      <c r="BC460" s="45">
        <f t="shared" si="110"/>
        <v>-66.136214087833594</v>
      </c>
      <c r="BD460" s="45">
        <f t="shared" si="111"/>
        <v>3.7567789974831327</v>
      </c>
      <c r="BE460" s="64">
        <f t="shared" si="112"/>
        <v>4714039391.3431206</v>
      </c>
      <c r="BF460" s="65">
        <f t="shared" si="113"/>
        <v>11490851758.373386</v>
      </c>
      <c r="BG460" s="66">
        <f t="shared" si="114"/>
        <v>7753750881.287138</v>
      </c>
    </row>
    <row r="461" spans="43:59" x14ac:dyDescent="0.25">
      <c r="AQ461" s="7">
        <v>446</v>
      </c>
      <c r="AR461" s="58">
        <f t="shared" si="115"/>
        <v>223</v>
      </c>
      <c r="AS461" s="58">
        <f t="shared" si="116"/>
        <v>84702.765987406921</v>
      </c>
      <c r="AT461" s="58">
        <f t="shared" si="117"/>
        <v>-19552.398532709925</v>
      </c>
      <c r="AU461" s="58">
        <f t="shared" si="118"/>
        <v>3533.2827918430003</v>
      </c>
      <c r="AV461" s="58">
        <f t="shared" si="119"/>
        <v>895.63919065370465</v>
      </c>
      <c r="AW461" s="58">
        <f t="shared" si="105"/>
        <v>-173.44547985817195</v>
      </c>
      <c r="AX461" s="58">
        <f t="shared" si="120"/>
        <v>47.17046946552702</v>
      </c>
      <c r="AY461" s="33">
        <f t="shared" si="106"/>
        <v>-95.299168141027209</v>
      </c>
      <c r="AZ461" s="33">
        <f t="shared" si="107"/>
        <v>39.844835642553058</v>
      </c>
      <c r="BA461" s="39">
        <f t="shared" si="108"/>
        <v>-14.512805672151282</v>
      </c>
      <c r="BB461" s="39">
        <f t="shared" si="109"/>
        <v>4.0962453379958665</v>
      </c>
      <c r="BC461" s="45">
        <f t="shared" si="110"/>
        <v>-63.633506044993453</v>
      </c>
      <c r="BD461" s="45">
        <f t="shared" si="111"/>
        <v>3.2293884849780921</v>
      </c>
      <c r="BE461" s="64">
        <f t="shared" si="112"/>
        <v>4918280192.7937078</v>
      </c>
      <c r="BF461" s="65">
        <f t="shared" si="113"/>
        <v>11836013464.449812</v>
      </c>
      <c r="BG461" s="66">
        <f t="shared" si="114"/>
        <v>8067310558.1921072</v>
      </c>
    </row>
    <row r="462" spans="43:59" x14ac:dyDescent="0.25">
      <c r="AQ462" s="7">
        <v>447</v>
      </c>
      <c r="AR462" s="58">
        <f t="shared" si="115"/>
        <v>223.5</v>
      </c>
      <c r="AS462" s="58">
        <f t="shared" si="116"/>
        <v>86447.726698346145</v>
      </c>
      <c r="AT462" s="58">
        <f t="shared" si="117"/>
        <v>-19098.682628699884</v>
      </c>
      <c r="AU462" s="58">
        <f t="shared" si="118"/>
        <v>3446.5600519139143</v>
      </c>
      <c r="AV462" s="58">
        <f t="shared" si="119"/>
        <v>919.22442538646817</v>
      </c>
      <c r="AW462" s="58">
        <f t="shared" si="105"/>
        <v>-167.6398726101778</v>
      </c>
      <c r="AX462" s="58">
        <f t="shared" si="120"/>
        <v>43.512025212783222</v>
      </c>
      <c r="AY462" s="33">
        <f t="shared" si="106"/>
        <v>-92.1774875250576</v>
      </c>
      <c r="AZ462" s="33">
        <f t="shared" si="107"/>
        <v>36.898173316303598</v>
      </c>
      <c r="BA462" s="39">
        <f t="shared" si="108"/>
        <v>-14.140252297589601</v>
      </c>
      <c r="BB462" s="39">
        <f t="shared" si="109"/>
        <v>3.8653969103850945</v>
      </c>
      <c r="BC462" s="45">
        <f t="shared" si="110"/>
        <v>-61.322132787530599</v>
      </c>
      <c r="BD462" s="45">
        <f t="shared" si="111"/>
        <v>2.7484549860945289</v>
      </c>
      <c r="BE462" s="64">
        <f t="shared" si="112"/>
        <v>5122790300.9604044</v>
      </c>
      <c r="BF462" s="65">
        <f t="shared" si="113"/>
        <v>12177851849.971594</v>
      </c>
      <c r="BG462" s="66">
        <f t="shared" si="114"/>
        <v>8379485917.586216</v>
      </c>
    </row>
    <row r="463" spans="43:59" x14ac:dyDescent="0.25">
      <c r="AQ463" s="7">
        <v>448</v>
      </c>
      <c r="AR463" s="58">
        <f t="shared" si="115"/>
        <v>224</v>
      </c>
      <c r="AS463" s="58">
        <f t="shared" si="116"/>
        <v>88150.051740226831</v>
      </c>
      <c r="AT463" s="58">
        <f t="shared" si="117"/>
        <v>-18633.631412855051</v>
      </c>
      <c r="AU463" s="58">
        <f t="shared" si="118"/>
        <v>3362.7401156088254</v>
      </c>
      <c r="AV463" s="58">
        <f t="shared" si="119"/>
        <v>940.98043799285983</v>
      </c>
      <c r="AW463" s="58">
        <f t="shared" si="105"/>
        <v>-162.21535734438629</v>
      </c>
      <c r="AX463" s="58">
        <f t="shared" si="120"/>
        <v>40.182011308951566</v>
      </c>
      <c r="AY463" s="33">
        <f t="shared" si="106"/>
        <v>-89.243689737253192</v>
      </c>
      <c r="AZ463" s="33">
        <f t="shared" si="107"/>
        <v>34.222449344670267</v>
      </c>
      <c r="BA463" s="39">
        <f t="shared" si="108"/>
        <v>-13.789839765467999</v>
      </c>
      <c r="BB463" s="39">
        <f t="shared" si="109"/>
        <v>3.65097549870034</v>
      </c>
      <c r="BC463" s="45">
        <f t="shared" si="110"/>
        <v>-59.181827841665097</v>
      </c>
      <c r="BD463" s="45">
        <f t="shared" si="111"/>
        <v>2.3085864655809618</v>
      </c>
      <c r="BE463" s="64">
        <f t="shared" si="112"/>
        <v>5327396243.0185585</v>
      </c>
      <c r="BF463" s="65">
        <f t="shared" si="113"/>
        <v>12516318539.30098</v>
      </c>
      <c r="BG463" s="66">
        <f t="shared" si="114"/>
        <v>8690135416.4514236</v>
      </c>
    </row>
    <row r="464" spans="43:59" x14ac:dyDescent="0.25">
      <c r="AQ464" s="7">
        <v>449</v>
      </c>
      <c r="AR464" s="58">
        <f t="shared" si="115"/>
        <v>224.5</v>
      </c>
      <c r="AS464" s="58">
        <f t="shared" si="116"/>
        <v>89811.144878363193</v>
      </c>
      <c r="AT464" s="58">
        <f t="shared" si="117"/>
        <v>-18158.118442445</v>
      </c>
      <c r="AU464" s="58">
        <f t="shared" si="118"/>
        <v>3281.6324369366321</v>
      </c>
      <c r="AV464" s="58">
        <f t="shared" si="119"/>
        <v>961.07144364733563</v>
      </c>
      <c r="AW464" s="58">
        <f t="shared" ref="AW464:AW527" si="121">(AY464+BA464+BC464)</f>
        <v>-157.1390010107601</v>
      </c>
      <c r="AX464" s="58">
        <f t="shared" si="120"/>
        <v>37.142606770276522</v>
      </c>
      <c r="AY464" s="33">
        <f t="shared" ref="AY464:AY527" si="122">$H$27*(($H$23-AS464)/(BE464+$H$28^2)^(3/2))</f>
        <v>-86.484231958172614</v>
      </c>
      <c r="AZ464" s="33">
        <f t="shared" ref="AZ464:AZ527" si="123">$H$27*(($I$23-AT464)/(BE464+$H$28^2)^(3/2))</f>
        <v>31.786080443932516</v>
      </c>
      <c r="BA464" s="39">
        <f t="shared" ref="BA464:BA527" si="124">$H$35*(($H$31-AS464)/(BF464+$H$36^2)^(3/2))</f>
        <v>-13.459720903960397</v>
      </c>
      <c r="BB464" s="39">
        <f t="shared" ref="BB464:BB527" si="125">$H$35*(($I$31-AT464)/(BF464+$H$36^2)^(3/2))</f>
        <v>3.4513838812607323</v>
      </c>
      <c r="BC464" s="45">
        <f t="shared" ref="BC464:BC527" si="126">$H$43*(($H$39-AS464)/(BG464+$H$44^2)^(3/2))</f>
        <v>-57.19504814862708</v>
      </c>
      <c r="BD464" s="45">
        <f t="shared" ref="BD464:BD527" si="127">$H$43*(($I$39-AT464)/(BG464+$H$44^2)^(3/2))</f>
        <v>1.9051424450832695</v>
      </c>
      <c r="BE464" s="64">
        <f t="shared" ref="BE464:BE527" si="128">($H$23-AS464)^2+($I$23-AT464)^2</f>
        <v>5531934991.2343521</v>
      </c>
      <c r="BF464" s="65">
        <f t="shared" ref="BF464:BF527" si="129">($H$31-AS464)^2+($I$31-AT464)^2</f>
        <v>12851367173.715631</v>
      </c>
      <c r="BG464" s="66">
        <f t="shared" ref="BG464:BG527" si="130">($H$39-AS464)^2+($I$39-AT464)^2</f>
        <v>8999126905.242487</v>
      </c>
    </row>
    <row r="465" spans="43:59" x14ac:dyDescent="0.25">
      <c r="AQ465" s="7">
        <v>450</v>
      </c>
      <c r="AR465" s="58">
        <f t="shared" ref="AR465:AR528" si="131">AR464+$H$9</f>
        <v>225</v>
      </c>
      <c r="AS465" s="58">
        <f t="shared" ref="AS465:AS528" si="132">AS464+(AU464*$H$9)+(AW464*$H$9^2)*(1/2)</f>
        <v>91432.31872170516</v>
      </c>
      <c r="AT465" s="58">
        <f t="shared" ref="AT465:AT528" si="133">AT464+(AV464*$H$9)+(AX464*$H$9^2)*(1/2)</f>
        <v>-17672.939894775049</v>
      </c>
      <c r="AU465" s="58">
        <f t="shared" ref="AU465:AU528" si="134">AU464+AW464*$H$9</f>
        <v>3203.0629364312522</v>
      </c>
      <c r="AV465" s="58">
        <f t="shared" ref="AV465:AV528" si="135">AV464+AX464*$H$9</f>
        <v>979.64274703247384</v>
      </c>
      <c r="AW465" s="58">
        <f t="shared" si="121"/>
        <v>-152.38131125580708</v>
      </c>
      <c r="AX465" s="58">
        <f t="shared" ref="AX465:AX528" si="136">(AZ465+BB465+BD465)</f>
        <v>34.36116433913282</v>
      </c>
      <c r="AY465" s="33">
        <f t="shared" si="122"/>
        <v>-83.886523812868987</v>
      </c>
      <c r="AZ465" s="33">
        <f t="shared" si="123"/>
        <v>29.561835030861491</v>
      </c>
      <c r="BA465" s="39">
        <f t="shared" si="124"/>
        <v>-13.148250595781578</v>
      </c>
      <c r="BB465" s="39">
        <f t="shared" si="125"/>
        <v>3.2652174219509607</v>
      </c>
      <c r="BC465" s="45">
        <f t="shared" si="126"/>
        <v>-55.346536847156507</v>
      </c>
      <c r="BD465" s="45">
        <f t="shared" si="127"/>
        <v>1.5341118863203662</v>
      </c>
      <c r="BE465" s="64">
        <f t="shared" si="128"/>
        <v>5736253060.9052267</v>
      </c>
      <c r="BF465" s="65">
        <f t="shared" si="129"/>
        <v>13182953258.115515</v>
      </c>
      <c r="BG465" s="66">
        <f t="shared" si="130"/>
        <v>9306336701.7256069</v>
      </c>
    </row>
    <row r="466" spans="43:59" x14ac:dyDescent="0.25">
      <c r="AQ466" s="7">
        <v>451</v>
      </c>
      <c r="AR466" s="58">
        <f t="shared" si="131"/>
        <v>225.5</v>
      </c>
      <c r="AS466" s="58">
        <f t="shared" si="132"/>
        <v>93014.802526013809</v>
      </c>
      <c r="AT466" s="58">
        <f t="shared" si="133"/>
        <v>-17178.823375716423</v>
      </c>
      <c r="AU466" s="58">
        <f t="shared" si="134"/>
        <v>3126.8722808033485</v>
      </c>
      <c r="AV466" s="58">
        <f t="shared" si="135"/>
        <v>996.82332920204021</v>
      </c>
      <c r="AW466" s="58">
        <f t="shared" si="121"/>
        <v>-147.91583393849814</v>
      </c>
      <c r="AX466" s="58">
        <f t="shared" si="136"/>
        <v>31.809400349957127</v>
      </c>
      <c r="AY466" s="33">
        <f t="shared" si="122"/>
        <v>-81.438908221224963</v>
      </c>
      <c r="AZ466" s="33">
        <f t="shared" si="123"/>
        <v>27.526150347208446</v>
      </c>
      <c r="BA466" s="39">
        <f t="shared" si="124"/>
        <v>-12.85395880469804</v>
      </c>
      <c r="BB466" s="39">
        <f t="shared" si="125"/>
        <v>3.0912364418033484</v>
      </c>
      <c r="BC466" s="45">
        <f t="shared" si="126"/>
        <v>-53.622966912575137</v>
      </c>
      <c r="BD466" s="45">
        <f t="shared" si="127"/>
        <v>1.19201356094533</v>
      </c>
      <c r="BE466" s="64">
        <f t="shared" si="128"/>
        <v>5940205711.1225996</v>
      </c>
      <c r="BF466" s="65">
        <f t="shared" si="129"/>
        <v>13511034030.082287</v>
      </c>
      <c r="BG466" s="66">
        <f t="shared" si="130"/>
        <v>9611648785.5160522</v>
      </c>
    </row>
    <row r="467" spans="43:59" x14ac:dyDescent="0.25">
      <c r="AQ467" s="7">
        <v>452</v>
      </c>
      <c r="AR467" s="58">
        <f t="shared" si="131"/>
        <v>226</v>
      </c>
      <c r="AS467" s="58">
        <f t="shared" si="132"/>
        <v>94559.749187173162</v>
      </c>
      <c r="AT467" s="58">
        <f t="shared" si="133"/>
        <v>-16676.435536071662</v>
      </c>
      <c r="AU467" s="58">
        <f t="shared" si="134"/>
        <v>3052.9143638340993</v>
      </c>
      <c r="AV467" s="58">
        <f t="shared" si="135"/>
        <v>1012.7280293770187</v>
      </c>
      <c r="AW467" s="58">
        <f t="shared" si="121"/>
        <v>-143.718799783999</v>
      </c>
      <c r="AX467" s="58">
        <f t="shared" si="136"/>
        <v>29.462725647440056</v>
      </c>
      <c r="AY467" s="33">
        <f t="shared" si="122"/>
        <v>-79.130623099791705</v>
      </c>
      <c r="AZ467" s="33">
        <f t="shared" si="123"/>
        <v>25.658568184003702</v>
      </c>
      <c r="BA467" s="39">
        <f t="shared" si="124"/>
        <v>-12.575527826059202</v>
      </c>
      <c r="BB467" s="39">
        <f t="shared" si="125"/>
        <v>2.9283431551149479</v>
      </c>
      <c r="BC467" s="45">
        <f t="shared" si="126"/>
        <v>-52.012648858148104</v>
      </c>
      <c r="BD467" s="45">
        <f t="shared" si="127"/>
        <v>0.87581430832140494</v>
      </c>
      <c r="BE467" s="64">
        <f t="shared" si="128"/>
        <v>6143656234.0839977</v>
      </c>
      <c r="BF467" s="65">
        <f t="shared" si="129"/>
        <v>13835568346.738209</v>
      </c>
      <c r="BG467" s="66">
        <f t="shared" si="130"/>
        <v>9914954094.3194313</v>
      </c>
    </row>
    <row r="468" spans="43:59" x14ac:dyDescent="0.25">
      <c r="AQ468" s="7">
        <v>453</v>
      </c>
      <c r="AR468" s="58">
        <f t="shared" si="131"/>
        <v>226.5</v>
      </c>
      <c r="AS468" s="58">
        <f t="shared" si="132"/>
        <v>96068.241519117219</v>
      </c>
      <c r="AT468" s="58">
        <f t="shared" si="133"/>
        <v>-16166.388680677223</v>
      </c>
      <c r="AU468" s="58">
        <f t="shared" si="134"/>
        <v>2981.0549639420997</v>
      </c>
      <c r="AV468" s="58">
        <f t="shared" si="135"/>
        <v>1027.4593922007389</v>
      </c>
      <c r="AW468" s="58">
        <f t="shared" si="121"/>
        <v>-139.7688146207667</v>
      </c>
      <c r="AX468" s="58">
        <f t="shared" si="136"/>
        <v>27.299690847125017</v>
      </c>
      <c r="AY468" s="33">
        <f t="shared" si="122"/>
        <v>-76.951752062334592</v>
      </c>
      <c r="AZ468" s="33">
        <f t="shared" si="123"/>
        <v>23.941266915032141</v>
      </c>
      <c r="BA468" s="39">
        <f t="shared" si="124"/>
        <v>-12.311773007644414</v>
      </c>
      <c r="BB468" s="39">
        <f t="shared" si="125"/>
        <v>2.7755623213541418</v>
      </c>
      <c r="BC468" s="45">
        <f t="shared" si="126"/>
        <v>-50.505289550787694</v>
      </c>
      <c r="BD468" s="45">
        <f t="shared" si="127"/>
        <v>0.5828616107387371</v>
      </c>
      <c r="BE468" s="64">
        <f t="shared" si="128"/>
        <v>6346475320.995636</v>
      </c>
      <c r="BF468" s="65">
        <f t="shared" si="129"/>
        <v>14156516585.928398</v>
      </c>
      <c r="BG468" s="66">
        <f t="shared" si="130"/>
        <v>10216149906.321022</v>
      </c>
    </row>
    <row r="469" spans="43:59" x14ac:dyDescent="0.25">
      <c r="AQ469" s="7">
        <v>454</v>
      </c>
      <c r="AR469" s="58">
        <f t="shared" si="131"/>
        <v>227</v>
      </c>
      <c r="AS469" s="58">
        <f t="shared" si="132"/>
        <v>97541.297899260666</v>
      </c>
      <c r="AT469" s="58">
        <f t="shared" si="133"/>
        <v>-15649.246523220963</v>
      </c>
      <c r="AU469" s="58">
        <f t="shared" si="134"/>
        <v>2911.1705566317164</v>
      </c>
      <c r="AV469" s="58">
        <f t="shared" si="135"/>
        <v>1041.1092376243014</v>
      </c>
      <c r="AW469" s="58">
        <f t="shared" si="121"/>
        <v>-136.04658800287831</v>
      </c>
      <c r="AX469" s="58">
        <f t="shared" si="136"/>
        <v>25.301524626816331</v>
      </c>
      <c r="AY469" s="33">
        <f t="shared" si="122"/>
        <v>-74.893169584149604</v>
      </c>
      <c r="AZ469" s="33">
        <f t="shared" si="123"/>
        <v>22.358671992584792</v>
      </c>
      <c r="BA469" s="39">
        <f t="shared" si="124"/>
        <v>-12.061626337148782</v>
      </c>
      <c r="BB469" s="39">
        <f t="shared" si="125"/>
        <v>2.6320249386530703</v>
      </c>
      <c r="BC469" s="45">
        <f t="shared" si="126"/>
        <v>-49.091792081579918</v>
      </c>
      <c r="BD469" s="45">
        <f t="shared" si="127"/>
        <v>0.31082769557846596</v>
      </c>
      <c r="BE469" s="64">
        <f t="shared" si="128"/>
        <v>6548540494.4947453</v>
      </c>
      <c r="BF469" s="65">
        <f t="shared" si="129"/>
        <v>14473840559.051702</v>
      </c>
      <c r="BG469" s="66">
        <f t="shared" si="130"/>
        <v>10515139295.912834</v>
      </c>
    </row>
    <row r="470" spans="43:59" x14ac:dyDescent="0.25">
      <c r="AQ470" s="7">
        <v>455</v>
      </c>
      <c r="AR470" s="58">
        <f t="shared" si="131"/>
        <v>227.5</v>
      </c>
      <c r="AS470" s="58">
        <f t="shared" si="132"/>
        <v>98979.877354076176</v>
      </c>
      <c r="AT470" s="58">
        <f t="shared" si="133"/>
        <v>-15125.529213830461</v>
      </c>
      <c r="AU470" s="58">
        <f t="shared" si="134"/>
        <v>2843.1472626302771</v>
      </c>
      <c r="AV470" s="58">
        <f t="shared" si="135"/>
        <v>1053.7599999377096</v>
      </c>
      <c r="AW470" s="58">
        <f t="shared" si="121"/>
        <v>-132.53469547700604</v>
      </c>
      <c r="AX470" s="58">
        <f t="shared" si="136"/>
        <v>23.451747991638051</v>
      </c>
      <c r="AY470" s="33">
        <f t="shared" si="122"/>
        <v>-72.946484248357763</v>
      </c>
      <c r="AZ470" s="33">
        <f t="shared" si="123"/>
        <v>20.897130581860313</v>
      </c>
      <c r="BA470" s="39">
        <f t="shared" si="124"/>
        <v>-11.824122409885398</v>
      </c>
      <c r="BB470" s="39">
        <f t="shared" si="125"/>
        <v>2.496954440063599</v>
      </c>
      <c r="BC470" s="45">
        <f t="shared" si="126"/>
        <v>-47.764088818762865</v>
      </c>
      <c r="BD470" s="45">
        <f t="shared" si="127"/>
        <v>5.7662969714135572E-2</v>
      </c>
      <c r="BE470" s="64">
        <f t="shared" si="128"/>
        <v>6749735599.0708103</v>
      </c>
      <c r="BF470" s="65">
        <f t="shared" si="129"/>
        <v>14787503433.466057</v>
      </c>
      <c r="BG470" s="66">
        <f t="shared" si="130"/>
        <v>10811830652.152248</v>
      </c>
    </row>
    <row r="471" spans="43:59" x14ac:dyDescent="0.25">
      <c r="AQ471" s="7">
        <v>456</v>
      </c>
      <c r="AR471" s="58">
        <f t="shared" si="131"/>
        <v>228</v>
      </c>
      <c r="AS471" s="58">
        <f t="shared" si="132"/>
        <v>100384.88414845669</v>
      </c>
      <c r="AT471" s="58">
        <f t="shared" si="133"/>
        <v>-14595.717745362652</v>
      </c>
      <c r="AU471" s="58">
        <f t="shared" si="134"/>
        <v>2776.8799148917742</v>
      </c>
      <c r="AV471" s="58">
        <f t="shared" si="135"/>
        <v>1065.4858739335286</v>
      </c>
      <c r="AW471" s="58">
        <f t="shared" si="121"/>
        <v>-129.21737024422282</v>
      </c>
      <c r="AX471" s="58">
        <f t="shared" si="136"/>
        <v>21.735850815282429</v>
      </c>
      <c r="AY471" s="33">
        <f t="shared" si="122"/>
        <v>-71.103982421792182</v>
      </c>
      <c r="AZ471" s="33">
        <f t="shared" si="123"/>
        <v>19.544638806241419</v>
      </c>
      <c r="BA471" s="39">
        <f t="shared" si="124"/>
        <v>-11.598386382512009</v>
      </c>
      <c r="BB471" s="39">
        <f t="shared" si="125"/>
        <v>2.3696549594559735</v>
      </c>
      <c r="BC471" s="45">
        <f t="shared" si="126"/>
        <v>-46.51500143991862</v>
      </c>
      <c r="BD471" s="45">
        <f t="shared" si="127"/>
        <v>-0.17844295041496411</v>
      </c>
      <c r="BE471" s="64">
        <f t="shared" si="128"/>
        <v>6949950342.2435379</v>
      </c>
      <c r="BF471" s="65">
        <f t="shared" si="129"/>
        <v>15097469662.846888</v>
      </c>
      <c r="BG471" s="66">
        <f t="shared" si="130"/>
        <v>11106137251.125053</v>
      </c>
    </row>
    <row r="472" spans="43:59" x14ac:dyDescent="0.25">
      <c r="AQ472" s="7">
        <v>457</v>
      </c>
      <c r="AR472" s="58">
        <f t="shared" si="131"/>
        <v>228.5</v>
      </c>
      <c r="AS472" s="58">
        <f t="shared" si="132"/>
        <v>101757.17193462205</v>
      </c>
      <c r="AT472" s="58">
        <f t="shared" si="133"/>
        <v>-14060.257827043977</v>
      </c>
      <c r="AU472" s="58">
        <f t="shared" si="134"/>
        <v>2712.2712297696626</v>
      </c>
      <c r="AV472" s="58">
        <f t="shared" si="135"/>
        <v>1076.3537993411699</v>
      </c>
      <c r="AW472" s="58">
        <f t="shared" si="121"/>
        <v>-126.08032045131895</v>
      </c>
      <c r="AX472" s="58">
        <f t="shared" si="136"/>
        <v>20.141019619799625</v>
      </c>
      <c r="AY472" s="33">
        <f t="shared" si="122"/>
        <v>-69.358573836263176</v>
      </c>
      <c r="AZ472" s="33">
        <f t="shared" si="123"/>
        <v>18.290612297863039</v>
      </c>
      <c r="BA472" s="39">
        <f t="shared" si="124"/>
        <v>-11.383623591591475</v>
      </c>
      <c r="BB472" s="39">
        <f t="shared" si="125"/>
        <v>2.2495013169883662</v>
      </c>
      <c r="BC472" s="45">
        <f t="shared" si="126"/>
        <v>-45.338123023464306</v>
      </c>
      <c r="BD472" s="45">
        <f t="shared" si="127"/>
        <v>-0.39909399505177773</v>
      </c>
      <c r="BE472" s="64">
        <f t="shared" si="128"/>
        <v>7149079880.3159628</v>
      </c>
      <c r="BF472" s="65">
        <f t="shared" si="129"/>
        <v>15403704924.220945</v>
      </c>
      <c r="BG472" s="66">
        <f t="shared" si="130"/>
        <v>11397976874.830086</v>
      </c>
    </row>
    <row r="473" spans="43:59" x14ac:dyDescent="0.25">
      <c r="AQ473" s="7">
        <v>458</v>
      </c>
      <c r="AR473" s="58">
        <f t="shared" si="131"/>
        <v>229</v>
      </c>
      <c r="AS473" s="58">
        <f t="shared" si="132"/>
        <v>103097.54750945047</v>
      </c>
      <c r="AT473" s="58">
        <f t="shared" si="133"/>
        <v>-13519.563299920917</v>
      </c>
      <c r="AU473" s="58">
        <f t="shared" si="134"/>
        <v>2649.2310695440033</v>
      </c>
      <c r="AV473" s="58">
        <f t="shared" si="135"/>
        <v>1086.4243091510696</v>
      </c>
      <c r="AW473" s="58">
        <f t="shared" si="121"/>
        <v>-123.11056880268657</v>
      </c>
      <c r="AX473" s="58">
        <f t="shared" si="136"/>
        <v>18.655907668030924</v>
      </c>
      <c r="AY473" s="33">
        <f t="shared" si="122"/>
        <v>-67.703739955574207</v>
      </c>
      <c r="AZ473" s="33">
        <f t="shared" si="123"/>
        <v>17.125692517889668</v>
      </c>
      <c r="BA473" s="39">
        <f t="shared" si="124"/>
        <v>-11.179110573925318</v>
      </c>
      <c r="BB473" s="39">
        <f t="shared" si="125"/>
        <v>2.1359304397194934</v>
      </c>
      <c r="BC473" s="45">
        <f t="shared" si="126"/>
        <v>-44.227718273187044</v>
      </c>
      <c r="BD473" s="45">
        <f t="shared" si="127"/>
        <v>-0.60571528957824017</v>
      </c>
      <c r="BE473" s="64">
        <f t="shared" si="128"/>
        <v>7347024443.4047604</v>
      </c>
      <c r="BF473" s="65">
        <f t="shared" si="129"/>
        <v>15706176060.660402</v>
      </c>
      <c r="BG473" s="66">
        <f t="shared" si="130"/>
        <v>11687271470.380842</v>
      </c>
    </row>
    <row r="474" spans="43:59" x14ac:dyDescent="0.25">
      <c r="AQ474" s="7">
        <v>459</v>
      </c>
      <c r="AR474" s="58">
        <f t="shared" si="131"/>
        <v>229.5</v>
      </c>
      <c r="AS474" s="58">
        <f t="shared" si="132"/>
        <v>104406.77422312213</v>
      </c>
      <c r="AT474" s="58">
        <f t="shared" si="133"/>
        <v>-12974.01915688688</v>
      </c>
      <c r="AU474" s="58">
        <f t="shared" si="134"/>
        <v>2587.6757851426601</v>
      </c>
      <c r="AV474" s="58">
        <f t="shared" si="135"/>
        <v>1095.7522629850851</v>
      </c>
      <c r="AW474" s="58">
        <f t="shared" si="121"/>
        <v>-120.29631160134088</v>
      </c>
      <c r="AX474" s="58">
        <f t="shared" si="136"/>
        <v>17.270440124610179</v>
      </c>
      <c r="AY474" s="33">
        <f t="shared" si="122"/>
        <v>-66.133485605097079</v>
      </c>
      <c r="AZ474" s="33">
        <f t="shared" si="123"/>
        <v>16.041582724287366</v>
      </c>
      <c r="BA474" s="39">
        <f t="shared" si="124"/>
        <v>-10.984187272142126</v>
      </c>
      <c r="BB474" s="39">
        <f t="shared" si="125"/>
        <v>2.0284339851175446</v>
      </c>
      <c r="BC474" s="45">
        <f t="shared" si="126"/>
        <v>-43.178638724101681</v>
      </c>
      <c r="BD474" s="45">
        <f t="shared" si="127"/>
        <v>-0.79957658479473237</v>
      </c>
      <c r="BE474" s="64">
        <f t="shared" si="128"/>
        <v>7543688995.1896868</v>
      </c>
      <c r="BF474" s="65">
        <f t="shared" si="129"/>
        <v>16004851028.823891</v>
      </c>
      <c r="BG474" s="66">
        <f t="shared" si="130"/>
        <v>11973946844.285883</v>
      </c>
    </row>
    <row r="475" spans="43:59" x14ac:dyDescent="0.25">
      <c r="AQ475" s="7">
        <v>460</v>
      </c>
      <c r="AR475" s="58">
        <f t="shared" si="131"/>
        <v>230</v>
      </c>
      <c r="AS475" s="58">
        <f t="shared" si="132"/>
        <v>105685.57507674331</v>
      </c>
      <c r="AT475" s="58">
        <f t="shared" si="133"/>
        <v>-12423.984220378759</v>
      </c>
      <c r="AU475" s="58">
        <f t="shared" si="134"/>
        <v>2527.5276293419897</v>
      </c>
      <c r="AV475" s="58">
        <f t="shared" si="135"/>
        <v>1104.3874830473901</v>
      </c>
      <c r="AW475" s="58">
        <f t="shared" si="121"/>
        <v>-117.6267947023388</v>
      </c>
      <c r="AX475" s="58">
        <f t="shared" si="136"/>
        <v>15.975648385266485</v>
      </c>
      <c r="AY475" s="33">
        <f t="shared" si="122"/>
        <v>-64.642294070346722</v>
      </c>
      <c r="AZ475" s="33">
        <f t="shared" si="123"/>
        <v>15.030908596612091</v>
      </c>
      <c r="BA475" s="39">
        <f t="shared" si="124"/>
        <v>-10.798250246493284</v>
      </c>
      <c r="BB475" s="39">
        <f t="shared" si="125"/>
        <v>1.9265519769250887</v>
      </c>
      <c r="BC475" s="45">
        <f t="shared" si="126"/>
        <v>-42.186250385498788</v>
      </c>
      <c r="BD475" s="45">
        <f t="shared" si="127"/>
        <v>-0.98181218827069394</v>
      </c>
      <c r="BE475" s="64">
        <f t="shared" si="128"/>
        <v>7738982923.4461155</v>
      </c>
      <c r="BF475" s="65">
        <f t="shared" si="129"/>
        <v>16299698850.687473</v>
      </c>
      <c r="BG475" s="66">
        <f t="shared" si="130"/>
        <v>12257932387.366236</v>
      </c>
    </row>
    <row r="476" spans="43:59" x14ac:dyDescent="0.25">
      <c r="AQ476" s="7">
        <v>461</v>
      </c>
      <c r="AR476" s="58">
        <f t="shared" si="131"/>
        <v>230.5</v>
      </c>
      <c r="AS476" s="58">
        <f t="shared" si="132"/>
        <v>106934.6355420765</v>
      </c>
      <c r="AT476" s="58">
        <f t="shared" si="133"/>
        <v>-11869.793522806905</v>
      </c>
      <c r="AU476" s="58">
        <f t="shared" si="134"/>
        <v>2468.7142319908203</v>
      </c>
      <c r="AV476" s="58">
        <f t="shared" si="135"/>
        <v>1112.3753072400234</v>
      </c>
      <c r="AW476" s="58">
        <f t="shared" si="121"/>
        <v>-115.09220419371688</v>
      </c>
      <c r="AX476" s="58">
        <f t="shared" si="136"/>
        <v>14.763528751509144</v>
      </c>
      <c r="AY476" s="33">
        <f t="shared" si="122"/>
        <v>-63.225085693000736</v>
      </c>
      <c r="AZ476" s="33">
        <f t="shared" si="123"/>
        <v>14.087099436247836</v>
      </c>
      <c r="BA476" s="39">
        <f t="shared" si="124"/>
        <v>-10.620746744129395</v>
      </c>
      <c r="BB476" s="39">
        <f t="shared" si="125"/>
        <v>1.829867296346702</v>
      </c>
      <c r="BC476" s="45">
        <f t="shared" si="126"/>
        <v>-41.246371756586754</v>
      </c>
      <c r="BD476" s="45">
        <f t="shared" si="127"/>
        <v>-1.1534379810853947</v>
      </c>
      <c r="BE476" s="64">
        <f t="shared" si="128"/>
        <v>7932819757.9498434</v>
      </c>
      <c r="BF476" s="65">
        <f t="shared" si="129"/>
        <v>16590689568.929998</v>
      </c>
      <c r="BG476" s="66">
        <f t="shared" si="130"/>
        <v>12539160826.527357</v>
      </c>
    </row>
    <row r="477" spans="43:59" x14ac:dyDescent="0.25">
      <c r="AQ477" s="7">
        <v>462</v>
      </c>
      <c r="AR477" s="58">
        <f t="shared" si="131"/>
        <v>231</v>
      </c>
      <c r="AS477" s="58">
        <f t="shared" si="132"/>
        <v>108154.60613254771</v>
      </c>
      <c r="AT477" s="58">
        <f t="shared" si="133"/>
        <v>-11311.760428092954</v>
      </c>
      <c r="AU477" s="58">
        <f t="shared" si="134"/>
        <v>2411.168129893962</v>
      </c>
      <c r="AV477" s="58">
        <f t="shared" si="135"/>
        <v>1119.7570716157779</v>
      </c>
      <c r="AW477" s="58">
        <f t="shared" si="121"/>
        <v>-112.68356991126777</v>
      </c>
      <c r="AX477" s="58">
        <f t="shared" si="136"/>
        <v>13.626921494464925</v>
      </c>
      <c r="AY477" s="33">
        <f t="shared" si="122"/>
        <v>-61.877179878719446</v>
      </c>
      <c r="AZ477" s="33">
        <f t="shared" si="123"/>
        <v>13.20428659274237</v>
      </c>
      <c r="BA477" s="39">
        <f t="shared" si="124"/>
        <v>-10.45116950179102</v>
      </c>
      <c r="BB477" s="39">
        <f t="shared" si="125"/>
        <v>1.7380008985802178</v>
      </c>
      <c r="BC477" s="45">
        <f t="shared" si="126"/>
        <v>-40.3552205307573</v>
      </c>
      <c r="BD477" s="45">
        <f t="shared" si="127"/>
        <v>-1.3153659968576623</v>
      </c>
      <c r="BE477" s="64">
        <f t="shared" si="128"/>
        <v>8125116912.7885818</v>
      </c>
      <c r="BF477" s="65">
        <f t="shared" si="129"/>
        <v>16877794205.532862</v>
      </c>
      <c r="BG477" s="66">
        <f t="shared" si="130"/>
        <v>12817568000.151785</v>
      </c>
    </row>
    <row r="478" spans="43:59" x14ac:dyDescent="0.25">
      <c r="AQ478" s="7">
        <v>463</v>
      </c>
      <c r="AR478" s="58">
        <f t="shared" si="131"/>
        <v>231.5</v>
      </c>
      <c r="AS478" s="58">
        <f t="shared" si="132"/>
        <v>109346.10475125577</v>
      </c>
      <c r="AT478" s="58">
        <f t="shared" si="133"/>
        <v>-10750.178527098256</v>
      </c>
      <c r="AU478" s="58">
        <f t="shared" si="134"/>
        <v>2354.826344938328</v>
      </c>
      <c r="AV478" s="58">
        <f t="shared" si="135"/>
        <v>1126.5705323630104</v>
      </c>
      <c r="AW478" s="58">
        <f t="shared" si="121"/>
        <v>-110.39268014736797</v>
      </c>
      <c r="AX478" s="58">
        <f t="shared" si="136"/>
        <v>12.559407051263403</v>
      </c>
      <c r="AY478" s="33">
        <f t="shared" si="122"/>
        <v>-60.594260361044547</v>
      </c>
      <c r="AZ478" s="33">
        <f t="shared" si="123"/>
        <v>12.377216358623551</v>
      </c>
      <c r="BA478" s="39">
        <f t="shared" si="124"/>
        <v>-10.289052177986505</v>
      </c>
      <c r="BB478" s="39">
        <f t="shared" si="125"/>
        <v>1.6506076466579978</v>
      </c>
      <c r="BC478" s="45">
        <f t="shared" si="126"/>
        <v>-39.509367608336909</v>
      </c>
      <c r="BD478" s="45">
        <f t="shared" si="127"/>
        <v>-1.4684169540181455</v>
      </c>
      <c r="BE478" s="64">
        <f t="shared" si="128"/>
        <v>8315795450.4933271</v>
      </c>
      <c r="BF478" s="65">
        <f t="shared" si="129"/>
        <v>17160984723.22928</v>
      </c>
      <c r="BG478" s="66">
        <f t="shared" si="130"/>
        <v>13093092654.336695</v>
      </c>
    </row>
    <row r="479" spans="43:59" x14ac:dyDescent="0.25">
      <c r="AQ479" s="7">
        <v>464</v>
      </c>
      <c r="AR479" s="58">
        <f t="shared" si="131"/>
        <v>232</v>
      </c>
      <c r="AS479" s="58">
        <f t="shared" si="132"/>
        <v>110509.71883870653</v>
      </c>
      <c r="AT479" s="58">
        <f t="shared" si="133"/>
        <v>-10185.323335035344</v>
      </c>
      <c r="AU479" s="58">
        <f t="shared" si="134"/>
        <v>2299.630004864644</v>
      </c>
      <c r="AV479" s="58">
        <f t="shared" si="135"/>
        <v>1132.8502358886421</v>
      </c>
      <c r="AW479" s="58">
        <f t="shared" si="121"/>
        <v>-108.21200613440013</v>
      </c>
      <c r="AX479" s="58">
        <f t="shared" si="136"/>
        <v>11.555216664085789</v>
      </c>
      <c r="AY479" s="33">
        <f t="shared" si="122"/>
        <v>-59.372343525675404</v>
      </c>
      <c r="AZ479" s="33">
        <f t="shared" si="123"/>
        <v>11.601175054819867</v>
      </c>
      <c r="BA479" s="39">
        <f t="shared" si="124"/>
        <v>-10.133965327270356</v>
      </c>
      <c r="BB479" s="39">
        <f t="shared" si="125"/>
        <v>1.5673726724505197</v>
      </c>
      <c r="BC479" s="45">
        <f t="shared" si="126"/>
        <v>-38.70569728145437</v>
      </c>
      <c r="BD479" s="45">
        <f t="shared" si="127"/>
        <v>-1.613331063184597</v>
      </c>
      <c r="BE479" s="64">
        <f t="shared" si="128"/>
        <v>8504779865.7264528</v>
      </c>
      <c r="BF479" s="65">
        <f t="shared" si="129"/>
        <v>17440233989.49815</v>
      </c>
      <c r="BG479" s="66">
        <f t="shared" si="130"/>
        <v>13365676257.585188</v>
      </c>
    </row>
    <row r="480" spans="43:59" x14ac:dyDescent="0.25">
      <c r="AQ480" s="7">
        <v>465</v>
      </c>
      <c r="AR480" s="58">
        <f t="shared" si="131"/>
        <v>232.5</v>
      </c>
      <c r="AS480" s="58">
        <f t="shared" si="132"/>
        <v>111646.00734037205</v>
      </c>
      <c r="AT480" s="58">
        <f t="shared" si="133"/>
        <v>-9617.4538150080116</v>
      </c>
      <c r="AU480" s="58">
        <f t="shared" si="134"/>
        <v>2245.5240017974438</v>
      </c>
      <c r="AV480" s="58">
        <f t="shared" si="135"/>
        <v>1138.6278442206851</v>
      </c>
      <c r="AW480" s="58">
        <f t="shared" si="121"/>
        <v>-106.13463507394778</v>
      </c>
      <c r="AX480" s="58">
        <f t="shared" si="136"/>
        <v>10.609155232632951</v>
      </c>
      <c r="AY480" s="33">
        <f t="shared" si="122"/>
        <v>-58.207749579856184</v>
      </c>
      <c r="AZ480" s="33">
        <f t="shared" si="123"/>
        <v>10.871924419011961</v>
      </c>
      <c r="BA480" s="39">
        <f t="shared" si="124"/>
        <v>-9.9855128428558846</v>
      </c>
      <c r="BB480" s="39">
        <f t="shared" si="125"/>
        <v>1.4880081893210653</v>
      </c>
      <c r="BC480" s="45">
        <f t="shared" si="126"/>
        <v>-37.941372651235717</v>
      </c>
      <c r="BD480" s="45">
        <f t="shared" si="127"/>
        <v>-1.7507773757000742</v>
      </c>
      <c r="BE480" s="64">
        <f t="shared" si="128"/>
        <v>8691997886.5404587</v>
      </c>
      <c r="BF480" s="65">
        <f t="shared" si="129"/>
        <v>17715515742.845261</v>
      </c>
      <c r="BG480" s="66">
        <f t="shared" si="130"/>
        <v>13635262831.883699</v>
      </c>
    </row>
    <row r="481" spans="43:59" x14ac:dyDescent="0.25">
      <c r="AQ481" s="7">
        <v>466</v>
      </c>
      <c r="AR481" s="58">
        <f t="shared" si="131"/>
        <v>233</v>
      </c>
      <c r="AS481" s="58">
        <f t="shared" si="132"/>
        <v>112755.50251188653</v>
      </c>
      <c r="AT481" s="58">
        <f t="shared" si="133"/>
        <v>-9046.8137484935887</v>
      </c>
      <c r="AU481" s="58">
        <f t="shared" si="134"/>
        <v>2192.45668426047</v>
      </c>
      <c r="AV481" s="58">
        <f t="shared" si="135"/>
        <v>1143.9324218370016</v>
      </c>
      <c r="AW481" s="58">
        <f t="shared" si="121"/>
        <v>-104.15421064751385</v>
      </c>
      <c r="AX481" s="58">
        <f t="shared" si="136"/>
        <v>9.7165345264460647</v>
      </c>
      <c r="AY481" s="33">
        <f t="shared" si="122"/>
        <v>-57.097076345585087</v>
      </c>
      <c r="AZ481" s="33">
        <f t="shared" si="123"/>
        <v>10.18564572762509</v>
      </c>
      <c r="BA481" s="39">
        <f t="shared" si="124"/>
        <v>-9.8433288050806684</v>
      </c>
      <c r="BB481" s="39">
        <f t="shared" si="125"/>
        <v>1.4122506929516285</v>
      </c>
      <c r="BC481" s="45">
        <f t="shared" si="126"/>
        <v>-37.213805496848089</v>
      </c>
      <c r="BD481" s="45">
        <f t="shared" si="127"/>
        <v>-1.8813618941306536</v>
      </c>
      <c r="BE481" s="64">
        <f t="shared" si="128"/>
        <v>8877380291.4599247</v>
      </c>
      <c r="BF481" s="65">
        <f t="shared" si="129"/>
        <v>17986804561.153313</v>
      </c>
      <c r="BG481" s="66">
        <f t="shared" si="130"/>
        <v>13901798798.37204</v>
      </c>
    </row>
    <row r="482" spans="43:59" x14ac:dyDescent="0.25">
      <c r="AQ482" s="7">
        <v>467</v>
      </c>
      <c r="AR482" s="58">
        <f t="shared" si="131"/>
        <v>233.5</v>
      </c>
      <c r="AS482" s="58">
        <f t="shared" si="132"/>
        <v>113838.71157768583</v>
      </c>
      <c r="AT482" s="58">
        <f t="shared" si="133"/>
        <v>-8473.6329707592813</v>
      </c>
      <c r="AU482" s="58">
        <f t="shared" si="134"/>
        <v>2140.3795789367132</v>
      </c>
      <c r="AV482" s="58">
        <f t="shared" si="135"/>
        <v>1148.7906891002247</v>
      </c>
      <c r="AW482" s="58">
        <f t="shared" si="121"/>
        <v>-102.26488008639268</v>
      </c>
      <c r="AX482" s="58">
        <f t="shared" si="136"/>
        <v>8.8731152109375984</v>
      </c>
      <c r="AY482" s="33">
        <f t="shared" si="122"/>
        <v>-56.037175458217909</v>
      </c>
      <c r="AZ482" s="33">
        <f t="shared" si="123"/>
        <v>9.5388913427970046</v>
      </c>
      <c r="BA482" s="39">
        <f t="shared" si="124"/>
        <v>-9.7070746826097736</v>
      </c>
      <c r="BB482" s="39">
        <f t="shared" si="125"/>
        <v>1.3398584967862199</v>
      </c>
      <c r="BC482" s="45">
        <f t="shared" si="126"/>
        <v>-36.520629945564991</v>
      </c>
      <c r="BD482" s="45">
        <f t="shared" si="127"/>
        <v>-2.0056346286456268</v>
      </c>
      <c r="BE482" s="64">
        <f t="shared" si="128"/>
        <v>9060860740.8446369</v>
      </c>
      <c r="BF482" s="65">
        <f t="shared" si="129"/>
        <v>18254075831.913303</v>
      </c>
      <c r="BG482" s="66">
        <f t="shared" si="130"/>
        <v>14165232836.04476</v>
      </c>
    </row>
    <row r="483" spans="43:59" x14ac:dyDescent="0.25">
      <c r="AQ483" s="7">
        <v>468</v>
      </c>
      <c r="AR483" s="58">
        <f t="shared" si="131"/>
        <v>234</v>
      </c>
      <c r="AS483" s="58">
        <f t="shared" si="132"/>
        <v>114896.11825714337</v>
      </c>
      <c r="AT483" s="58">
        <f t="shared" si="133"/>
        <v>-7898.1284868078019</v>
      </c>
      <c r="AU483" s="58">
        <f t="shared" si="134"/>
        <v>2089.2471388935169</v>
      </c>
      <c r="AV483" s="58">
        <f t="shared" si="135"/>
        <v>1153.2272467056935</v>
      </c>
      <c r="AW483" s="58">
        <f t="shared" si="121"/>
        <v>-100.46124700060997</v>
      </c>
      <c r="AX483" s="58">
        <f t="shared" si="136"/>
        <v>8.0750563933855233</v>
      </c>
      <c r="AY483" s="33">
        <f t="shared" si="122"/>
        <v>-55.025130760466112</v>
      </c>
      <c r="AZ483" s="33">
        <f t="shared" si="123"/>
        <v>8.9285425896678081</v>
      </c>
      <c r="BA483" s="39">
        <f t="shared" si="124"/>
        <v>-9.5764368410833658</v>
      </c>
      <c r="BB483" s="39">
        <f t="shared" si="125"/>
        <v>1.2706095567611597</v>
      </c>
      <c r="BC483" s="45">
        <f t="shared" si="126"/>
        <v>-35.859679399060504</v>
      </c>
      <c r="BD483" s="45">
        <f t="shared" si="127"/>
        <v>-2.124095753043445</v>
      </c>
      <c r="BE483" s="64">
        <f t="shared" si="128"/>
        <v>9242375621.1699829</v>
      </c>
      <c r="BF483" s="65">
        <f t="shared" si="129"/>
        <v>18517305724.175488</v>
      </c>
      <c r="BG483" s="66">
        <f t="shared" si="130"/>
        <v>14425515752.1208</v>
      </c>
    </row>
    <row r="484" spans="43:59" x14ac:dyDescent="0.25">
      <c r="AQ484" s="7">
        <v>469</v>
      </c>
      <c r="AR484" s="58">
        <f t="shared" si="131"/>
        <v>234.5</v>
      </c>
      <c r="AS484" s="58">
        <f t="shared" si="132"/>
        <v>115928.18417071506</v>
      </c>
      <c r="AT484" s="58">
        <f t="shared" si="133"/>
        <v>-7320.5054814057821</v>
      </c>
      <c r="AU484" s="58">
        <f t="shared" si="134"/>
        <v>2039.0165153932119</v>
      </c>
      <c r="AV484" s="58">
        <f t="shared" si="135"/>
        <v>1157.2647749023863</v>
      </c>
      <c r="AW484" s="58">
        <f t="shared" si="121"/>
        <v>-98.738329272144171</v>
      </c>
      <c r="AX484" s="58">
        <f t="shared" si="136"/>
        <v>7.318871603024375</v>
      </c>
      <c r="AY484" s="33">
        <f t="shared" si="122"/>
        <v>-54.0582386934895</v>
      </c>
      <c r="AZ484" s="33">
        <f t="shared" si="123"/>
        <v>8.3517730456174366</v>
      </c>
      <c r="BA484" s="39">
        <f t="shared" si="124"/>
        <v>-9.4511243204558451</v>
      </c>
      <c r="BB484" s="39">
        <f t="shared" si="125"/>
        <v>1.2042995468276902</v>
      </c>
      <c r="BC484" s="45">
        <f t="shared" si="126"/>
        <v>-35.228966258198831</v>
      </c>
      <c r="BD484" s="45">
        <f t="shared" si="127"/>
        <v>-2.2372009894207512</v>
      </c>
      <c r="BE484" s="64">
        <f t="shared" si="128"/>
        <v>9421863901.0150051</v>
      </c>
      <c r="BF484" s="65">
        <f t="shared" si="129"/>
        <v>18776471162.079235</v>
      </c>
      <c r="BG484" s="66">
        <f t="shared" si="130"/>
        <v>14682600362.887499</v>
      </c>
    </row>
    <row r="485" spans="43:59" x14ac:dyDescent="0.25">
      <c r="AQ485" s="7">
        <v>470</v>
      </c>
      <c r="AR485" s="58">
        <f t="shared" si="131"/>
        <v>235</v>
      </c>
      <c r="AS485" s="58">
        <f t="shared" si="132"/>
        <v>116935.35013725265</v>
      </c>
      <c r="AT485" s="58">
        <f t="shared" si="133"/>
        <v>-6740.958235004211</v>
      </c>
      <c r="AU485" s="58">
        <f t="shared" si="134"/>
        <v>1989.6473507571397</v>
      </c>
      <c r="AV485" s="58">
        <f t="shared" si="135"/>
        <v>1160.9242107038986</v>
      </c>
      <c r="AW485" s="58">
        <f t="shared" si="121"/>
        <v>-97.091521408394271</v>
      </c>
      <c r="AX485" s="58">
        <f t="shared" si="136"/>
        <v>6.6013902911397517</v>
      </c>
      <c r="AY485" s="33">
        <f t="shared" si="122"/>
        <v>-53.133990500278756</v>
      </c>
      <c r="AZ485" s="33">
        <f t="shared" si="123"/>
        <v>7.806016468730796</v>
      </c>
      <c r="BA485" s="39">
        <f t="shared" si="124"/>
        <v>-9.3308668477718406</v>
      </c>
      <c r="BB485" s="39">
        <f t="shared" si="125"/>
        <v>1.1407401524760712</v>
      </c>
      <c r="BC485" s="45">
        <f t="shared" si="126"/>
        <v>-34.626664060343678</v>
      </c>
      <c r="BD485" s="45">
        <f t="shared" si="127"/>
        <v>-2.3453663300671161</v>
      </c>
      <c r="BE485" s="64">
        <f t="shared" si="128"/>
        <v>9599266997.6829014</v>
      </c>
      <c r="BF485" s="65">
        <f t="shared" si="129"/>
        <v>19031549799.838135</v>
      </c>
      <c r="BG485" s="66">
        <f t="shared" si="130"/>
        <v>14936441383.970345</v>
      </c>
    </row>
    <row r="486" spans="43:59" x14ac:dyDescent="0.25">
      <c r="AQ486" s="7">
        <v>471</v>
      </c>
      <c r="AR486" s="58">
        <f t="shared" si="131"/>
        <v>235.5</v>
      </c>
      <c r="AS486" s="58">
        <f t="shared" si="132"/>
        <v>117918.03737245518</v>
      </c>
      <c r="AT486" s="58">
        <f t="shared" si="133"/>
        <v>-6159.6709558658695</v>
      </c>
      <c r="AU486" s="58">
        <f t="shared" si="134"/>
        <v>1941.1015900529426</v>
      </c>
      <c r="AV486" s="58">
        <f t="shared" si="135"/>
        <v>1164.2249058494685</v>
      </c>
      <c r="AW486" s="58">
        <f t="shared" si="121"/>
        <v>-95.516560830073246</v>
      </c>
      <c r="AX486" s="58">
        <f t="shared" si="136"/>
        <v>5.9197240794335233</v>
      </c>
      <c r="AY486" s="33">
        <f t="shared" si="122"/>
        <v>-52.250056070679669</v>
      </c>
      <c r="AZ486" s="33">
        <f t="shared" si="123"/>
        <v>7.2889387134693413</v>
      </c>
      <c r="BA486" s="39">
        <f t="shared" si="124"/>
        <v>-9.2154130567596102</v>
      </c>
      <c r="BB486" s="39">
        <f t="shared" si="125"/>
        <v>1.0797575542455269</v>
      </c>
      <c r="BC486" s="45">
        <f t="shared" si="126"/>
        <v>-34.051091702633961</v>
      </c>
      <c r="BD486" s="45">
        <f t="shared" si="127"/>
        <v>-2.4489721882813451</v>
      </c>
      <c r="BE486" s="64">
        <f t="shared" si="128"/>
        <v>9774528653.4960537</v>
      </c>
      <c r="BF486" s="65">
        <f t="shared" si="129"/>
        <v>19282519998.071796</v>
      </c>
      <c r="BG486" s="66">
        <f t="shared" si="130"/>
        <v>15186995329.104847</v>
      </c>
    </row>
    <row r="487" spans="43:59" x14ac:dyDescent="0.25">
      <c r="AQ487" s="7">
        <v>472</v>
      </c>
      <c r="AR487" s="58">
        <f t="shared" si="131"/>
        <v>236</v>
      </c>
      <c r="AS487" s="58">
        <f t="shared" si="132"/>
        <v>118876.64859737789</v>
      </c>
      <c r="AT487" s="58">
        <f t="shared" si="133"/>
        <v>-5576.8185374312061</v>
      </c>
      <c r="AU487" s="58">
        <f t="shared" si="134"/>
        <v>1893.343309637906</v>
      </c>
      <c r="AV487" s="58">
        <f t="shared" si="135"/>
        <v>1167.1847678891852</v>
      </c>
      <c r="AW487" s="58">
        <f t="shared" si="121"/>
        <v>-94.009497635183266</v>
      </c>
      <c r="AX487" s="58">
        <f t="shared" si="136"/>
        <v>5.2712371032867775</v>
      </c>
      <c r="AY487" s="33">
        <f t="shared" si="122"/>
        <v>-51.404269271640892</v>
      </c>
      <c r="AZ487" s="33">
        <f t="shared" si="123"/>
        <v>6.7984130818560633</v>
      </c>
      <c r="BA487" s="39">
        <f t="shared" si="124"/>
        <v>-9.1045288895392904</v>
      </c>
      <c r="BB487" s="39">
        <f t="shared" si="125"/>
        <v>1.0211910772149153</v>
      </c>
      <c r="BC487" s="45">
        <f t="shared" si="126"/>
        <v>-33.500699474003078</v>
      </c>
      <c r="BD487" s="45">
        <f t="shared" si="127"/>
        <v>-2.5483670557842006</v>
      </c>
      <c r="BE487" s="64">
        <f t="shared" si="128"/>
        <v>9947594820.9102554</v>
      </c>
      <c r="BF487" s="65">
        <f t="shared" si="129"/>
        <v>19529360801.387642</v>
      </c>
      <c r="BG487" s="66">
        <f t="shared" si="130"/>
        <v>15434220416.594748</v>
      </c>
    </row>
    <row r="488" spans="43:59" x14ac:dyDescent="0.25">
      <c r="AQ488" s="7">
        <v>473</v>
      </c>
      <c r="AR488" s="58">
        <f t="shared" si="131"/>
        <v>236.5</v>
      </c>
      <c r="AS488" s="58">
        <f t="shared" si="132"/>
        <v>119811.56906499245</v>
      </c>
      <c r="AT488" s="58">
        <f t="shared" si="133"/>
        <v>-4992.5672488487025</v>
      </c>
      <c r="AU488" s="58">
        <f t="shared" si="134"/>
        <v>1846.3385608203143</v>
      </c>
      <c r="AV488" s="58">
        <f t="shared" si="135"/>
        <v>1169.8203864408285</v>
      </c>
      <c r="AW488" s="58">
        <f t="shared" si="121"/>
        <v>-92.566667438961943</v>
      </c>
      <c r="AX488" s="58">
        <f t="shared" si="136"/>
        <v>4.6535198952253012</v>
      </c>
      <c r="AY488" s="33">
        <f t="shared" si="122"/>
        <v>-50.594614620013523</v>
      </c>
      <c r="AZ488" s="33">
        <f t="shared" si="123"/>
        <v>6.3324986421016796</v>
      </c>
      <c r="BA488" s="39">
        <f t="shared" si="124"/>
        <v>-8.9979961590683306</v>
      </c>
      <c r="BB488" s="39">
        <f t="shared" si="125"/>
        <v>0.96489198584849289</v>
      </c>
      <c r="BC488" s="45">
        <f t="shared" si="126"/>
        <v>-32.974056659880091</v>
      </c>
      <c r="BD488" s="45">
        <f t="shared" si="127"/>
        <v>-2.6438707327248721</v>
      </c>
      <c r="BE488" s="64">
        <f t="shared" si="128"/>
        <v>10118413555.682764</v>
      </c>
      <c r="BF488" s="65">
        <f t="shared" si="129"/>
        <v>19772051917.126404</v>
      </c>
      <c r="BG488" s="66">
        <f t="shared" si="130"/>
        <v>15678076482.734196</v>
      </c>
    </row>
    <row r="489" spans="43:59" x14ac:dyDescent="0.25">
      <c r="AQ489" s="7">
        <v>474</v>
      </c>
      <c r="AR489" s="58">
        <f t="shared" si="131"/>
        <v>237</v>
      </c>
      <c r="AS489" s="58">
        <f t="shared" si="132"/>
        <v>120723.16751197274</v>
      </c>
      <c r="AT489" s="58">
        <f t="shared" si="133"/>
        <v>-4407.0753656413854</v>
      </c>
      <c r="AU489" s="58">
        <f t="shared" si="134"/>
        <v>1800.0552271008335</v>
      </c>
      <c r="AV489" s="58">
        <f t="shared" si="135"/>
        <v>1172.1471463884411</v>
      </c>
      <c r="AW489" s="58">
        <f t="shared" si="121"/>
        <v>-91.18466694004519</v>
      </c>
      <c r="AX489" s="58">
        <f t="shared" si="136"/>
        <v>4.0643663364167644</v>
      </c>
      <c r="AY489" s="33">
        <f t="shared" si="122"/>
        <v>-49.819215168341493</v>
      </c>
      <c r="AZ489" s="33">
        <f t="shared" si="123"/>
        <v>5.88942111650762</v>
      </c>
      <c r="BA489" s="39">
        <f t="shared" si="124"/>
        <v>-8.8956112537749714</v>
      </c>
      <c r="BB489" s="39">
        <f t="shared" si="125"/>
        <v>0.91072240642735547</v>
      </c>
      <c r="BC489" s="45">
        <f t="shared" si="126"/>
        <v>-32.469840517928724</v>
      </c>
      <c r="BD489" s="45">
        <f t="shared" si="127"/>
        <v>-2.7357771865182117</v>
      </c>
      <c r="BE489" s="64">
        <f t="shared" si="128"/>
        <v>10286934917.407986</v>
      </c>
      <c r="BF489" s="65">
        <f t="shared" si="129"/>
        <v>20010573695.194012</v>
      </c>
      <c r="BG489" s="66">
        <f t="shared" si="130"/>
        <v>15918524901.552761</v>
      </c>
    </row>
    <row r="490" spans="43:59" x14ac:dyDescent="0.25">
      <c r="AQ490" s="7">
        <v>475</v>
      </c>
      <c r="AR490" s="58">
        <f t="shared" si="131"/>
        <v>237.5</v>
      </c>
      <c r="AS490" s="58">
        <f t="shared" si="132"/>
        <v>121611.79704215565</v>
      </c>
      <c r="AT490" s="58">
        <f t="shared" si="133"/>
        <v>-3820.4937466551128</v>
      </c>
      <c r="AU490" s="58">
        <f t="shared" si="134"/>
        <v>1754.4628936308109</v>
      </c>
      <c r="AV490" s="58">
        <f t="shared" si="135"/>
        <v>1174.1793295566495</v>
      </c>
      <c r="AW490" s="58">
        <f t="shared" si="121"/>
        <v>-89.860331906638493</v>
      </c>
      <c r="AX490" s="58">
        <f t="shared" si="136"/>
        <v>3.5017532732254573</v>
      </c>
      <c r="AY490" s="33">
        <f t="shared" si="122"/>
        <v>-49.076321486312082</v>
      </c>
      <c r="AZ490" s="33">
        <f t="shared" si="123"/>
        <v>5.4675559990750235</v>
      </c>
      <c r="BA490" s="39">
        <f t="shared" si="124"/>
        <v>-8.7971839682445498</v>
      </c>
      <c r="BB490" s="39">
        <f t="shared" si="125"/>
        <v>0.85855436171822241</v>
      </c>
      <c r="BC490" s="45">
        <f t="shared" si="126"/>
        <v>-31.986826452081853</v>
      </c>
      <c r="BD490" s="45">
        <f t="shared" si="127"/>
        <v>-2.8243570875677886</v>
      </c>
      <c r="BE490" s="64">
        <f t="shared" si="128"/>
        <v>10453110876.804291</v>
      </c>
      <c r="BF490" s="65">
        <f t="shared" si="129"/>
        <v>20244907108.910015</v>
      </c>
      <c r="BG490" s="66">
        <f t="shared" si="130"/>
        <v>16155528510.312592</v>
      </c>
    </row>
    <row r="491" spans="43:59" x14ac:dyDescent="0.25">
      <c r="AQ491" s="7">
        <v>476</v>
      </c>
      <c r="AR491" s="58">
        <f t="shared" si="131"/>
        <v>238</v>
      </c>
      <c r="AS491" s="58">
        <f t="shared" si="132"/>
        <v>122477.79594748274</v>
      </c>
      <c r="AT491" s="58">
        <f t="shared" si="133"/>
        <v>-3232.9663627176346</v>
      </c>
      <c r="AU491" s="58">
        <f t="shared" si="134"/>
        <v>1709.5327276774917</v>
      </c>
      <c r="AV491" s="58">
        <f t="shared" si="135"/>
        <v>1175.9302061932622</v>
      </c>
      <c r="AW491" s="58">
        <f t="shared" si="121"/>
        <v>-88.590717314208092</v>
      </c>
      <c r="AX491" s="58">
        <f t="shared" si="136"/>
        <v>2.9638224540367895</v>
      </c>
      <c r="AY491" s="33">
        <f t="shared" si="122"/>
        <v>-48.364301631856215</v>
      </c>
      <c r="AZ491" s="33">
        <f t="shared" si="123"/>
        <v>5.0654136124967399</v>
      </c>
      <c r="BA491" s="39">
        <f t="shared" si="124"/>
        <v>-8.7025364458873415</v>
      </c>
      <c r="BB491" s="39">
        <f t="shared" si="125"/>
        <v>0.80826890458917211</v>
      </c>
      <c r="BC491" s="45">
        <f t="shared" si="126"/>
        <v>-31.523879236464531</v>
      </c>
      <c r="BD491" s="45">
        <f t="shared" si="127"/>
        <v>-2.9098600630491229</v>
      </c>
      <c r="BE491" s="64">
        <f t="shared" si="128"/>
        <v>10616895229.197138</v>
      </c>
      <c r="BF491" s="65">
        <f t="shared" si="129"/>
        <v>20475033736.809349</v>
      </c>
      <c r="BG491" s="66">
        <f t="shared" si="130"/>
        <v>16389051540.248981</v>
      </c>
    </row>
    <row r="492" spans="43:59" x14ac:dyDescent="0.25">
      <c r="AQ492" s="7">
        <v>477</v>
      </c>
      <c r="AR492" s="58">
        <f t="shared" si="131"/>
        <v>238.5</v>
      </c>
      <c r="AS492" s="58">
        <f t="shared" si="132"/>
        <v>123321.48847165721</v>
      </c>
      <c r="AT492" s="58">
        <f t="shared" si="133"/>
        <v>-2644.6307818142491</v>
      </c>
      <c r="AU492" s="58">
        <f t="shared" si="134"/>
        <v>1665.2373690203876</v>
      </c>
      <c r="AV492" s="58">
        <f t="shared" si="135"/>
        <v>1177.4121174202805</v>
      </c>
      <c r="AW492" s="58">
        <f t="shared" si="121"/>
        <v>-87.373079398956875</v>
      </c>
      <c r="AX492" s="58">
        <f t="shared" si="136"/>
        <v>2.448864490625037</v>
      </c>
      <c r="AY492" s="33">
        <f t="shared" si="122"/>
        <v>-47.681632016301293</v>
      </c>
      <c r="AZ492" s="33">
        <f t="shared" si="123"/>
        <v>4.6816258557134534</v>
      </c>
      <c r="BA492" s="39">
        <f t="shared" si="124"/>
        <v>-8.6115022212918273</v>
      </c>
      <c r="BB492" s="39">
        <f t="shared" si="125"/>
        <v>0.75975533903656045</v>
      </c>
      <c r="BC492" s="45">
        <f t="shared" si="126"/>
        <v>-31.079945161363753</v>
      </c>
      <c r="BD492" s="45">
        <f t="shared" si="127"/>
        <v>-2.9925167041249772</v>
      </c>
      <c r="BE492" s="64">
        <f t="shared" si="128"/>
        <v>10778243513.698128</v>
      </c>
      <c r="BF492" s="65">
        <f t="shared" si="129"/>
        <v>20700935745.339779</v>
      </c>
      <c r="BG492" s="66">
        <f t="shared" si="130"/>
        <v>16619059552.099348</v>
      </c>
    </row>
    <row r="493" spans="43:59" x14ac:dyDescent="0.25">
      <c r="AQ493" s="7">
        <v>478</v>
      </c>
      <c r="AR493" s="58">
        <f t="shared" si="131"/>
        <v>239</v>
      </c>
      <c r="AS493" s="58">
        <f t="shared" si="132"/>
        <v>124143.18552124253</v>
      </c>
      <c r="AT493" s="58">
        <f t="shared" si="133"/>
        <v>-2055.6186150427811</v>
      </c>
      <c r="AU493" s="58">
        <f t="shared" si="134"/>
        <v>1621.5508293209091</v>
      </c>
      <c r="AV493" s="58">
        <f t="shared" si="135"/>
        <v>1178.6365496655931</v>
      </c>
      <c r="AW493" s="58">
        <f t="shared" si="121"/>
        <v>-86.204859419737232</v>
      </c>
      <c r="AX493" s="58">
        <f t="shared" si="136"/>
        <v>1.9553045898052663</v>
      </c>
      <c r="AY493" s="33">
        <f t="shared" si="122"/>
        <v>-47.026889077430226</v>
      </c>
      <c r="AZ493" s="33">
        <f t="shared" si="123"/>
        <v>4.314934428275043</v>
      </c>
      <c r="BA493" s="39">
        <f t="shared" si="124"/>
        <v>-8.5239253514879003</v>
      </c>
      <c r="BB493" s="39">
        <f t="shared" si="125"/>
        <v>0.71291051858631638</v>
      </c>
      <c r="BC493" s="45">
        <f t="shared" si="126"/>
        <v>-30.654044990819099</v>
      </c>
      <c r="BD493" s="45">
        <f t="shared" si="127"/>
        <v>-3.0725403570560927</v>
      </c>
      <c r="BE493" s="64">
        <f t="shared" si="128"/>
        <v>10937112937.628092</v>
      </c>
      <c r="BF493" s="65">
        <f t="shared" si="129"/>
        <v>20922595872.402706</v>
      </c>
      <c r="BG493" s="66">
        <f t="shared" si="130"/>
        <v>16845519376.013292</v>
      </c>
    </row>
    <row r="494" spans="43:59" x14ac:dyDescent="0.25">
      <c r="AQ494" s="7">
        <v>479</v>
      </c>
      <c r="AR494" s="58">
        <f t="shared" si="131"/>
        <v>239.5</v>
      </c>
      <c r="AS494" s="58">
        <f t="shared" si="132"/>
        <v>124943.18532847552</v>
      </c>
      <c r="AT494" s="58">
        <f t="shared" si="133"/>
        <v>-1466.055927136259</v>
      </c>
      <c r="AU494" s="58">
        <f t="shared" si="134"/>
        <v>1578.4483996110405</v>
      </c>
      <c r="AV494" s="58">
        <f t="shared" si="135"/>
        <v>1179.6142019604956</v>
      </c>
      <c r="AW494" s="58">
        <f t="shared" si="121"/>
        <v>-85.083668945807943</v>
      </c>
      <c r="AX494" s="58">
        <f t="shared" si="136"/>
        <v>1.4816898362585937</v>
      </c>
      <c r="AY494" s="33">
        <f t="shared" si="122"/>
        <v>-46.398741682926079</v>
      </c>
      <c r="AZ494" s="33">
        <f t="shared" si="123"/>
        <v>3.9641803474492154</v>
      </c>
      <c r="BA494" s="39">
        <f t="shared" si="124"/>
        <v>-8.4396596266635822</v>
      </c>
      <c r="BB494" s="39">
        <f t="shared" si="125"/>
        <v>0.66763821331796824</v>
      </c>
      <c r="BC494" s="45">
        <f t="shared" si="126"/>
        <v>-30.245267636218276</v>
      </c>
      <c r="BD494" s="45">
        <f t="shared" si="127"/>
        <v>-3.1501287245085901</v>
      </c>
      <c r="BE494" s="64">
        <f t="shared" si="128"/>
        <v>11093462305.775293</v>
      </c>
      <c r="BF494" s="65">
        <f t="shared" si="129"/>
        <v>21139997411.689018</v>
      </c>
      <c r="BG494" s="66">
        <f t="shared" si="130"/>
        <v>17068399055.47794</v>
      </c>
    </row>
    <row r="495" spans="43:59" x14ac:dyDescent="0.25">
      <c r="AQ495" s="7">
        <v>480</v>
      </c>
      <c r="AR495" s="58">
        <f t="shared" si="131"/>
        <v>240</v>
      </c>
      <c r="AS495" s="58">
        <f t="shared" si="132"/>
        <v>125721.77406966282</v>
      </c>
      <c r="AT495" s="58">
        <f t="shared" si="133"/>
        <v>-876.06361492647886</v>
      </c>
      <c r="AU495" s="58">
        <f t="shared" si="134"/>
        <v>1535.9065651381366</v>
      </c>
      <c r="AV495" s="58">
        <f t="shared" si="135"/>
        <v>1180.355046878625</v>
      </c>
      <c r="AW495" s="58">
        <f t="shared" si="121"/>
        <v>-84.007276509356302</v>
      </c>
      <c r="AX495" s="58">
        <f t="shared" si="136"/>
        <v>1.026677837277127</v>
      </c>
      <c r="AY495" s="33">
        <f t="shared" si="122"/>
        <v>-45.795944194448545</v>
      </c>
      <c r="AZ495" s="33">
        <f t="shared" si="123"/>
        <v>3.6282945992333304</v>
      </c>
      <c r="BA495" s="39">
        <f t="shared" si="124"/>
        <v>-8.3585678520128237</v>
      </c>
      <c r="BB495" s="39">
        <f t="shared" si="125"/>
        <v>0.62384853786306371</v>
      </c>
      <c r="BC495" s="45">
        <f t="shared" si="126"/>
        <v>-29.852764462894932</v>
      </c>
      <c r="BD495" s="45">
        <f t="shared" si="127"/>
        <v>-3.225465299819267</v>
      </c>
      <c r="BE495" s="64">
        <f t="shared" si="128"/>
        <v>11247251954.118124</v>
      </c>
      <c r="BF495" s="65">
        <f t="shared" si="129"/>
        <v>21353124197.765781</v>
      </c>
      <c r="BG495" s="66">
        <f t="shared" si="130"/>
        <v>17287667794.929573</v>
      </c>
    </row>
    <row r="496" spans="43:59" x14ac:dyDescent="0.25">
      <c r="AQ496" s="7">
        <v>481</v>
      </c>
      <c r="AR496" s="58">
        <f t="shared" si="131"/>
        <v>240.5</v>
      </c>
      <c r="AS496" s="58">
        <f t="shared" si="132"/>
        <v>126479.22644266822</v>
      </c>
      <c r="AT496" s="58">
        <f t="shared" si="133"/>
        <v>-285.75775675750674</v>
      </c>
      <c r="AU496" s="58">
        <f t="shared" si="134"/>
        <v>1493.9029268834583</v>
      </c>
      <c r="AV496" s="58">
        <f t="shared" si="135"/>
        <v>1180.8683857972635</v>
      </c>
      <c r="AW496" s="58">
        <f t="shared" si="121"/>
        <v>-82.973595480494424</v>
      </c>
      <c r="AX496" s="58">
        <f t="shared" si="136"/>
        <v>0.58902656560470357</v>
      </c>
      <c r="AY496" s="33">
        <f t="shared" si="122"/>
        <v>-45.217330129611398</v>
      </c>
      <c r="AZ496" s="33">
        <f t="shared" si="123"/>
        <v>3.3062897858864737</v>
      </c>
      <c r="BA496" s="39">
        <f t="shared" si="124"/>
        <v>-8.2805211933790446</v>
      </c>
      <c r="BB496" s="39">
        <f t="shared" si="125"/>
        <v>0.58145743368005443</v>
      </c>
      <c r="BC496" s="45">
        <f t="shared" si="126"/>
        <v>-29.475744157503989</v>
      </c>
      <c r="BD496" s="45">
        <f t="shared" si="127"/>
        <v>-3.2987206539618246</v>
      </c>
      <c r="BE496" s="64">
        <f t="shared" si="128"/>
        <v>11398443687.675926</v>
      </c>
      <c r="BF496" s="65">
        <f t="shared" si="129"/>
        <v>21561960591.873173</v>
      </c>
      <c r="BG496" s="66">
        <f t="shared" si="130"/>
        <v>17503295910.755249</v>
      </c>
    </row>
    <row r="497" spans="43:59" x14ac:dyDescent="0.25">
      <c r="AQ497" s="7">
        <v>482</v>
      </c>
      <c r="AR497" s="58">
        <f t="shared" si="131"/>
        <v>241</v>
      </c>
      <c r="AS497" s="58">
        <f t="shared" si="132"/>
        <v>127215.80620667488</v>
      </c>
      <c r="AT497" s="58">
        <f t="shared" si="133"/>
        <v>304.75006446182562</v>
      </c>
      <c r="AU497" s="58">
        <f t="shared" si="134"/>
        <v>1452.416129143211</v>
      </c>
      <c r="AV497" s="58">
        <f t="shared" si="135"/>
        <v>1181.1628990800659</v>
      </c>
      <c r="AW497" s="58">
        <f t="shared" si="121"/>
        <v>-81.980673038845339</v>
      </c>
      <c r="AX497" s="58">
        <f t="shared" si="136"/>
        <v>0.16758525825552573</v>
      </c>
      <c r="AY497" s="33">
        <f t="shared" si="122"/>
        <v>-44.661806365441606</v>
      </c>
      <c r="AZ497" s="33">
        <f t="shared" si="123"/>
        <v>2.9972526509058315</v>
      </c>
      <c r="BA497" s="39">
        <f t="shared" si="124"/>
        <v>-8.2053985802133607</v>
      </c>
      <c r="BB497" s="39">
        <f t="shared" si="125"/>
        <v>0.54038619972772739</v>
      </c>
      <c r="BC497" s="45">
        <f t="shared" si="126"/>
        <v>-29.11346809319037</v>
      </c>
      <c r="BD497" s="45">
        <f t="shared" si="127"/>
        <v>-3.3700535923780333</v>
      </c>
      <c r="BE497" s="64">
        <f t="shared" si="128"/>
        <v>11547000722.182127</v>
      </c>
      <c r="BF497" s="65">
        <f t="shared" si="129"/>
        <v>21766491468.393814</v>
      </c>
      <c r="BG497" s="66">
        <f t="shared" si="130"/>
        <v>17715254785.416656</v>
      </c>
    </row>
    <row r="498" spans="43:59" x14ac:dyDescent="0.25">
      <c r="AQ498" s="7">
        <v>483</v>
      </c>
      <c r="AR498" s="58">
        <f t="shared" si="131"/>
        <v>241.5</v>
      </c>
      <c r="AS498" s="58">
        <f t="shared" si="132"/>
        <v>127931.76668711663</v>
      </c>
      <c r="AT498" s="58">
        <f t="shared" si="133"/>
        <v>895.35246215914049</v>
      </c>
      <c r="AU498" s="58">
        <f t="shared" si="134"/>
        <v>1411.4257926237883</v>
      </c>
      <c r="AV498" s="58">
        <f t="shared" si="135"/>
        <v>1181.2466917091938</v>
      </c>
      <c r="AW498" s="58">
        <f t="shared" si="121"/>
        <v>-81.026680130190243</v>
      </c>
      <c r="AX498" s="58">
        <f t="shared" si="136"/>
        <v>-0.23871375223477731</v>
      </c>
      <c r="AY498" s="33">
        <f t="shared" si="122"/>
        <v>-44.128347832578008</v>
      </c>
      <c r="AZ498" s="33">
        <f t="shared" si="123"/>
        <v>2.7003373780243214</v>
      </c>
      <c r="BA498" s="39">
        <f t="shared" si="124"/>
        <v>-8.1330861601135993</v>
      </c>
      <c r="BB498" s="39">
        <f t="shared" si="125"/>
        <v>0.50056106636881503</v>
      </c>
      <c r="BC498" s="45">
        <f t="shared" si="126"/>
        <v>-28.765246137498636</v>
      </c>
      <c r="BD498" s="45">
        <f t="shared" si="127"/>
        <v>-3.4396121966279138</v>
      </c>
      <c r="BE498" s="64">
        <f t="shared" si="128"/>
        <v>11692887629.301287</v>
      </c>
      <c r="BF498" s="65">
        <f t="shared" si="129"/>
        <v>21966702201.959824</v>
      </c>
      <c r="BG498" s="66">
        <f t="shared" si="130"/>
        <v>17923516824.454281</v>
      </c>
    </row>
    <row r="499" spans="43:59" x14ac:dyDescent="0.25">
      <c r="AQ499" s="7">
        <v>484</v>
      </c>
      <c r="AR499" s="58">
        <f t="shared" si="131"/>
        <v>242</v>
      </c>
      <c r="AS499" s="58">
        <f t="shared" si="132"/>
        <v>128627.35124841225</v>
      </c>
      <c r="AT499" s="58">
        <f t="shared" si="133"/>
        <v>1485.9459687947081</v>
      </c>
      <c r="AU499" s="58">
        <f t="shared" si="134"/>
        <v>1370.9124525586931</v>
      </c>
      <c r="AV499" s="58">
        <f t="shared" si="135"/>
        <v>1181.1273348330765</v>
      </c>
      <c r="AW499" s="58">
        <f t="shared" si="121"/>
        <v>-80.1099023092126</v>
      </c>
      <c r="AX499" s="58">
        <f t="shared" si="136"/>
        <v>-0.63086238174430243</v>
      </c>
      <c r="AY499" s="33">
        <f t="shared" si="122"/>
        <v>-43.615992654563172</v>
      </c>
      <c r="AZ499" s="33">
        <f t="shared" si="123"/>
        <v>2.4147595742193899</v>
      </c>
      <c r="BA499" s="39">
        <f t="shared" si="124"/>
        <v>-8.0634767998577122</v>
      </c>
      <c r="BB499" s="39">
        <f t="shared" si="125"/>
        <v>0.46191280795022782</v>
      </c>
      <c r="BC499" s="45">
        <f t="shared" si="126"/>
        <v>-28.430432854791714</v>
      </c>
      <c r="BD499" s="45">
        <f t="shared" si="127"/>
        <v>-3.5075347639139203</v>
      </c>
      <c r="BE499" s="64">
        <f t="shared" si="128"/>
        <v>11836070285.136187</v>
      </c>
      <c r="BF499" s="65">
        <f t="shared" si="129"/>
        <v>22162578655.165192</v>
      </c>
      <c r="BG499" s="66">
        <f t="shared" si="130"/>
        <v>18128055416.152561</v>
      </c>
    </row>
    <row r="500" spans="43:59" x14ac:dyDescent="0.25">
      <c r="AQ500" s="7">
        <v>485</v>
      </c>
      <c r="AR500" s="58">
        <f t="shared" si="131"/>
        <v>242.5</v>
      </c>
      <c r="AS500" s="58">
        <f t="shared" si="132"/>
        <v>129302.79373690294</v>
      </c>
      <c r="AT500" s="58">
        <f t="shared" si="133"/>
        <v>2076.4307784135281</v>
      </c>
      <c r="AU500" s="58">
        <f t="shared" si="134"/>
        <v>1330.8575014040869</v>
      </c>
      <c r="AV500" s="58">
        <f t="shared" si="135"/>
        <v>1180.8119036422042</v>
      </c>
      <c r="AW500" s="58">
        <f t="shared" si="121"/>
        <v>-79.22873138042084</v>
      </c>
      <c r="AX500" s="58">
        <f t="shared" si="136"/>
        <v>-1.0097834076212395</v>
      </c>
      <c r="AY500" s="33">
        <f t="shared" si="122"/>
        <v>-43.123837691145219</v>
      </c>
      <c r="AZ500" s="33">
        <f t="shared" si="123"/>
        <v>2.1397908582406275</v>
      </c>
      <c r="BA500" s="39">
        <f t="shared" si="124"/>
        <v>-7.9964696284160901</v>
      </c>
      <c r="BB500" s="39">
        <f t="shared" si="125"/>
        <v>0.42437639004077127</v>
      </c>
      <c r="BC500" s="45">
        <f t="shared" si="126"/>
        <v>-28.10842406085953</v>
      </c>
      <c r="BD500" s="45">
        <f t="shared" si="127"/>
        <v>-3.5739506559026384</v>
      </c>
      <c r="BE500" s="64">
        <f t="shared" si="128"/>
        <v>11976515821.793287</v>
      </c>
      <c r="BF500" s="65">
        <f t="shared" si="129"/>
        <v>22354107166.853458</v>
      </c>
      <c r="BG500" s="66">
        <f t="shared" si="130"/>
        <v>18328844893.667042</v>
      </c>
    </row>
    <row r="501" spans="43:59" x14ac:dyDescent="0.25">
      <c r="AQ501" s="7">
        <v>486</v>
      </c>
      <c r="AR501" s="58">
        <f t="shared" si="131"/>
        <v>243</v>
      </c>
      <c r="AS501" s="58">
        <f t="shared" si="132"/>
        <v>129958.31889618243</v>
      </c>
      <c r="AT501" s="58">
        <f t="shared" si="133"/>
        <v>2666.7105073086773</v>
      </c>
      <c r="AU501" s="58">
        <f t="shared" si="134"/>
        <v>1291.2431357138764</v>
      </c>
      <c r="AV501" s="58">
        <f t="shared" si="135"/>
        <v>1180.3070119383935</v>
      </c>
      <c r="AW501" s="58">
        <f t="shared" si="121"/>
        <v>-78.381657759005122</v>
      </c>
      <c r="AX501" s="58">
        <f t="shared" si="136"/>
        <v>-1.3763364330070389</v>
      </c>
      <c r="AY501" s="33">
        <f t="shared" si="122"/>
        <v>-42.651034448608698</v>
      </c>
      <c r="AZ501" s="33">
        <f t="shared" si="123"/>
        <v>1.8747539860763831</v>
      </c>
      <c r="BA501" s="39">
        <f t="shared" si="124"/>
        <v>-7.9319696179226726</v>
      </c>
      <c r="BB501" s="39">
        <f t="shared" si="125"/>
        <v>0.38789064777212534</v>
      </c>
      <c r="BC501" s="45">
        <f t="shared" si="126"/>
        <v>-27.798653692473746</v>
      </c>
      <c r="BD501" s="45">
        <f t="shared" si="127"/>
        <v>-3.6389810668555476</v>
      </c>
      <c r="BE501" s="64">
        <f t="shared" si="128"/>
        <v>12114192581.79471</v>
      </c>
      <c r="BF501" s="65">
        <f t="shared" si="129"/>
        <v>22541274540.952763</v>
      </c>
      <c r="BG501" s="66">
        <f t="shared" si="130"/>
        <v>18525860499.432724</v>
      </c>
    </row>
    <row r="502" spans="43:59" x14ac:dyDescent="0.25">
      <c r="AQ502" s="7">
        <v>487</v>
      </c>
      <c r="AR502" s="58">
        <f t="shared" si="131"/>
        <v>243.5</v>
      </c>
      <c r="AS502" s="58">
        <f t="shared" si="132"/>
        <v>130594.14275681951</v>
      </c>
      <c r="AT502" s="58">
        <f t="shared" si="133"/>
        <v>3256.6919712237482</v>
      </c>
      <c r="AU502" s="58">
        <f t="shared" si="134"/>
        <v>1252.0523068343739</v>
      </c>
      <c r="AV502" s="58">
        <f t="shared" si="135"/>
        <v>1179.61884372189</v>
      </c>
      <c r="AW502" s="58">
        <f t="shared" si="121"/>
        <v>-77.567263481931178</v>
      </c>
      <c r="AX502" s="58">
        <f t="shared" si="136"/>
        <v>-1.7313232744038567</v>
      </c>
      <c r="AY502" s="33">
        <f t="shared" si="122"/>
        <v>-42.196785323818212</v>
      </c>
      <c r="AZ502" s="33">
        <f t="shared" si="123"/>
        <v>1.6190184533264067</v>
      </c>
      <c r="BA502" s="39">
        <f t="shared" si="124"/>
        <v>-7.8698871990239665</v>
      </c>
      <c r="BB502" s="39">
        <f t="shared" si="125"/>
        <v>0.35239799213464817</v>
      </c>
      <c r="BC502" s="45">
        <f t="shared" si="126"/>
        <v>-27.50059095908901</v>
      </c>
      <c r="BD502" s="45">
        <f t="shared" si="127"/>
        <v>-3.7027397198649115</v>
      </c>
      <c r="BE502" s="64">
        <f t="shared" si="128"/>
        <v>12249070075.142849</v>
      </c>
      <c r="BF502" s="65">
        <f t="shared" si="129"/>
        <v>22724068035.832287</v>
      </c>
      <c r="BG502" s="66">
        <f t="shared" si="130"/>
        <v>18719078351.688892</v>
      </c>
    </row>
    <row r="503" spans="43:59" x14ac:dyDescent="0.25">
      <c r="AQ503" s="7">
        <v>488</v>
      </c>
      <c r="AR503" s="58">
        <f t="shared" si="131"/>
        <v>244</v>
      </c>
      <c r="AS503" s="58">
        <f t="shared" si="132"/>
        <v>131210.47300230144</v>
      </c>
      <c r="AT503" s="58">
        <f t="shared" si="133"/>
        <v>3846.2849776753924</v>
      </c>
      <c r="AU503" s="58">
        <f t="shared" si="134"/>
        <v>1213.2686750934083</v>
      </c>
      <c r="AV503" s="58">
        <f t="shared" si="135"/>
        <v>1178.753182084688</v>
      </c>
      <c r="AW503" s="58">
        <f t="shared" si="121"/>
        <v>-76.784215807074986</v>
      </c>
      <c r="AX503" s="58">
        <f t="shared" si="136"/>
        <v>-2.0754928356660844</v>
      </c>
      <c r="AY503" s="33">
        <f t="shared" si="122"/>
        <v>-41.760340151954345</v>
      </c>
      <c r="AZ503" s="33">
        <f t="shared" si="123"/>
        <v>1.3719965218331867</v>
      </c>
      <c r="BA503" s="39">
        <f t="shared" si="124"/>
        <v>-7.810137907408202</v>
      </c>
      <c r="BB503" s="39">
        <f t="shared" si="125"/>
        <v>0.31784414143399464</v>
      </c>
      <c r="BC503" s="45">
        <f t="shared" si="126"/>
        <v>-27.213737747712443</v>
      </c>
      <c r="BD503" s="45">
        <f t="shared" si="127"/>
        <v>-3.7653334989332659</v>
      </c>
      <c r="BE503" s="64">
        <f t="shared" si="128"/>
        <v>12381118938.85998</v>
      </c>
      <c r="BF503" s="65">
        <f t="shared" si="129"/>
        <v>22902475354.15572</v>
      </c>
      <c r="BG503" s="66">
        <f t="shared" si="130"/>
        <v>18908475412.970444</v>
      </c>
    </row>
    <row r="504" spans="43:59" x14ac:dyDescent="0.25">
      <c r="AQ504" s="7">
        <v>489</v>
      </c>
      <c r="AR504" s="58">
        <f t="shared" si="131"/>
        <v>244.5</v>
      </c>
      <c r="AS504" s="58">
        <f t="shared" si="132"/>
        <v>131807.50931287228</v>
      </c>
      <c r="AT504" s="58">
        <f t="shared" si="133"/>
        <v>4435.4021321132777</v>
      </c>
      <c r="AU504" s="58">
        <f t="shared" si="134"/>
        <v>1174.8765671898709</v>
      </c>
      <c r="AV504" s="58">
        <f t="shared" si="135"/>
        <v>1177.715435666855</v>
      </c>
      <c r="AW504" s="58">
        <f t="shared" si="121"/>
        <v>-76.031261344838853</v>
      </c>
      <c r="AX504" s="58">
        <f t="shared" si="136"/>
        <v>-2.409545523977684</v>
      </c>
      <c r="AY504" s="33">
        <f t="shared" si="122"/>
        <v>-41.340993030863928</v>
      </c>
      <c r="AZ504" s="33">
        <f t="shared" si="123"/>
        <v>1.1331396243178753</v>
      </c>
      <c r="BA504" s="39">
        <f t="shared" si="124"/>
        <v>-7.7526420586545823</v>
      </c>
      <c r="BB504" s="39">
        <f t="shared" si="125"/>
        <v>0.28417787542490297</v>
      </c>
      <c r="BC504" s="45">
        <f t="shared" si="126"/>
        <v>-26.937626255320346</v>
      </c>
      <c r="BD504" s="45">
        <f t="shared" si="127"/>
        <v>-3.8268630237204624</v>
      </c>
      <c r="BE504" s="64">
        <f t="shared" si="128"/>
        <v>12510310898.839878</v>
      </c>
      <c r="BF504" s="65">
        <f t="shared" si="129"/>
        <v>23076484633.209095</v>
      </c>
      <c r="BG504" s="66">
        <f t="shared" si="130"/>
        <v>19094029460.428589</v>
      </c>
    </row>
    <row r="505" spans="43:59" x14ac:dyDescent="0.25">
      <c r="AQ505" s="7">
        <v>490</v>
      </c>
      <c r="AR505" s="58">
        <f t="shared" si="131"/>
        <v>245</v>
      </c>
      <c r="AS505" s="58">
        <f t="shared" si="132"/>
        <v>132385.4436887991</v>
      </c>
      <c r="AT505" s="58">
        <f t="shared" si="133"/>
        <v>5023.9586567562073</v>
      </c>
      <c r="AU505" s="58">
        <f t="shared" si="134"/>
        <v>1136.8609365174516</v>
      </c>
      <c r="AV505" s="58">
        <f t="shared" si="135"/>
        <v>1176.5106629048662</v>
      </c>
      <c r="AW505" s="58">
        <f t="shared" si="121"/>
        <v>-75.3072206725478</v>
      </c>
      <c r="AX505" s="58">
        <f t="shared" si="136"/>
        <v>-2.7341372567612541</v>
      </c>
      <c r="AY505" s="33">
        <f t="shared" si="122"/>
        <v>-40.938079397592311</v>
      </c>
      <c r="AZ505" s="33">
        <f t="shared" si="123"/>
        <v>0.90193510631250895</v>
      </c>
      <c r="BA505" s="39">
        <f t="shared" si="124"/>
        <v>-7.6973244488446548</v>
      </c>
      <c r="BB505" s="39">
        <f t="shared" si="125"/>
        <v>0.25135080991090486</v>
      </c>
      <c r="BC505" s="45">
        <f t="shared" si="126"/>
        <v>-26.671816826110831</v>
      </c>
      <c r="BD505" s="45">
        <f t="shared" si="127"/>
        <v>-3.887423172984668</v>
      </c>
      <c r="BE505" s="64">
        <f t="shared" si="128"/>
        <v>12636618733.861687</v>
      </c>
      <c r="BF505" s="65">
        <f t="shared" si="129"/>
        <v>23246084435.681835</v>
      </c>
      <c r="BG505" s="66">
        <f t="shared" si="130"/>
        <v>19275719057.855671</v>
      </c>
    </row>
    <row r="506" spans="43:59" x14ac:dyDescent="0.25">
      <c r="AQ506" s="7">
        <v>491</v>
      </c>
      <c r="AR506" s="58">
        <f t="shared" si="131"/>
        <v>245.5</v>
      </c>
      <c r="AS506" s="58">
        <f t="shared" si="132"/>
        <v>132944.46075447378</v>
      </c>
      <c r="AT506" s="58">
        <f t="shared" si="133"/>
        <v>5611.8722210515452</v>
      </c>
      <c r="AU506" s="58">
        <f t="shared" si="134"/>
        <v>1099.2073261811777</v>
      </c>
      <c r="AV506" s="58">
        <f t="shared" si="135"/>
        <v>1175.1435942764856</v>
      </c>
      <c r="AW506" s="58">
        <f t="shared" si="121"/>
        <v>-74.610983387111844</v>
      </c>
      <c r="AX506" s="58">
        <f t="shared" si="136"/>
        <v>-3.0498831027134932</v>
      </c>
      <c r="AY506" s="33">
        <f t="shared" si="122"/>
        <v>-40.550973335035252</v>
      </c>
      <c r="AZ506" s="33">
        <f t="shared" si="123"/>
        <v>0.67790326949916691</v>
      </c>
      <c r="BA506" s="39">
        <f t="shared" si="124"/>
        <v>-7.6441140786379451</v>
      </c>
      <c r="BB506" s="39">
        <f t="shared" si="125"/>
        <v>0.21931718983775594</v>
      </c>
      <c r="BC506" s="45">
        <f t="shared" si="126"/>
        <v>-26.415895973438641</v>
      </c>
      <c r="BD506" s="45">
        <f t="shared" si="127"/>
        <v>-3.9471035620504158</v>
      </c>
      <c r="BE506" s="64">
        <f t="shared" si="128"/>
        <v>12760016241.628504</v>
      </c>
      <c r="BF506" s="65">
        <f t="shared" si="129"/>
        <v>23411263740.881153</v>
      </c>
      <c r="BG506" s="66">
        <f t="shared" si="130"/>
        <v>19453523529.299511</v>
      </c>
    </row>
    <row r="507" spans="43:59" x14ac:dyDescent="0.25">
      <c r="AQ507" s="7">
        <v>492</v>
      </c>
      <c r="AR507" s="58">
        <f t="shared" si="131"/>
        <v>246</v>
      </c>
      <c r="AS507" s="58">
        <f t="shared" si="132"/>
        <v>133484.73804464098</v>
      </c>
      <c r="AT507" s="58">
        <f t="shared" si="133"/>
        <v>6199.0627828019487</v>
      </c>
      <c r="AU507" s="58">
        <f t="shared" si="134"/>
        <v>1061.9018344876217</v>
      </c>
      <c r="AV507" s="58">
        <f t="shared" si="135"/>
        <v>1173.6186527251289</v>
      </c>
      <c r="AW507" s="58">
        <f t="shared" si="121"/>
        <v>-73.941503556028181</v>
      </c>
      <c r="AX507" s="58">
        <f t="shared" si="136"/>
        <v>-3.3573605951487435</v>
      </c>
      <c r="AY507" s="33">
        <f t="shared" si="122"/>
        <v>-40.179085088772936</v>
      </c>
      <c r="AZ507" s="33">
        <f t="shared" si="123"/>
        <v>0.46059468476184512</v>
      </c>
      <c r="BA507" s="39">
        <f t="shared" si="124"/>
        <v>-7.5929438987516322</v>
      </c>
      <c r="BB507" s="39">
        <f t="shared" si="125"/>
        <v>0.18803369911911336</v>
      </c>
      <c r="BC507" s="45">
        <f t="shared" si="126"/>
        <v>-26.169474568503613</v>
      </c>
      <c r="BD507" s="45">
        <f t="shared" si="127"/>
        <v>-4.0059889790297021</v>
      </c>
      <c r="BE507" s="64">
        <f t="shared" si="128"/>
        <v>12880478206.703875</v>
      </c>
      <c r="BF507" s="65">
        <f t="shared" si="129"/>
        <v>23572011936.361141</v>
      </c>
      <c r="BG507" s="66">
        <f t="shared" si="130"/>
        <v>19627422934.16201</v>
      </c>
    </row>
    <row r="508" spans="43:59" x14ac:dyDescent="0.25">
      <c r="AQ508" s="7">
        <v>493</v>
      </c>
      <c r="AR508" s="58">
        <f t="shared" si="131"/>
        <v>246.5</v>
      </c>
      <c r="AS508" s="58">
        <f t="shared" si="132"/>
        <v>134006.4462739403</v>
      </c>
      <c r="AT508" s="58">
        <f t="shared" si="133"/>
        <v>6785.4524390901197</v>
      </c>
      <c r="AU508" s="58">
        <f t="shared" si="134"/>
        <v>1024.9310827096076</v>
      </c>
      <c r="AV508" s="58">
        <f t="shared" si="135"/>
        <v>1171.9399724275545</v>
      </c>
      <c r="AW508" s="58">
        <f t="shared" si="121"/>
        <v>-73.29779553088143</v>
      </c>
      <c r="AX508" s="58">
        <f t="shared" si="136"/>
        <v>-3.6571127514597004</v>
      </c>
      <c r="AY508" s="33">
        <f t="shared" si="122"/>
        <v>-39.82185877605734</v>
      </c>
      <c r="AZ508" s="33">
        <f t="shared" si="123"/>
        <v>0.24958774691526955</v>
      </c>
      <c r="BA508" s="39">
        <f t="shared" si="124"/>
        <v>-7.5437505749900584</v>
      </c>
      <c r="BB508" s="39">
        <f t="shared" si="125"/>
        <v>0.15745928561855363</v>
      </c>
      <c r="BC508" s="45">
        <f t="shared" si="126"/>
        <v>-25.932186179834034</v>
      </c>
      <c r="BD508" s="45">
        <f t="shared" si="127"/>
        <v>-4.0641597839935235</v>
      </c>
      <c r="BE508" s="64">
        <f t="shared" si="128"/>
        <v>12997980370.229637</v>
      </c>
      <c r="BF508" s="65">
        <f t="shared" si="129"/>
        <v>23728318809.949409</v>
      </c>
      <c r="BG508" s="66">
        <f t="shared" si="130"/>
        <v>19797398043.685707</v>
      </c>
    </row>
    <row r="509" spans="43:59" x14ac:dyDescent="0.25">
      <c r="AQ509" s="7">
        <v>494</v>
      </c>
      <c r="AR509" s="58">
        <f t="shared" si="131"/>
        <v>247</v>
      </c>
      <c r="AS509" s="58">
        <f t="shared" si="132"/>
        <v>134509.74959085375</v>
      </c>
      <c r="AT509" s="58">
        <f t="shared" si="133"/>
        <v>7370.9652862099647</v>
      </c>
      <c r="AU509" s="58">
        <f t="shared" si="134"/>
        <v>988.28218494416694</v>
      </c>
      <c r="AV509" s="58">
        <f t="shared" si="135"/>
        <v>1170.1114160518246</v>
      </c>
      <c r="AW509" s="58">
        <f t="shared" si="121"/>
        <v>-72.678930091115433</v>
      </c>
      <c r="AX509" s="58">
        <f t="shared" si="136"/>
        <v>-3.9496508286794372</v>
      </c>
      <c r="AY509" s="33">
        <f t="shared" si="122"/>
        <v>-39.478770270637931</v>
      </c>
      <c r="AZ509" s="33">
        <f t="shared" si="123"/>
        <v>4.4486446270782902E-2</v>
      </c>
      <c r="BA509" s="39">
        <f t="shared" si="124"/>
        <v>-7.4964742711545851</v>
      </c>
      <c r="BB509" s="39">
        <f t="shared" si="125"/>
        <v>0.12755499987598135</v>
      </c>
      <c r="BC509" s="45">
        <f t="shared" si="126"/>
        <v>-25.703685549322916</v>
      </c>
      <c r="BD509" s="45">
        <f t="shared" si="127"/>
        <v>-4.1216922748262013</v>
      </c>
      <c r="BE509" s="64">
        <f t="shared" si="128"/>
        <v>13112499401.317394</v>
      </c>
      <c r="BF509" s="65">
        <f t="shared" si="129"/>
        <v>23880174542.154644</v>
      </c>
      <c r="BG509" s="66">
        <f t="shared" si="130"/>
        <v>19963430318.739529</v>
      </c>
    </row>
    <row r="510" spans="43:59" x14ac:dyDescent="0.25">
      <c r="AQ510" s="7">
        <v>495</v>
      </c>
      <c r="AR510" s="58">
        <f t="shared" si="131"/>
        <v>247.5</v>
      </c>
      <c r="AS510" s="58">
        <f t="shared" si="132"/>
        <v>134994.80581706442</v>
      </c>
      <c r="AT510" s="58">
        <f t="shared" si="133"/>
        <v>7955.5272878822916</v>
      </c>
      <c r="AU510" s="58">
        <f t="shared" si="134"/>
        <v>951.9427198986092</v>
      </c>
      <c r="AV510" s="58">
        <f t="shared" si="135"/>
        <v>1168.1365906374849</v>
      </c>
      <c r="AW510" s="58">
        <f t="shared" si="121"/>
        <v>-72.084030889076345</v>
      </c>
      <c r="AX510" s="58">
        <f t="shared" si="136"/>
        <v>-4.2354568417808629</v>
      </c>
      <c r="AY510" s="33">
        <f t="shared" si="122"/>
        <v>-39.149325248649852</v>
      </c>
      <c r="AZ510" s="33">
        <f t="shared" si="123"/>
        <v>-0.15508166500414935</v>
      </c>
      <c r="BA510" s="39">
        <f t="shared" si="124"/>
        <v>-7.4510584483291007</v>
      </c>
      <c r="BB510" s="39">
        <f t="shared" si="125"/>
        <v>9.8283846311485901E-2</v>
      </c>
      <c r="BC510" s="45">
        <f t="shared" si="126"/>
        <v>-25.48364719209739</v>
      </c>
      <c r="BD510" s="45">
        <f t="shared" si="127"/>
        <v>-4.1786590230881995</v>
      </c>
      <c r="BE510" s="64">
        <f t="shared" si="128"/>
        <v>13224012870.01436</v>
      </c>
      <c r="BF510" s="65">
        <f t="shared" si="129"/>
        <v>24027569698.940102</v>
      </c>
      <c r="BG510" s="66">
        <f t="shared" si="130"/>
        <v>20125501888.822285</v>
      </c>
    </row>
    <row r="511" spans="43:59" x14ac:dyDescent="0.25">
      <c r="AQ511" s="7">
        <v>496</v>
      </c>
      <c r="AR511" s="58">
        <f t="shared" si="131"/>
        <v>248</v>
      </c>
      <c r="AS511" s="58">
        <f t="shared" si="132"/>
        <v>135461.7666731526</v>
      </c>
      <c r="AT511" s="58">
        <f t="shared" si="133"/>
        <v>8539.0661510958107</v>
      </c>
      <c r="AU511" s="58">
        <f t="shared" si="134"/>
        <v>915.90070445407105</v>
      </c>
      <c r="AV511" s="58">
        <f t="shared" si="135"/>
        <v>1166.0188622165945</v>
      </c>
      <c r="AW511" s="58">
        <f t="shared" si="121"/>
        <v>-71.512271170196044</v>
      </c>
      <c r="AX511" s="58">
        <f t="shared" si="136"/>
        <v>-4.5149858684120581</v>
      </c>
      <c r="AY511" s="33">
        <f t="shared" si="122"/>
        <v>-38.833057382175078</v>
      </c>
      <c r="AZ511" s="33">
        <f t="shared" si="123"/>
        <v>-0.34946733132537211</v>
      </c>
      <c r="BA511" s="39">
        <f t="shared" si="124"/>
        <v>-7.4074496791835207</v>
      </c>
      <c r="BB511" s="39">
        <f t="shared" si="125"/>
        <v>6.961064576813758E-2</v>
      </c>
      <c r="BC511" s="45">
        <f t="shared" si="126"/>
        <v>-25.271764108837452</v>
      </c>
      <c r="BD511" s="45">
        <f t="shared" si="127"/>
        <v>-4.2351291828548234</v>
      </c>
      <c r="BE511" s="64">
        <f t="shared" si="128"/>
        <v>13332499221.751884</v>
      </c>
      <c r="BF511" s="65">
        <f t="shared" si="129"/>
        <v>24170495224.848614</v>
      </c>
      <c r="BG511" s="66">
        <f t="shared" si="130"/>
        <v>20283595532.208824</v>
      </c>
    </row>
    <row r="512" spans="43:59" x14ac:dyDescent="0.25">
      <c r="AQ512" s="7">
        <v>497</v>
      </c>
      <c r="AR512" s="58">
        <f t="shared" si="131"/>
        <v>248.5</v>
      </c>
      <c r="AS512" s="58">
        <f t="shared" si="132"/>
        <v>135910.77799148334</v>
      </c>
      <c r="AT512" s="58">
        <f t="shared" si="133"/>
        <v>9121.5112089705563</v>
      </c>
      <c r="AU512" s="58">
        <f t="shared" si="134"/>
        <v>880.14456886897301</v>
      </c>
      <c r="AV512" s="58">
        <f t="shared" si="135"/>
        <v>1163.7613692823884</v>
      </c>
      <c r="AW512" s="58">
        <f t="shared" si="121"/>
        <v>-70.962870744742602</v>
      </c>
      <c r="AX512" s="58">
        <f t="shared" si="136"/>
        <v>-4.7886681611860844</v>
      </c>
      <c r="AY512" s="33">
        <f t="shared" si="122"/>
        <v>-38.529526668329837</v>
      </c>
      <c r="AZ512" s="33">
        <f t="shared" si="123"/>
        <v>-0.53900129437158373</v>
      </c>
      <c r="BA512" s="39">
        <f t="shared" si="124"/>
        <v>-7.3655974760666121</v>
      </c>
      <c r="BB512" s="39">
        <f t="shared" si="125"/>
        <v>4.1501908369110552E-2</v>
      </c>
      <c r="BC512" s="45">
        <f t="shared" si="126"/>
        <v>-25.067746600346158</v>
      </c>
      <c r="BD512" s="45">
        <f t="shared" si="127"/>
        <v>-4.2911687751836114</v>
      </c>
      <c r="BE512" s="64">
        <f t="shared" si="128"/>
        <v>13437937753.191755</v>
      </c>
      <c r="BF512" s="65">
        <f t="shared" si="129"/>
        <v>24308942436.465569</v>
      </c>
      <c r="BG512" s="66">
        <f t="shared" si="130"/>
        <v>20437694657.169598</v>
      </c>
    </row>
    <row r="513" spans="43:59" x14ac:dyDescent="0.25">
      <c r="AQ513" s="7">
        <v>498</v>
      </c>
      <c r="AR513" s="58">
        <f t="shared" si="131"/>
        <v>249</v>
      </c>
      <c r="AS513" s="58">
        <f t="shared" si="132"/>
        <v>136341.97991707473</v>
      </c>
      <c r="AT513" s="58">
        <f t="shared" si="133"/>
        <v>9702.7933100916016</v>
      </c>
      <c r="AU513" s="58">
        <f t="shared" si="134"/>
        <v>844.66313349660174</v>
      </c>
      <c r="AV513" s="58">
        <f t="shared" si="135"/>
        <v>1161.3670352017953</v>
      </c>
      <c r="AW513" s="58">
        <f t="shared" si="121"/>
        <v>-70.435093189860623</v>
      </c>
      <c r="AX513" s="58">
        <f t="shared" si="136"/>
        <v>-5.0569110863737627</v>
      </c>
      <c r="AY513" s="33">
        <f t="shared" si="122"/>
        <v>-38.238317882860208</v>
      </c>
      <c r="AZ513" s="33">
        <f t="shared" si="123"/>
        <v>-0.72399585155382495</v>
      </c>
      <c r="BA513" s="39">
        <f t="shared" si="124"/>
        <v>-7.3254541317788746</v>
      </c>
      <c r="BB513" s="39">
        <f t="shared" si="125"/>
        <v>1.3925715765762936E-2</v>
      </c>
      <c r="BC513" s="45">
        <f t="shared" si="126"/>
        <v>-24.871321175221535</v>
      </c>
      <c r="BD513" s="45">
        <f t="shared" si="127"/>
        <v>-4.3468409505857011</v>
      </c>
      <c r="BE513" s="64">
        <f t="shared" si="128"/>
        <v>13540308589.392002</v>
      </c>
      <c r="BF513" s="65">
        <f t="shared" si="129"/>
        <v>24442903016.207523</v>
      </c>
      <c r="BG513" s="66">
        <f t="shared" si="130"/>
        <v>20587783284.199863</v>
      </c>
    </row>
    <row r="514" spans="43:59" x14ac:dyDescent="0.25">
      <c r="AQ514" s="7">
        <v>499</v>
      </c>
      <c r="AR514" s="58">
        <f t="shared" si="131"/>
        <v>249.5</v>
      </c>
      <c r="AS514" s="58">
        <f t="shared" si="132"/>
        <v>136755.5070971743</v>
      </c>
      <c r="AT514" s="58">
        <f t="shared" si="133"/>
        <v>10282.844713806702</v>
      </c>
      <c r="AU514" s="58">
        <f t="shared" si="134"/>
        <v>809.44558690167139</v>
      </c>
      <c r="AV514" s="58">
        <f t="shared" si="135"/>
        <v>1158.8385796586083</v>
      </c>
      <c r="AW514" s="58">
        <f t="shared" si="121"/>
        <v>-69.928243262653851</v>
      </c>
      <c r="AX514" s="58">
        <f t="shared" si="136"/>
        <v>-5.3201009058466999</v>
      </c>
      <c r="AY514" s="33">
        <f t="shared" si="122"/>
        <v>-37.959039148230531</v>
      </c>
      <c r="AZ514" s="33">
        <f t="shared" si="123"/>
        <v>-0.90474628615947783</v>
      </c>
      <c r="BA514" s="39">
        <f t="shared" si="124"/>
        <v>-7.286974572019651</v>
      </c>
      <c r="BB514" s="39">
        <f t="shared" si="125"/>
        <v>-1.3148388056707502E-2</v>
      </c>
      <c r="BC514" s="45">
        <f t="shared" si="126"/>
        <v>-24.682229542403672</v>
      </c>
      <c r="BD514" s="45">
        <f t="shared" si="127"/>
        <v>-4.4022062316305144</v>
      </c>
      <c r="BE514" s="64">
        <f t="shared" si="128"/>
        <v>13639592662.219481</v>
      </c>
      <c r="BF514" s="65">
        <f t="shared" si="129"/>
        <v>24572369006.424393</v>
      </c>
      <c r="BG514" s="66">
        <f t="shared" si="130"/>
        <v>20733846029.199497</v>
      </c>
    </row>
    <row r="515" spans="43:59" x14ac:dyDescent="0.25">
      <c r="AQ515" s="7">
        <v>500</v>
      </c>
      <c r="AR515" s="58">
        <f t="shared" si="131"/>
        <v>250</v>
      </c>
      <c r="AS515" s="58">
        <f t="shared" si="132"/>
        <v>137151.4888602173</v>
      </c>
      <c r="AT515" s="58">
        <f t="shared" si="133"/>
        <v>10861.598991022774</v>
      </c>
      <c r="AU515" s="58">
        <f t="shared" si="134"/>
        <v>774.48146527034442</v>
      </c>
      <c r="AV515" s="58">
        <f t="shared" si="135"/>
        <v>1156.178529205685</v>
      </c>
      <c r="AW515" s="58">
        <f t="shared" si="121"/>
        <v>-69.441664506913838</v>
      </c>
      <c r="AX515" s="58">
        <f t="shared" si="136"/>
        <v>-5.5786044173549767</v>
      </c>
      <c r="AY515" s="33">
        <f t="shared" si="122"/>
        <v>-37.691320607109553</v>
      </c>
      <c r="AZ515" s="33">
        <f t="shared" si="123"/>
        <v>-1.0815321815871661</v>
      </c>
      <c r="BA515" s="39">
        <f t="shared" si="124"/>
        <v>-7.2501162185970269</v>
      </c>
      <c r="BB515" s="39">
        <f t="shared" si="125"/>
        <v>-3.9749498169230478E-2</v>
      </c>
      <c r="BC515" s="45">
        <f t="shared" si="126"/>
        <v>-24.50022768120726</v>
      </c>
      <c r="BD515" s="45">
        <f t="shared" si="127"/>
        <v>-4.45732273759858</v>
      </c>
      <c r="BE515" s="64">
        <f t="shared" si="128"/>
        <v>13735771689.942064</v>
      </c>
      <c r="BF515" s="65">
        <f t="shared" si="129"/>
        <v>24697332803.804333</v>
      </c>
      <c r="BG515" s="66">
        <f t="shared" si="130"/>
        <v>20875868087.548954</v>
      </c>
    </row>
    <row r="516" spans="43:59" x14ac:dyDescent="0.25">
      <c r="AQ516" s="7">
        <v>501</v>
      </c>
      <c r="AR516" s="58">
        <f t="shared" si="131"/>
        <v>250.5</v>
      </c>
      <c r="AS516" s="58">
        <f t="shared" si="132"/>
        <v>137530.0493847891</v>
      </c>
      <c r="AT516" s="58">
        <f t="shared" si="133"/>
        <v>11438.990930073447</v>
      </c>
      <c r="AU516" s="58">
        <f t="shared" si="134"/>
        <v>739.76063301688748</v>
      </c>
      <c r="AV516" s="58">
        <f t="shared" si="135"/>
        <v>1153.3892269970074</v>
      </c>
      <c r="AW516" s="58">
        <f t="shared" si="121"/>
        <v>-68.97473703771908</v>
      </c>
      <c r="AX516" s="58">
        <f t="shared" si="136"/>
        <v>-5.8327704666616906</v>
      </c>
      <c r="AY516" s="33">
        <f t="shared" si="122"/>
        <v>-37.434813192978247</v>
      </c>
      <c r="AZ516" s="33">
        <f t="shared" si="123"/>
        <v>-1.2546186307926372</v>
      </c>
      <c r="BA516" s="39">
        <f t="shared" si="124"/>
        <v>-7.2148388625735365</v>
      </c>
      <c r="BB516" s="39">
        <f t="shared" si="125"/>
        <v>-6.5905442966154651E-2</v>
      </c>
      <c r="BC516" s="45">
        <f t="shared" si="126"/>
        <v>-24.32508498216729</v>
      </c>
      <c r="BD516" s="45">
        <f t="shared" si="127"/>
        <v>-4.5122463929028989</v>
      </c>
      <c r="BE516" s="64">
        <f t="shared" si="128"/>
        <v>13828828157.938168</v>
      </c>
      <c r="BF516" s="65">
        <f t="shared" si="129"/>
        <v>24817787154.07093</v>
      </c>
      <c r="BG516" s="66">
        <f t="shared" si="130"/>
        <v>21013835219.030926</v>
      </c>
    </row>
    <row r="517" spans="43:59" x14ac:dyDescent="0.25">
      <c r="AQ517" s="7">
        <v>502</v>
      </c>
      <c r="AR517" s="58">
        <f t="shared" si="131"/>
        <v>251</v>
      </c>
      <c r="AS517" s="58">
        <f t="shared" si="132"/>
        <v>137891.30785916783</v>
      </c>
      <c r="AT517" s="58">
        <f t="shared" si="133"/>
        <v>12014.956447263619</v>
      </c>
      <c r="AU517" s="58">
        <f t="shared" si="134"/>
        <v>705.27326449802797</v>
      </c>
      <c r="AV517" s="58">
        <f t="shared" si="135"/>
        <v>1150.4728417636766</v>
      </c>
      <c r="AW517" s="58">
        <f t="shared" si="121"/>
        <v>-68.526875489623492</v>
      </c>
      <c r="AX517" s="58">
        <f t="shared" si="136"/>
        <v>-6.0829313436800323</v>
      </c>
      <c r="AY517" s="33">
        <f t="shared" si="122"/>
        <v>-37.189187490329857</v>
      </c>
      <c r="AZ517" s="33">
        <f t="shared" si="123"/>
        <v>-1.4242573509197267</v>
      </c>
      <c r="BA517" s="39">
        <f t="shared" si="124"/>
        <v>-7.1811045465970409</v>
      </c>
      <c r="BB517" s="39">
        <f t="shared" si="125"/>
        <v>-9.164287192773185E-2</v>
      </c>
      <c r="BC517" s="45">
        <f t="shared" si="126"/>
        <v>-24.156583452696598</v>
      </c>
      <c r="BD517" s="45">
        <f t="shared" si="127"/>
        <v>-4.5670311208325742</v>
      </c>
      <c r="BE517" s="64">
        <f t="shared" si="128"/>
        <v>13918745300.465776</v>
      </c>
      <c r="BF517" s="65">
        <f t="shared" si="129"/>
        <v>24933725146.962883</v>
      </c>
      <c r="BG517" s="66">
        <f t="shared" si="130"/>
        <v>21147733733.551029</v>
      </c>
    </row>
    <row r="518" spans="43:59" x14ac:dyDescent="0.25">
      <c r="AQ518" s="7">
        <v>503</v>
      </c>
      <c r="AR518" s="58">
        <f t="shared" si="131"/>
        <v>251.5</v>
      </c>
      <c r="AS518" s="58">
        <f t="shared" si="132"/>
        <v>138235.37863198065</v>
      </c>
      <c r="AT518" s="58">
        <f t="shared" si="133"/>
        <v>12589.432501727497</v>
      </c>
      <c r="AU518" s="58">
        <f t="shared" si="134"/>
        <v>671.0098267532162</v>
      </c>
      <c r="AV518" s="58">
        <f t="shared" si="135"/>
        <v>1147.4313760918365</v>
      </c>
      <c r="AW518" s="58">
        <f t="shared" si="121"/>
        <v>-68.097527115461958</v>
      </c>
      <c r="AX518" s="58">
        <f t="shared" si="136"/>
        <v>-6.3294040735338974</v>
      </c>
      <c r="AY518" s="33">
        <f t="shared" si="122"/>
        <v>-36.954132677605251</v>
      </c>
      <c r="AZ518" s="33">
        <f t="shared" si="123"/>
        <v>-1.5906877120760798</v>
      </c>
      <c r="BA518" s="39">
        <f t="shared" si="124"/>
        <v>-7.1488774557348789</v>
      </c>
      <c r="BB518" s="39">
        <f t="shared" si="125"/>
        <v>-0.11698733743861717</v>
      </c>
      <c r="BC518" s="45">
        <f t="shared" si="126"/>
        <v>-23.994516982121837</v>
      </c>
      <c r="BD518" s="45">
        <f t="shared" si="127"/>
        <v>-4.6217290240192002</v>
      </c>
      <c r="BE518" s="64">
        <f t="shared" si="128"/>
        <v>14005507083.437468</v>
      </c>
      <c r="BF518" s="65">
        <f t="shared" si="129"/>
        <v>25045140211.487282</v>
      </c>
      <c r="BG518" s="66">
        <f t="shared" si="130"/>
        <v>21277550477.614235</v>
      </c>
    </row>
    <row r="519" spans="43:59" x14ac:dyDescent="0.25">
      <c r="AQ519" s="7">
        <v>504</v>
      </c>
      <c r="AR519" s="58">
        <f t="shared" si="131"/>
        <v>252</v>
      </c>
      <c r="AS519" s="58">
        <f t="shared" si="132"/>
        <v>138562.37135446785</v>
      </c>
      <c r="AT519" s="58">
        <f t="shared" si="133"/>
        <v>13162.357014264224</v>
      </c>
      <c r="AU519" s="58">
        <f t="shared" si="134"/>
        <v>636.96106319548517</v>
      </c>
      <c r="AV519" s="58">
        <f t="shared" si="135"/>
        <v>1144.2666740550694</v>
      </c>
      <c r="AW519" s="58">
        <f t="shared" si="121"/>
        <v>-67.686170024000432</v>
      </c>
      <c r="AX519" s="58">
        <f t="shared" si="136"/>
        <v>-6.5724916123809871</v>
      </c>
      <c r="AY519" s="33">
        <f t="shared" si="122"/>
        <v>-36.729355546615636</v>
      </c>
      <c r="AZ519" s="33">
        <f t="shared" si="123"/>
        <v>-1.7541376883142643</v>
      </c>
      <c r="BA519" s="39">
        <f t="shared" si="124"/>
        <v>-7.1181238161899083</v>
      </c>
      <c r="BB519" s="39">
        <f t="shared" si="125"/>
        <v>-0.14196337117214228</v>
      </c>
      <c r="BC519" s="45">
        <f t="shared" si="126"/>
        <v>-23.838690661194889</v>
      </c>
      <c r="BD519" s="45">
        <f t="shared" si="127"/>
        <v>-4.6763905528945804</v>
      </c>
      <c r="BE519" s="64">
        <f t="shared" si="128"/>
        <v>14089098188.151726</v>
      </c>
      <c r="BF519" s="65">
        <f t="shared" si="129"/>
        <v>25152026111.437832</v>
      </c>
      <c r="BG519" s="66">
        <f t="shared" si="130"/>
        <v>21403272821.517006</v>
      </c>
    </row>
    <row r="520" spans="43:59" x14ac:dyDescent="0.25">
      <c r="AQ520" s="7">
        <v>505</v>
      </c>
      <c r="AR520" s="58">
        <f t="shared" si="131"/>
        <v>252.5</v>
      </c>
      <c r="AS520" s="58">
        <f t="shared" si="132"/>
        <v>138872.39111481258</v>
      </c>
      <c r="AT520" s="58">
        <f t="shared" si="133"/>
        <v>13733.668789840211</v>
      </c>
      <c r="AU520" s="58">
        <f t="shared" si="134"/>
        <v>603.11797818348498</v>
      </c>
      <c r="AV520" s="58">
        <f t="shared" si="135"/>
        <v>1140.980428248879</v>
      </c>
      <c r="AW520" s="58">
        <f t="shared" si="121"/>
        <v>-67.292311545733725</v>
      </c>
      <c r="AX520" s="58">
        <f t="shared" si="136"/>
        <v>-6.812483956874769</v>
      </c>
      <c r="AY520" s="33">
        <f t="shared" si="122"/>
        <v>-36.514579592758651</v>
      </c>
      <c r="AZ520" s="33">
        <f t="shared" si="123"/>
        <v>-1.9148247380812746</v>
      </c>
      <c r="BA520" s="39">
        <f t="shared" si="124"/>
        <v>-7.0888118013350452</v>
      </c>
      <c r="BB520" s="39">
        <f t="shared" si="125"/>
        <v>-0.16659455550441404</v>
      </c>
      <c r="BC520" s="45">
        <f t="shared" si="126"/>
        <v>-23.688920151640019</v>
      </c>
      <c r="BD520" s="45">
        <f t="shared" si="127"/>
        <v>-4.7310646632890805</v>
      </c>
      <c r="BE520" s="64">
        <f t="shared" si="128"/>
        <v>14169503995.934401</v>
      </c>
      <c r="BF520" s="65">
        <f t="shared" si="129"/>
        <v>25254376941.170204</v>
      </c>
      <c r="BG520" s="66">
        <f t="shared" si="130"/>
        <v>21524888647.217838</v>
      </c>
    </row>
    <row r="521" spans="43:59" x14ac:dyDescent="0.25">
      <c r="AQ521" s="7">
        <v>506</v>
      </c>
      <c r="AR521" s="58">
        <f t="shared" si="131"/>
        <v>253</v>
      </c>
      <c r="AS521" s="58">
        <f t="shared" si="132"/>
        <v>139165.53856496111</v>
      </c>
      <c r="AT521" s="58">
        <f t="shared" si="133"/>
        <v>14303.307443470041</v>
      </c>
      <c r="AU521" s="58">
        <f t="shared" si="134"/>
        <v>569.47182241061807</v>
      </c>
      <c r="AV521" s="58">
        <f t="shared" si="135"/>
        <v>1137.5741862704415</v>
      </c>
      <c r="AW521" s="58">
        <f t="shared" si="121"/>
        <v>-66.915486717097409</v>
      </c>
      <c r="AX521" s="58">
        <f t="shared" si="136"/>
        <v>-7.049659175286199</v>
      </c>
      <c r="AY521" s="33">
        <f t="shared" si="122"/>
        <v>-36.309544170833071</v>
      </c>
      <c r="AZ521" s="33">
        <f t="shared" si="123"/>
        <v>-2.0729566206908996</v>
      </c>
      <c r="BA521" s="39">
        <f t="shared" si="124"/>
        <v>-7.0609114445518308</v>
      </c>
      <c r="BB521" s="39">
        <f t="shared" si="125"/>
        <v>-0.19090359038128965</v>
      </c>
      <c r="BC521" s="45">
        <f t="shared" si="126"/>
        <v>-23.54503110171251</v>
      </c>
      <c r="BD521" s="45">
        <f t="shared" si="127"/>
        <v>-4.7857989642140097</v>
      </c>
      <c r="BE521" s="64">
        <f t="shared" si="128"/>
        <v>14246710573.64761</v>
      </c>
      <c r="BF521" s="65">
        <f t="shared" si="129"/>
        <v>25352187121.627148</v>
      </c>
      <c r="BG521" s="66">
        <f t="shared" si="130"/>
        <v>21642386336.851814</v>
      </c>
    </row>
    <row r="522" spans="43:59" x14ac:dyDescent="0.25">
      <c r="AQ522" s="7">
        <v>507</v>
      </c>
      <c r="AR522" s="58">
        <f t="shared" si="131"/>
        <v>253.5</v>
      </c>
      <c r="AS522" s="58">
        <f t="shared" si="132"/>
        <v>139441.91004032677</v>
      </c>
      <c r="AT522" s="58">
        <f t="shared" si="133"/>
        <v>14871.213329208351</v>
      </c>
      <c r="AU522" s="58">
        <f t="shared" si="134"/>
        <v>536.01407905206941</v>
      </c>
      <c r="AV522" s="58">
        <f t="shared" si="135"/>
        <v>1134.0493566827984</v>
      </c>
      <c r="AW522" s="58">
        <f t="shared" si="121"/>
        <v>-66.555256874244122</v>
      </c>
      <c r="AX522" s="58">
        <f t="shared" si="136"/>
        <v>-7.2842843675465065</v>
      </c>
      <c r="AY522" s="33">
        <f t="shared" si="122"/>
        <v>-36.114003711714908</v>
      </c>
      <c r="AZ522" s="33">
        <f t="shared" si="123"/>
        <v>-2.2287321547436343</v>
      </c>
      <c r="BA522" s="39">
        <f t="shared" si="124"/>
        <v>-7.0343945584053387</v>
      </c>
      <c r="BB522" s="39">
        <f t="shared" si="125"/>
        <v>-0.21491235602451109</v>
      </c>
      <c r="BC522" s="45">
        <f t="shared" si="126"/>
        <v>-23.40685860412388</v>
      </c>
      <c r="BD522" s="45">
        <f t="shared" si="127"/>
        <v>-4.8406398567783615</v>
      </c>
      <c r="BE522" s="64">
        <f t="shared" si="128"/>
        <v>14320704660.026211</v>
      </c>
      <c r="BF522" s="65">
        <f t="shared" si="129"/>
        <v>25445451396.606308</v>
      </c>
      <c r="BG522" s="66">
        <f t="shared" si="130"/>
        <v>21755754761.856926</v>
      </c>
    </row>
    <row r="523" spans="43:59" x14ac:dyDescent="0.25">
      <c r="AQ523" s="7">
        <v>508</v>
      </c>
      <c r="AR523" s="58">
        <f t="shared" si="131"/>
        <v>254</v>
      </c>
      <c r="AS523" s="58">
        <f t="shared" si="132"/>
        <v>139701.59767274352</v>
      </c>
      <c r="AT523" s="58">
        <f t="shared" si="133"/>
        <v>15437.327472003806</v>
      </c>
      <c r="AU523" s="58">
        <f t="shared" si="134"/>
        <v>502.73645061494733</v>
      </c>
      <c r="AV523" s="58">
        <f t="shared" si="135"/>
        <v>1130.407214499025</v>
      </c>
      <c r="AW523" s="58">
        <f t="shared" si="121"/>
        <v>-66.211208348315623</v>
      </c>
      <c r="AX523" s="58">
        <f t="shared" si="136"/>
        <v>-7.5166165607936746</v>
      </c>
      <c r="AY523" s="33">
        <f t="shared" si="122"/>
        <v>-35.92772699556766</v>
      </c>
      <c r="AZ523" s="33">
        <f t="shared" si="123"/>
        <v>-2.3823419238580992</v>
      </c>
      <c r="BA523" s="39">
        <f t="shared" si="124"/>
        <v>-7.0092346597293433</v>
      </c>
      <c r="BB523" s="39">
        <f t="shared" si="125"/>
        <v>-0.2386419718302677</v>
      </c>
      <c r="BC523" s="45">
        <f t="shared" si="126"/>
        <v>-23.274246693018618</v>
      </c>
      <c r="BD523" s="45">
        <f t="shared" si="127"/>
        <v>-4.8956326651053077</v>
      </c>
      <c r="BE523" s="64">
        <f t="shared" si="128"/>
        <v>14391473652.805183</v>
      </c>
      <c r="BF523" s="65">
        <f t="shared" si="129"/>
        <v>25534164829.264645</v>
      </c>
      <c r="BG523" s="66">
        <f t="shared" si="130"/>
        <v>21864983272.682529</v>
      </c>
    </row>
    <row r="524" spans="43:59" x14ac:dyDescent="0.25">
      <c r="AQ524" s="7">
        <v>509</v>
      </c>
      <c r="AR524" s="58">
        <f t="shared" si="131"/>
        <v>254.5</v>
      </c>
      <c r="AS524" s="58">
        <f t="shared" si="132"/>
        <v>139944.68949700744</v>
      </c>
      <c r="AT524" s="58">
        <f t="shared" si="133"/>
        <v>16001.591502183219</v>
      </c>
      <c r="AU524" s="58">
        <f t="shared" si="134"/>
        <v>469.63084644078953</v>
      </c>
      <c r="AV524" s="58">
        <f t="shared" si="135"/>
        <v>1126.6489062186281</v>
      </c>
      <c r="AW524" s="58">
        <f t="shared" si="121"/>
        <v>-65.882951254871415</v>
      </c>
      <c r="AX524" s="58">
        <f t="shared" si="136"/>
        <v>-7.7469035464035141</v>
      </c>
      <c r="AY524" s="33">
        <f t="shared" si="122"/>
        <v>-35.750496477641853</v>
      </c>
      <c r="AZ524" s="33">
        <f t="shared" si="123"/>
        <v>-2.5339689345790846</v>
      </c>
      <c r="BA524" s="39">
        <f t="shared" si="124"/>
        <v>-6.9854069002331469</v>
      </c>
      <c r="BB524" s="39">
        <f t="shared" si="125"/>
        <v>-0.26211285178377658</v>
      </c>
      <c r="BC524" s="45">
        <f t="shared" si="126"/>
        <v>-23.147047876996417</v>
      </c>
      <c r="BD524" s="45">
        <f t="shared" si="127"/>
        <v>-4.950821760040653</v>
      </c>
      <c r="BE524" s="64">
        <f t="shared" si="128"/>
        <v>14459005596.603519</v>
      </c>
      <c r="BF524" s="65">
        <f t="shared" si="129"/>
        <v>25618322798.853199</v>
      </c>
      <c r="BG524" s="66">
        <f t="shared" si="130"/>
        <v>21970061689.052135</v>
      </c>
    </row>
    <row r="525" spans="43:59" x14ac:dyDescent="0.25">
      <c r="AQ525" s="7">
        <v>510</v>
      </c>
      <c r="AR525" s="58">
        <f t="shared" si="131"/>
        <v>255</v>
      </c>
      <c r="AS525" s="58">
        <f t="shared" si="132"/>
        <v>140171.26955132096</v>
      </c>
      <c r="AT525" s="58">
        <f t="shared" si="133"/>
        <v>16563.947592349232</v>
      </c>
      <c r="AU525" s="58">
        <f t="shared" si="134"/>
        <v>436.68937081335383</v>
      </c>
      <c r="AV525" s="58">
        <f t="shared" si="135"/>
        <v>1122.7754544454262</v>
      </c>
      <c r="AW525" s="58">
        <f t="shared" si="121"/>
        <v>-65.570118370779426</v>
      </c>
      <c r="AX525" s="58">
        <f t="shared" si="136"/>
        <v>-7.9753846639480148</v>
      </c>
      <c r="AY525" s="33">
        <f t="shared" si="122"/>
        <v>-35.582107663056888</v>
      </c>
      <c r="AZ525" s="33">
        <f t="shared" si="123"/>
        <v>-2.6837892308821867</v>
      </c>
      <c r="BA525" s="39">
        <f t="shared" si="124"/>
        <v>-6.9628880022768298</v>
      </c>
      <c r="BB525" s="39">
        <f t="shared" si="125"/>
        <v>-0.28534475668683007</v>
      </c>
      <c r="BC525" s="45">
        <f t="shared" si="126"/>
        <v>-23.025122705445703</v>
      </c>
      <c r="BD525" s="45">
        <f t="shared" si="127"/>
        <v>-5.0062506763789987</v>
      </c>
      <c r="BE525" s="64">
        <f t="shared" si="128"/>
        <v>14523289171.533094</v>
      </c>
      <c r="BF525" s="65">
        <f t="shared" si="129"/>
        <v>25697920997.677025</v>
      </c>
      <c r="BG525" s="66">
        <f t="shared" si="130"/>
        <v>22070980290.754856</v>
      </c>
    </row>
    <row r="526" spans="43:59" x14ac:dyDescent="0.25">
      <c r="AQ526" s="7">
        <v>511</v>
      </c>
      <c r="AR526" s="58">
        <f t="shared" si="131"/>
        <v>255.5</v>
      </c>
      <c r="AS526" s="58">
        <f t="shared" si="132"/>
        <v>140381.41797193131</v>
      </c>
      <c r="AT526" s="58">
        <f t="shared" si="133"/>
        <v>17124.338396488954</v>
      </c>
      <c r="AU526" s="58">
        <f t="shared" si="134"/>
        <v>403.90431162796415</v>
      </c>
      <c r="AV526" s="58">
        <f t="shared" si="135"/>
        <v>1118.7877621134523</v>
      </c>
      <c r="AW526" s="58">
        <f t="shared" si="121"/>
        <v>-65.272364092457138</v>
      </c>
      <c r="AX526" s="58">
        <f t="shared" si="136"/>
        <v>-8.2022915370425284</v>
      </c>
      <c r="AY526" s="33">
        <f t="shared" si="122"/>
        <v>-35.422368527270599</v>
      </c>
      <c r="AZ526" s="33">
        <f t="shared" si="123"/>
        <v>-2.8319724692982273</v>
      </c>
      <c r="BA526" s="39">
        <f t="shared" si="124"/>
        <v>-6.9416561994924475</v>
      </c>
      <c r="BB526" s="39">
        <f t="shared" si="125"/>
        <v>-0.30835684347126052</v>
      </c>
      <c r="BC526" s="45">
        <f t="shared" si="126"/>
        <v>-22.908339365694086</v>
      </c>
      <c r="BD526" s="45">
        <f t="shared" si="127"/>
        <v>-5.0619622242730404</v>
      </c>
      <c r="BE526" s="64">
        <f t="shared" si="128"/>
        <v>14584313682.502958</v>
      </c>
      <c r="BF526" s="65">
        <f t="shared" si="129"/>
        <v>25772955428.275021</v>
      </c>
      <c r="BG526" s="66">
        <f t="shared" si="130"/>
        <v>22167729808.941528</v>
      </c>
    </row>
    <row r="527" spans="43:59" x14ac:dyDescent="0.25">
      <c r="AQ527" s="7">
        <v>512</v>
      </c>
      <c r="AR527" s="58">
        <f t="shared" si="131"/>
        <v>256</v>
      </c>
      <c r="AS527" s="58">
        <f t="shared" si="132"/>
        <v>140575.21108223373</v>
      </c>
      <c r="AT527" s="58">
        <f t="shared" si="133"/>
        <v>17682.706991103551</v>
      </c>
      <c r="AU527" s="58">
        <f t="shared" si="134"/>
        <v>371.26812958173559</v>
      </c>
      <c r="AV527" s="58">
        <f t="shared" si="135"/>
        <v>1114.6866163449311</v>
      </c>
      <c r="AW527" s="58">
        <f t="shared" si="121"/>
        <v>-64.989363469909478</v>
      </c>
      <c r="AX527" s="58">
        <f t="shared" si="136"/>
        <v>-8.4278487656182488</v>
      </c>
      <c r="AY527" s="33">
        <f t="shared" si="122"/>
        <v>-35.271098979237543</v>
      </c>
      <c r="AZ527" s="33">
        <f t="shared" si="123"/>
        <v>-2.9786824583275187</v>
      </c>
      <c r="BA527" s="39">
        <f t="shared" si="124"/>
        <v>-6.921691181958316</v>
      </c>
      <c r="BB527" s="39">
        <f t="shared" si="125"/>
        <v>-0.33116771184973126</v>
      </c>
      <c r="BC527" s="45">
        <f t="shared" si="126"/>
        <v>-22.796573308713619</v>
      </c>
      <c r="BD527" s="45">
        <f t="shared" si="127"/>
        <v>-5.1179985954409988</v>
      </c>
      <c r="BE527" s="64">
        <f t="shared" si="128"/>
        <v>14642069049.191889</v>
      </c>
      <c r="BF527" s="65">
        <f t="shared" si="129"/>
        <v>25843422400.815067</v>
      </c>
      <c r="BG527" s="66">
        <f t="shared" si="130"/>
        <v>22260301417.903236</v>
      </c>
    </row>
    <row r="528" spans="43:59" x14ac:dyDescent="0.25">
      <c r="AQ528" s="7">
        <v>513</v>
      </c>
      <c r="AR528" s="58">
        <f t="shared" si="131"/>
        <v>256.5</v>
      </c>
      <c r="AS528" s="58">
        <f t="shared" si="132"/>
        <v>140752.72147659087</v>
      </c>
      <c r="AT528" s="58">
        <f t="shared" si="133"/>
        <v>18238.996818180312</v>
      </c>
      <c r="AU528" s="58">
        <f t="shared" si="134"/>
        <v>338.77344784678087</v>
      </c>
      <c r="AV528" s="58">
        <f t="shared" si="135"/>
        <v>1110.4726919621219</v>
      </c>
      <c r="AW528" s="58">
        <f t="shared" ref="AW528:AW591" si="137">(AY528+BA528+BC528)</f>
        <v>-64.72081131147921</v>
      </c>
      <c r="AX528" s="58">
        <f t="shared" si="136"/>
        <v>-8.6522745787722855</v>
      </c>
      <c r="AY528" s="33">
        <f t="shared" ref="AY528:AY591" si="138">$H$27*(($H$23-AS528)/(BE528+$H$28^2)^(3/2))</f>
        <v>-35.12813036450823</v>
      </c>
      <c r="AZ528" s="33">
        <f t="shared" ref="AZ528:AZ591" si="139">$H$27*(($I$23-AT528)/(BE528+$H$28^2)^(3/2))</f>
        <v>-3.1240776654976599</v>
      </c>
      <c r="BA528" s="39">
        <f t="shared" ref="BA528:BA591" si="140">$H$35*(($H$31-AS528)/(BF528+$H$36^2)^(3/2))</f>
        <v>-6.9029740456595938</v>
      </c>
      <c r="BB528" s="39">
        <f t="shared" ref="BB528:BB591" si="141">$H$35*(($I$31-AT528)/(BF528+$H$36^2)^(3/2))</f>
        <v>-0.3537954485358602</v>
      </c>
      <c r="BC528" s="45">
        <f t="shared" ref="BC528:BC591" si="142">$H$43*(($H$39-AS528)/(BG528+$H$44^2)^(3/2))</f>
        <v>-22.689706901311386</v>
      </c>
      <c r="BD528" s="45">
        <f t="shared" ref="BD528:BD591" si="143">$H$43*(($I$39-AT528)/(BG528+$H$44^2)^(3/2))</f>
        <v>-5.1744014647387644</v>
      </c>
      <c r="BE528" s="64">
        <f t="shared" ref="BE528:BE591" si="144">($H$23-AS528)^2+($I$23-AT528)^2</f>
        <v>14696545796.664017</v>
      </c>
      <c r="BF528" s="65">
        <f t="shared" ref="BF528:BF591" si="145">($H$31-AS528)^2+($I$31-AT528)^2</f>
        <v>25909318530.700386</v>
      </c>
      <c r="BG528" s="66">
        <f t="shared" ref="BG528:BG591" si="146">($H$39-AS528)^2+($I$39-AT528)^2</f>
        <v>22348686727.311676</v>
      </c>
    </row>
    <row r="529" spans="43:59" x14ac:dyDescent="0.25">
      <c r="AQ529" s="7">
        <v>514</v>
      </c>
      <c r="AR529" s="58">
        <f t="shared" ref="AR529:AR592" si="147">AR528+$H$9</f>
        <v>257</v>
      </c>
      <c r="AS529" s="58">
        <f t="shared" ref="AS529:AS592" si="148">AS528+(AU528*$H$9)+(AW528*$H$9^2)*(1/2)</f>
        <v>140914.01809910033</v>
      </c>
      <c r="AT529" s="58">
        <f t="shared" ref="AT529:AT592" si="149">AT528+(AV528*$H$9)+(AX528*$H$9^2)*(1/2)</f>
        <v>18793.151629839027</v>
      </c>
      <c r="AU529" s="58">
        <f t="shared" ref="AU529:AU592" si="150">AU528+AW528*$H$9</f>
        <v>306.41304219104126</v>
      </c>
      <c r="AV529" s="58">
        <f t="shared" ref="AV529:AV592" si="151">AV528+AX528*$H$9</f>
        <v>1106.1465546727356</v>
      </c>
      <c r="AW529" s="58">
        <f t="shared" si="137"/>
        <v>-64.466421354678744</v>
      </c>
      <c r="AX529" s="58">
        <f t="shared" ref="AX529:AX592" si="152">(AZ529+BB529+BD529)</f>
        <v>-8.8757814520081091</v>
      </c>
      <c r="AY529" s="33">
        <f t="shared" si="138"/>
        <v>-34.993305005762856</v>
      </c>
      <c r="AZ529" s="33">
        <f t="shared" si="139"/>
        <v>-3.2683116951369051</v>
      </c>
      <c r="BA529" s="39">
        <f t="shared" si="140"/>
        <v>-6.8854872459926471</v>
      </c>
      <c r="BB529" s="39">
        <f t="shared" si="141"/>
        <v>-0.37625766924823678</v>
      </c>
      <c r="BC529" s="45">
        <f t="shared" si="142"/>
        <v>-22.587629102923241</v>
      </c>
      <c r="BD529" s="45">
        <f t="shared" si="143"/>
        <v>-5.2312120876229669</v>
      </c>
      <c r="BE529" s="64">
        <f t="shared" si="144"/>
        <v>14747735046.604097</v>
      </c>
      <c r="BF529" s="65">
        <f t="shared" si="145"/>
        <v>25970640736.382931</v>
      </c>
      <c r="BG529" s="66">
        <f t="shared" si="146"/>
        <v>22432877774.901871</v>
      </c>
    </row>
    <row r="530" spans="43:59" x14ac:dyDescent="0.25">
      <c r="AQ530" s="7">
        <v>515</v>
      </c>
      <c r="AR530" s="58">
        <f t="shared" si="147"/>
        <v>257.5</v>
      </c>
      <c r="AS530" s="58">
        <f t="shared" si="148"/>
        <v>141059.16631752651</v>
      </c>
      <c r="AT530" s="58">
        <f t="shared" si="149"/>
        <v>19345.115434493891</v>
      </c>
      <c r="AU530" s="58">
        <f t="shared" si="150"/>
        <v>274.17983151370186</v>
      </c>
      <c r="AV530" s="58">
        <f t="shared" si="151"/>
        <v>1101.7086639467316</v>
      </c>
      <c r="AW530" s="58">
        <f t="shared" si="137"/>
        <v>-64.225925498886753</v>
      </c>
      <c r="AX530" s="58">
        <f t="shared" si="152"/>
        <v>-9.0985766923756852</v>
      </c>
      <c r="AY530" s="33">
        <f t="shared" si="138"/>
        <v>-34.866475778503386</v>
      </c>
      <c r="AZ530" s="33">
        <f t="shared" si="139"/>
        <v>-3.4115337396848204</v>
      </c>
      <c r="BA530" s="39">
        <f t="shared" si="140"/>
        <v>-6.8692145550934196</v>
      </c>
      <c r="BB530" s="39">
        <f t="shared" si="141"/>
        <v>-0.3985715586972341</v>
      </c>
      <c r="BC530" s="45">
        <f t="shared" si="142"/>
        <v>-22.490235165289942</v>
      </c>
      <c r="BD530" s="45">
        <f t="shared" si="143"/>
        <v>-5.2884713939936301</v>
      </c>
      <c r="BE530" s="64">
        <f t="shared" si="144"/>
        <v>14795628509.15103</v>
      </c>
      <c r="BF530" s="65">
        <f t="shared" si="145"/>
        <v>26027386237.380684</v>
      </c>
      <c r="BG530" s="66">
        <f t="shared" si="146"/>
        <v>22512867019.579582</v>
      </c>
    </row>
    <row r="531" spans="43:59" x14ac:dyDescent="0.25">
      <c r="AQ531" s="7">
        <v>516</v>
      </c>
      <c r="AR531" s="58">
        <f t="shared" si="147"/>
        <v>258</v>
      </c>
      <c r="AS531" s="58">
        <f t="shared" si="148"/>
        <v>141188.22799259602</v>
      </c>
      <c r="AT531" s="58">
        <f t="shared" si="149"/>
        <v>19894.832444380711</v>
      </c>
      <c r="AU531" s="58">
        <f t="shared" si="150"/>
        <v>242.06686876425849</v>
      </c>
      <c r="AV531" s="58">
        <f t="shared" si="151"/>
        <v>1097.1593756005436</v>
      </c>
      <c r="AW531" s="58">
        <f t="shared" si="137"/>
        <v>-63.999073096059014</v>
      </c>
      <c r="AX531" s="58">
        <f t="shared" si="152"/>
        <v>-9.3208629947503425</v>
      </c>
      <c r="AY531" s="33">
        <f t="shared" si="138"/>
        <v>-34.747505719817866</v>
      </c>
      <c r="AZ531" s="33">
        <f t="shared" si="139"/>
        <v>-3.5538890071370277</v>
      </c>
      <c r="BA531" s="39">
        <f t="shared" si="140"/>
        <v>-6.8541410227908051</v>
      </c>
      <c r="BB531" s="39">
        <f t="shared" si="141"/>
        <v>-0.42075390873945528</v>
      </c>
      <c r="BC531" s="45">
        <f t="shared" si="142"/>
        <v>-22.397426353450342</v>
      </c>
      <c r="BD531" s="45">
        <f t="shared" si="143"/>
        <v>-5.3462200788738601</v>
      </c>
      <c r="BE531" s="64">
        <f t="shared" si="144"/>
        <v>14840218475.309706</v>
      </c>
      <c r="BF531" s="65">
        <f t="shared" si="145"/>
        <v>26079552552.495483</v>
      </c>
      <c r="BG531" s="66">
        <f t="shared" si="146"/>
        <v>22588647334.936638</v>
      </c>
    </row>
    <row r="532" spans="43:59" x14ac:dyDescent="0.25">
      <c r="AQ532" s="7">
        <v>517</v>
      </c>
      <c r="AR532" s="58">
        <f t="shared" si="147"/>
        <v>258.5</v>
      </c>
      <c r="AS532" s="58">
        <f t="shared" si="148"/>
        <v>141301.26154284112</v>
      </c>
      <c r="AT532" s="58">
        <f t="shared" si="149"/>
        <v>20442.247024306638</v>
      </c>
      <c r="AU532" s="58">
        <f t="shared" si="150"/>
        <v>210.06733221622898</v>
      </c>
      <c r="AV532" s="58">
        <f t="shared" si="151"/>
        <v>1092.4989441031685</v>
      </c>
      <c r="AW532" s="58">
        <f t="shared" si="137"/>
        <v>-63.785630295945076</v>
      </c>
      <c r="AX532" s="58">
        <f t="shared" si="152"/>
        <v>-9.5428389722478002</v>
      </c>
      <c r="AY532" s="33">
        <f t="shared" si="138"/>
        <v>-34.636267668324699</v>
      </c>
      <c r="AZ532" s="33">
        <f t="shared" si="139"/>
        <v>-3.6955191270219676</v>
      </c>
      <c r="BA532" s="39">
        <f t="shared" si="140"/>
        <v>-6.8402529410041595</v>
      </c>
      <c r="BB532" s="39">
        <f t="shared" si="141"/>
        <v>-0.44282115487196277</v>
      </c>
      <c r="BC532" s="45">
        <f t="shared" si="142"/>
        <v>-22.309109686616218</v>
      </c>
      <c r="BD532" s="45">
        <f t="shared" si="143"/>
        <v>-5.4044986903538703</v>
      </c>
      <c r="BE532" s="64">
        <f t="shared" si="144"/>
        <v>14881497809.92292</v>
      </c>
      <c r="BF532" s="65">
        <f t="shared" si="145"/>
        <v>26127137498.22868</v>
      </c>
      <c r="BG532" s="66">
        <f t="shared" si="146"/>
        <v>22660212003.158775</v>
      </c>
    </row>
    <row r="533" spans="43:59" x14ac:dyDescent="0.25">
      <c r="AQ533" s="7">
        <v>518</v>
      </c>
      <c r="AR533" s="58">
        <f t="shared" si="147"/>
        <v>259</v>
      </c>
      <c r="AS533" s="58">
        <f t="shared" si="148"/>
        <v>141398.32200516225</v>
      </c>
      <c r="AT533" s="58">
        <f t="shared" si="149"/>
        <v>20987.303641486695</v>
      </c>
      <c r="AU533" s="58">
        <f t="shared" si="150"/>
        <v>178.17451706825645</v>
      </c>
      <c r="AV533" s="58">
        <f t="shared" si="151"/>
        <v>1087.7275246170445</v>
      </c>
      <c r="AW533" s="58">
        <f t="shared" si="137"/>
        <v>-63.585379442624003</v>
      </c>
      <c r="AX533" s="58">
        <f t="shared" si="152"/>
        <v>-9.7646996635604673</v>
      </c>
      <c r="AY533" s="33">
        <f t="shared" si="138"/>
        <v>-34.532643933576352</v>
      </c>
      <c r="AZ533" s="33">
        <f t="shared" si="139"/>
        <v>-3.8365625371303111</v>
      </c>
      <c r="BA533" s="39">
        <f t="shared" si="140"/>
        <v>-6.8275378114244809</v>
      </c>
      <c r="BB533" s="39">
        <f t="shared" si="141"/>
        <v>-0.46478941122729239</v>
      </c>
      <c r="BC533" s="45">
        <f t="shared" si="142"/>
        <v>-22.225197697623173</v>
      </c>
      <c r="BD533" s="45">
        <f t="shared" si="143"/>
        <v>-5.4633477152028629</v>
      </c>
      <c r="BE533" s="64">
        <f t="shared" si="144"/>
        <v>14919459945.18672</v>
      </c>
      <c r="BF533" s="65">
        <f t="shared" si="145"/>
        <v>26170139187.392265</v>
      </c>
      <c r="BG533" s="66">
        <f t="shared" si="146"/>
        <v>22727554709.311737</v>
      </c>
    </row>
    <row r="534" spans="43:59" x14ac:dyDescent="0.25">
      <c r="AQ534" s="7">
        <v>519</v>
      </c>
      <c r="AR534" s="58">
        <f t="shared" si="147"/>
        <v>259.5</v>
      </c>
      <c r="AS534" s="58">
        <f t="shared" si="148"/>
        <v>141479.46109126604</v>
      </c>
      <c r="AT534" s="58">
        <f t="shared" si="149"/>
        <v>21529.946816337273</v>
      </c>
      <c r="AU534" s="58">
        <f t="shared" si="150"/>
        <v>146.38182734694445</v>
      </c>
      <c r="AV534" s="58">
        <f t="shared" si="151"/>
        <v>1082.8451747852644</v>
      </c>
      <c r="AW534" s="58">
        <f t="shared" si="137"/>
        <v>-63.398118519454513</v>
      </c>
      <c r="AX534" s="58">
        <f t="shared" si="152"/>
        <v>-9.9866370198100078</v>
      </c>
      <c r="AY534" s="33">
        <f t="shared" si="138"/>
        <v>-34.436525993359808</v>
      </c>
      <c r="AZ534" s="33">
        <f t="shared" si="139"/>
        <v>-3.9771548530600982</v>
      </c>
      <c r="BA534" s="39">
        <f t="shared" si="140"/>
        <v>-6.8159843163308755</v>
      </c>
      <c r="BB534" s="39">
        <f t="shared" si="141"/>
        <v>-0.48667450421987174</v>
      </c>
      <c r="BC534" s="45">
        <f t="shared" si="142"/>
        <v>-22.145608209763825</v>
      </c>
      <c r="BD534" s="45">
        <f t="shared" si="143"/>
        <v>-5.5228076625300373</v>
      </c>
      <c r="BE534" s="64">
        <f t="shared" si="144"/>
        <v>14954098874.693672</v>
      </c>
      <c r="BF534" s="65">
        <f t="shared" si="145"/>
        <v>26208556027.913269</v>
      </c>
      <c r="BG534" s="66">
        <f t="shared" si="146"/>
        <v>22790669535.992153</v>
      </c>
    </row>
    <row r="535" spans="43:59" x14ac:dyDescent="0.25">
      <c r="AQ535" s="7">
        <v>520</v>
      </c>
      <c r="AR535" s="58">
        <f t="shared" si="147"/>
        <v>260</v>
      </c>
      <c r="AS535" s="58">
        <f t="shared" si="148"/>
        <v>141544.72724012457</v>
      </c>
      <c r="AT535" s="58">
        <f t="shared" si="149"/>
        <v>22070.12107410243</v>
      </c>
      <c r="AU535" s="58">
        <f t="shared" si="150"/>
        <v>114.6827680872172</v>
      </c>
      <c r="AV535" s="58">
        <f t="shared" si="151"/>
        <v>1077.8518562753593</v>
      </c>
      <c r="AW535" s="58">
        <f t="shared" si="137"/>
        <v>-63.223660639808294</v>
      </c>
      <c r="AX535" s="58">
        <f t="shared" si="152"/>
        <v>-10.208840373344172</v>
      </c>
      <c r="AY535" s="33">
        <f t="shared" si="138"/>
        <v>-34.347814217481847</v>
      </c>
      <c r="AZ535" s="33">
        <f t="shared" si="139"/>
        <v>-4.1174292225017011</v>
      </c>
      <c r="BA535" s="39">
        <f t="shared" si="140"/>
        <v>-6.8055822924151341</v>
      </c>
      <c r="BB535" s="39">
        <f t="shared" si="141"/>
        <v>-0.50849200498581926</v>
      </c>
      <c r="BC535" s="45">
        <f t="shared" si="142"/>
        <v>-22.070264129911315</v>
      </c>
      <c r="BD535" s="45">
        <f t="shared" si="143"/>
        <v>-5.5829191458566516</v>
      </c>
      <c r="BE535" s="64">
        <f t="shared" si="144"/>
        <v>14985409147.990284</v>
      </c>
      <c r="BF535" s="65">
        <f t="shared" si="145"/>
        <v>26242386721.829739</v>
      </c>
      <c r="BG535" s="66">
        <f t="shared" si="146"/>
        <v>22849550958.33112</v>
      </c>
    </row>
    <row r="536" spans="43:59" x14ac:dyDescent="0.25">
      <c r="AQ536" s="7">
        <v>521</v>
      </c>
      <c r="AR536" s="58">
        <f t="shared" si="147"/>
        <v>260.5</v>
      </c>
      <c r="AS536" s="58">
        <f t="shared" si="148"/>
        <v>141594.1656665882</v>
      </c>
      <c r="AT536" s="58">
        <f t="shared" si="149"/>
        <v>22607.770897193441</v>
      </c>
      <c r="AU536" s="58">
        <f t="shared" si="150"/>
        <v>83.070937767313055</v>
      </c>
      <c r="AV536" s="58">
        <f t="shared" si="151"/>
        <v>1072.7474360886872</v>
      </c>
      <c r="AW536" s="58">
        <f t="shared" si="137"/>
        <v>-63.06183358119921</v>
      </c>
      <c r="AX536" s="58">
        <f t="shared" si="152"/>
        <v>-10.431496890759309</v>
      </c>
      <c r="AY536" s="33">
        <f t="shared" si="138"/>
        <v>-34.266417616761508</v>
      </c>
      <c r="AZ536" s="33">
        <f t="shared" si="139"/>
        <v>-4.2575166660635055</v>
      </c>
      <c r="BA536" s="39">
        <f t="shared" si="140"/>
        <v>-6.7963227074966639</v>
      </c>
      <c r="BB536" s="39">
        <f t="shared" si="141"/>
        <v>-0.53025726074978097</v>
      </c>
      <c r="BC536" s="45">
        <f t="shared" si="142"/>
        <v>-21.999093256941038</v>
      </c>
      <c r="BD536" s="45">
        <f t="shared" si="143"/>
        <v>-5.6437229639460238</v>
      </c>
      <c r="BE536" s="64">
        <f t="shared" si="144"/>
        <v>15013385865.635782</v>
      </c>
      <c r="BF536" s="65">
        <f t="shared" si="145"/>
        <v>26271630264.476871</v>
      </c>
      <c r="BG536" s="66">
        <f t="shared" si="146"/>
        <v>22904193839.338898</v>
      </c>
    </row>
    <row r="537" spans="43:59" x14ac:dyDescent="0.25">
      <c r="AQ537" s="7">
        <v>522</v>
      </c>
      <c r="AR537" s="58">
        <f t="shared" si="147"/>
        <v>261</v>
      </c>
      <c r="AS537" s="58">
        <f t="shared" si="148"/>
        <v>141627.81840627422</v>
      </c>
      <c r="AT537" s="58">
        <f t="shared" si="149"/>
        <v>23142.840678126438</v>
      </c>
      <c r="AU537" s="58">
        <f t="shared" si="150"/>
        <v>51.54002097671345</v>
      </c>
      <c r="AV537" s="58">
        <f t="shared" si="151"/>
        <v>1067.5316876433076</v>
      </c>
      <c r="AW537" s="58">
        <f t="shared" si="137"/>
        <v>-62.912479360652199</v>
      </c>
      <c r="AX537" s="58">
        <f t="shared" si="152"/>
        <v>-10.654792012300959</v>
      </c>
      <c r="AY537" s="33">
        <f t="shared" si="138"/>
        <v>-34.192253616085637</v>
      </c>
      <c r="AZ537" s="33">
        <f t="shared" si="139"/>
        <v>-4.3975464063320651</v>
      </c>
      <c r="BA537" s="39">
        <f t="shared" si="140"/>
        <v>-6.7881976400271533</v>
      </c>
      <c r="BB537" s="39">
        <f t="shared" si="141"/>
        <v>-0.5519854252456301</v>
      </c>
      <c r="BC537" s="45">
        <f t="shared" si="142"/>
        <v>-21.932028104539409</v>
      </c>
      <c r="BD537" s="45">
        <f t="shared" si="143"/>
        <v>-5.7052601807232639</v>
      </c>
      <c r="BE537" s="64">
        <f t="shared" si="144"/>
        <v>15038024674.750866</v>
      </c>
      <c r="BF537" s="65">
        <f t="shared" si="145"/>
        <v>26296285943.862171</v>
      </c>
      <c r="BG537" s="66">
        <f t="shared" si="146"/>
        <v>22954593425.580265</v>
      </c>
    </row>
    <row r="538" spans="43:59" x14ac:dyDescent="0.25">
      <c r="AQ538" s="7">
        <v>523</v>
      </c>
      <c r="AR538" s="58">
        <f t="shared" si="147"/>
        <v>261.5</v>
      </c>
      <c r="AS538" s="58">
        <f t="shared" si="148"/>
        <v>141645.72435684252</v>
      </c>
      <c r="AT538" s="58">
        <f t="shared" si="149"/>
        <v>23675.274672946554</v>
      </c>
      <c r="AU538" s="58">
        <f t="shared" si="150"/>
        <v>20.08378129638735</v>
      </c>
      <c r="AV538" s="58">
        <f t="shared" si="151"/>
        <v>1062.204291637157</v>
      </c>
      <c r="AW538" s="58">
        <f t="shared" si="137"/>
        <v>-62.77545384937082</v>
      </c>
      <c r="AX538" s="58">
        <f t="shared" si="152"/>
        <v>-10.878909879684425</v>
      </c>
      <c r="AY538" s="33">
        <f t="shared" si="138"/>
        <v>-34.125247850499868</v>
      </c>
      <c r="AZ538" s="33">
        <f t="shared" si="139"/>
        <v>-4.5376461867659996</v>
      </c>
      <c r="BA538" s="39">
        <f t="shared" si="140"/>
        <v>-6.7812002612957389</v>
      </c>
      <c r="BB538" s="39">
        <f t="shared" si="141"/>
        <v>-0.57369148831155381</v>
      </c>
      <c r="BC538" s="45">
        <f t="shared" si="142"/>
        <v>-21.869005737575218</v>
      </c>
      <c r="BD538" s="45">
        <f t="shared" si="143"/>
        <v>-5.7675722046068714</v>
      </c>
      <c r="BE538" s="64">
        <f t="shared" si="144"/>
        <v>15059321765.046175</v>
      </c>
      <c r="BF538" s="65">
        <f t="shared" si="145"/>
        <v>26316353340.228848</v>
      </c>
      <c r="BG538" s="66">
        <f t="shared" si="146"/>
        <v>23000745343.170898</v>
      </c>
    </row>
    <row r="539" spans="43:59" x14ac:dyDescent="0.25">
      <c r="AQ539" s="7">
        <v>524</v>
      </c>
      <c r="AR539" s="58">
        <f t="shared" si="147"/>
        <v>262</v>
      </c>
      <c r="AS539" s="58">
        <f t="shared" si="148"/>
        <v>141647.91931575953</v>
      </c>
      <c r="AT539" s="58">
        <f t="shared" si="149"/>
        <v>24205.016955030173</v>
      </c>
      <c r="AU539" s="58">
        <f t="shared" si="150"/>
        <v>-11.303945628298059</v>
      </c>
      <c r="AV539" s="58">
        <f t="shared" si="151"/>
        <v>1056.7648366973149</v>
      </c>
      <c r="AW539" s="58">
        <f t="shared" si="137"/>
        <v>-62.650626424957046</v>
      </c>
      <c r="AX539" s="58">
        <f t="shared" si="152"/>
        <v>-11.104033754280627</v>
      </c>
      <c r="AY539" s="33">
        <f t="shared" si="138"/>
        <v>-34.065333983420359</v>
      </c>
      <c r="AZ539" s="33">
        <f t="shared" si="139"/>
        <v>-4.677942581941724</v>
      </c>
      <c r="BA539" s="39">
        <f t="shared" si="140"/>
        <v>-6.7753248202580609</v>
      </c>
      <c r="BB539" s="39">
        <f t="shared" si="141"/>
        <v>-0.59539030477467736</v>
      </c>
      <c r="BC539" s="45">
        <f t="shared" si="142"/>
        <v>-21.809967621278624</v>
      </c>
      <c r="BD539" s="45">
        <f t="shared" si="143"/>
        <v>-5.8307008675642251</v>
      </c>
      <c r="BE539" s="64">
        <f t="shared" si="144"/>
        <v>15077273865.321386</v>
      </c>
      <c r="BF539" s="65">
        <f t="shared" si="145"/>
        <v>26331832325.806999</v>
      </c>
      <c r="BG539" s="66">
        <f t="shared" si="146"/>
        <v>23042645594.08572</v>
      </c>
    </row>
    <row r="540" spans="43:59" x14ac:dyDescent="0.25">
      <c r="AQ540" s="7">
        <v>525</v>
      </c>
      <c r="AR540" s="58">
        <f t="shared" si="147"/>
        <v>262.5</v>
      </c>
      <c r="AS540" s="58">
        <f t="shared" si="148"/>
        <v>141634.43601464227</v>
      </c>
      <c r="AT540" s="58">
        <f t="shared" si="149"/>
        <v>24732.011369159543</v>
      </c>
      <c r="AU540" s="58">
        <f t="shared" si="150"/>
        <v>-42.629258840776586</v>
      </c>
      <c r="AV540" s="58">
        <f t="shared" si="151"/>
        <v>1051.2128198201747</v>
      </c>
      <c r="AW540" s="58">
        <f t="shared" si="137"/>
        <v>-62.537879659632011</v>
      </c>
      <c r="AX540" s="58">
        <f t="shared" si="152"/>
        <v>-11.330346427532461</v>
      </c>
      <c r="AY540" s="33">
        <f t="shared" si="138"/>
        <v>-34.012453546166419</v>
      </c>
      <c r="AZ540" s="33">
        <f t="shared" si="139"/>
        <v>-4.8185613006007273</v>
      </c>
      <c r="BA540" s="39">
        <f t="shared" si="140"/>
        <v>-6.7705666309251269</v>
      </c>
      <c r="BB540" s="39">
        <f t="shared" si="141"/>
        <v>-0.61709662273579813</v>
      </c>
      <c r="BC540" s="45">
        <f t="shared" si="142"/>
        <v>-21.754859482540471</v>
      </c>
      <c r="BD540" s="45">
        <f t="shared" si="143"/>
        <v>-5.894688504195936</v>
      </c>
      <c r="BE540" s="64">
        <f t="shared" si="144"/>
        <v>15091878240.426949</v>
      </c>
      <c r="BF540" s="65">
        <f t="shared" si="145"/>
        <v>26342723064.752529</v>
      </c>
      <c r="BG540" s="66">
        <f t="shared" si="146"/>
        <v>23080290552.77124</v>
      </c>
    </row>
    <row r="541" spans="43:59" x14ac:dyDescent="0.25">
      <c r="AQ541" s="7">
        <v>526</v>
      </c>
      <c r="AR541" s="58">
        <f t="shared" si="147"/>
        <v>263</v>
      </c>
      <c r="AS541" s="58">
        <f t="shared" si="148"/>
        <v>141605.30415026445</v>
      </c>
      <c r="AT541" s="58">
        <f t="shared" si="149"/>
        <v>25256.201485766189</v>
      </c>
      <c r="AU541" s="58">
        <f t="shared" si="150"/>
        <v>-73.898198670592592</v>
      </c>
      <c r="AV541" s="58">
        <f t="shared" si="151"/>
        <v>1045.5476466064085</v>
      </c>
      <c r="AW541" s="58">
        <f t="shared" si="137"/>
        <v>-62.437109043076532</v>
      </c>
      <c r="AX541" s="58">
        <f t="shared" si="152"/>
        <v>-11.558030625399923</v>
      </c>
      <c r="AY541" s="33">
        <f t="shared" si="138"/>
        <v>-33.966555798104707</v>
      </c>
      <c r="AZ541" s="33">
        <f t="shared" si="139"/>
        <v>-4.9596274828885036</v>
      </c>
      <c r="BA541" s="39">
        <f t="shared" si="140"/>
        <v>-6.7669220622584225</v>
      </c>
      <c r="BB541" s="39">
        <f t="shared" si="141"/>
        <v>-0.63882511136081432</v>
      </c>
      <c r="BC541" s="45">
        <f t="shared" si="142"/>
        <v>-21.703631182713398</v>
      </c>
      <c r="BD541" s="45">
        <f t="shared" si="143"/>
        <v>-5.9595780311506035</v>
      </c>
      <c r="BE541" s="64">
        <f t="shared" si="144"/>
        <v>15103132688.681448</v>
      </c>
      <c r="BF541" s="65">
        <f t="shared" si="145"/>
        <v>26349026013.273777</v>
      </c>
      <c r="BG541" s="66">
        <f t="shared" si="146"/>
        <v>23113676963.05415</v>
      </c>
    </row>
    <row r="542" spans="43:59" x14ac:dyDescent="0.25">
      <c r="AQ542" s="7">
        <v>527</v>
      </c>
      <c r="AR542" s="58">
        <f t="shared" si="147"/>
        <v>263.5</v>
      </c>
      <c r="AS542" s="58">
        <f t="shared" si="148"/>
        <v>141560.55041229876</v>
      </c>
      <c r="AT542" s="58">
        <f t="shared" si="149"/>
        <v>25777.530555241217</v>
      </c>
      <c r="AU542" s="58">
        <f t="shared" si="150"/>
        <v>-105.11675319213086</v>
      </c>
      <c r="AV542" s="58">
        <f t="shared" si="151"/>
        <v>1039.7686312937085</v>
      </c>
      <c r="AW542" s="58">
        <f t="shared" si="137"/>
        <v>-62.348222738675119</v>
      </c>
      <c r="AX542" s="58">
        <f t="shared" si="152"/>
        <v>-11.787269408577046</v>
      </c>
      <c r="AY542" s="33">
        <f t="shared" si="138"/>
        <v>-33.927597606797569</v>
      </c>
      <c r="AZ542" s="33">
        <f t="shared" si="139"/>
        <v>-5.1012659931279156</v>
      </c>
      <c r="BA542" s="39">
        <f t="shared" si="140"/>
        <v>-6.7643885305290494</v>
      </c>
      <c r="BB542" s="39">
        <f t="shared" si="141"/>
        <v>-0.6605903882821933</v>
      </c>
      <c r="BC542" s="45">
        <f t="shared" si="142"/>
        <v>-21.6562366013485</v>
      </c>
      <c r="BD542" s="45">
        <f t="shared" si="143"/>
        <v>-6.0254130271669375</v>
      </c>
      <c r="BE542" s="64">
        <f t="shared" si="144"/>
        <v>15111035539.738806</v>
      </c>
      <c r="BF542" s="65">
        <f t="shared" si="145"/>
        <v>26350741919.946499</v>
      </c>
      <c r="BG542" s="66">
        <f t="shared" si="146"/>
        <v>23142801935.3396</v>
      </c>
    </row>
    <row r="543" spans="43:59" x14ac:dyDescent="0.25">
      <c r="AQ543" s="7">
        <v>528</v>
      </c>
      <c r="AR543" s="58">
        <f t="shared" si="147"/>
        <v>264</v>
      </c>
      <c r="AS543" s="58">
        <f t="shared" si="148"/>
        <v>141500.19850786036</v>
      </c>
      <c r="AT543" s="58">
        <f t="shared" si="149"/>
        <v>26295.941462211998</v>
      </c>
      <c r="AU543" s="58">
        <f t="shared" si="150"/>
        <v>-136.29086456146842</v>
      </c>
      <c r="AV543" s="58">
        <f t="shared" si="151"/>
        <v>1033.8749965894199</v>
      </c>
      <c r="AW543" s="58">
        <f t="shared" si="137"/>
        <v>-62.271141372111387</v>
      </c>
      <c r="AX543" s="58">
        <f t="shared" si="152"/>
        <v>-12.018246570183095</v>
      </c>
      <c r="AY543" s="33">
        <f t="shared" si="138"/>
        <v>-33.89554334764442</v>
      </c>
      <c r="AZ543" s="33">
        <f t="shared" si="139"/>
        <v>-5.2436017094324114</v>
      </c>
      <c r="BA543" s="39">
        <f t="shared" si="140"/>
        <v>-6.7629644941098475</v>
      </c>
      <c r="BB543" s="39">
        <f t="shared" si="141"/>
        <v>-0.68240704671126629</v>
      </c>
      <c r="BC543" s="45">
        <f t="shared" si="142"/>
        <v>-21.612633530357126</v>
      </c>
      <c r="BD543" s="45">
        <f t="shared" si="143"/>
        <v>-6.092237814039418</v>
      </c>
      <c r="BE543" s="64">
        <f t="shared" si="144"/>
        <v>15115585652.900373</v>
      </c>
      <c r="BF543" s="65">
        <f t="shared" si="145"/>
        <v>26347871826.21814</v>
      </c>
      <c r="BG543" s="66">
        <f t="shared" si="146"/>
        <v>23167662944.09293</v>
      </c>
    </row>
    <row r="544" spans="43:59" x14ac:dyDescent="0.25">
      <c r="AQ544" s="7">
        <v>529</v>
      </c>
      <c r="AR544" s="58">
        <f t="shared" si="147"/>
        <v>264.5</v>
      </c>
      <c r="AS544" s="58">
        <f t="shared" si="148"/>
        <v>141424.26918290812</v>
      </c>
      <c r="AT544" s="58">
        <f t="shared" si="149"/>
        <v>26811.376679685432</v>
      </c>
      <c r="AU544" s="58">
        <f t="shared" si="150"/>
        <v>-167.42643524752413</v>
      </c>
      <c r="AV544" s="58">
        <f t="shared" si="151"/>
        <v>1027.8658733043283</v>
      </c>
      <c r="AW544" s="58">
        <f t="shared" si="137"/>
        <v>-62.205797851409486</v>
      </c>
      <c r="AX544" s="58">
        <f t="shared" si="152"/>
        <v>-12.251147032600818</v>
      </c>
      <c r="AY544" s="33">
        <f t="shared" si="138"/>
        <v>-33.870364822587717</v>
      </c>
      <c r="AZ544" s="33">
        <f t="shared" si="139"/>
        <v>-5.3867598114350281</v>
      </c>
      <c r="BA544" s="39">
        <f t="shared" si="140"/>
        <v>-6.762649450678893</v>
      </c>
      <c r="BB544" s="39">
        <f t="shared" si="141"/>
        <v>-0.70428968236003187</v>
      </c>
      <c r="BC544" s="45">
        <f t="shared" si="142"/>
        <v>-21.572783578142879</v>
      </c>
      <c r="BD544" s="45">
        <f t="shared" si="143"/>
        <v>-6.1600975388057577</v>
      </c>
      <c r="BE544" s="64">
        <f t="shared" si="144"/>
        <v>15116782415.868027</v>
      </c>
      <c r="BF544" s="65">
        <f t="shared" si="145"/>
        <v>26340417067.102249</v>
      </c>
      <c r="BG544" s="66">
        <f t="shared" si="146"/>
        <v>23188257825.599277</v>
      </c>
    </row>
    <row r="545" spans="43:59" x14ac:dyDescent="0.25">
      <c r="AQ545" s="7">
        <v>530</v>
      </c>
      <c r="AR545" s="58">
        <f t="shared" si="147"/>
        <v>265</v>
      </c>
      <c r="AS545" s="58">
        <f t="shared" si="148"/>
        <v>141332.78024055294</v>
      </c>
      <c r="AT545" s="58">
        <f t="shared" si="149"/>
        <v>27323.778222958521</v>
      </c>
      <c r="AU545" s="58">
        <f t="shared" si="150"/>
        <v>-198.52933417322888</v>
      </c>
      <c r="AV545" s="58">
        <f t="shared" si="151"/>
        <v>1021.7402997880279</v>
      </c>
      <c r="AW545" s="58">
        <f t="shared" si="137"/>
        <v>-62.152137217660112</v>
      </c>
      <c r="AX545" s="58">
        <f t="shared" si="152"/>
        <v>-12.486157245115516</v>
      </c>
      <c r="AY545" s="33">
        <f t="shared" si="138"/>
        <v>-33.852041197543905</v>
      </c>
      <c r="AZ545" s="33">
        <f t="shared" si="139"/>
        <v>-5.5308660673900283</v>
      </c>
      <c r="BA545" s="39">
        <f t="shared" si="140"/>
        <v>-6.7634439368248032</v>
      </c>
      <c r="BB545" s="39">
        <f t="shared" si="141"/>
        <v>-0.72625292026991728</v>
      </c>
      <c r="BC545" s="45">
        <f t="shared" si="142"/>
        <v>-21.536652083291401</v>
      </c>
      <c r="BD545" s="45">
        <f t="shared" si="143"/>
        <v>-6.2290382574555707</v>
      </c>
      <c r="BE545" s="64">
        <f t="shared" si="144"/>
        <v>15114625743.935358</v>
      </c>
      <c r="BF545" s="65">
        <f t="shared" si="145"/>
        <v>26328379272.0648</v>
      </c>
      <c r="BG545" s="66">
        <f t="shared" si="146"/>
        <v>23204584775.996136</v>
      </c>
    </row>
    <row r="546" spans="43:59" x14ac:dyDescent="0.25">
      <c r="AQ546" s="7">
        <v>531</v>
      </c>
      <c r="AR546" s="58">
        <f t="shared" si="147"/>
        <v>265.5</v>
      </c>
      <c r="AS546" s="58">
        <f t="shared" si="148"/>
        <v>141225.74655631412</v>
      </c>
      <c r="AT546" s="58">
        <f t="shared" si="149"/>
        <v>27833.087603196895</v>
      </c>
      <c r="AU546" s="58">
        <f t="shared" si="150"/>
        <v>-229.60540278205895</v>
      </c>
      <c r="AV546" s="58">
        <f t="shared" si="151"/>
        <v>1015.4972211654701</v>
      </c>
      <c r="AW546" s="58">
        <f t="shared" si="137"/>
        <v>-62.11011652580747</v>
      </c>
      <c r="AX546" s="58">
        <f t="shared" si="152"/>
        <v>-12.723465584001513</v>
      </c>
      <c r="AY546" s="33">
        <f t="shared" si="138"/>
        <v>-33.84055895830403</v>
      </c>
      <c r="AZ546" s="33">
        <f t="shared" si="139"/>
        <v>-5.676047121893399</v>
      </c>
      <c r="BA546" s="39">
        <f t="shared" si="140"/>
        <v>-6.7653495300529158</v>
      </c>
      <c r="BB546" s="39">
        <f t="shared" si="141"/>
        <v>-0.74831144164396901</v>
      </c>
      <c r="BC546" s="45">
        <f t="shared" si="142"/>
        <v>-21.504208037450528</v>
      </c>
      <c r="BD546" s="45">
        <f t="shared" si="143"/>
        <v>-6.2991070204641462</v>
      </c>
      <c r="BE546" s="64">
        <f t="shared" si="144"/>
        <v>15109116079.614983</v>
      </c>
      <c r="BF546" s="65">
        <f t="shared" si="145"/>
        <v>26311760366.10413</v>
      </c>
      <c r="BG546" s="66">
        <f t="shared" si="146"/>
        <v>23216642349.574547</v>
      </c>
    </row>
    <row r="547" spans="43:59" x14ac:dyDescent="0.25">
      <c r="AQ547" s="7">
        <v>532</v>
      </c>
      <c r="AR547" s="58">
        <f t="shared" si="147"/>
        <v>266</v>
      </c>
      <c r="AS547" s="58">
        <f t="shared" si="148"/>
        <v>141103.18009035737</v>
      </c>
      <c r="AT547" s="58">
        <f t="shared" si="149"/>
        <v>28339.245780581627</v>
      </c>
      <c r="AU547" s="58">
        <f t="shared" si="150"/>
        <v>-260.66046104496269</v>
      </c>
      <c r="AV547" s="58">
        <f t="shared" si="151"/>
        <v>1009.1354883734693</v>
      </c>
      <c r="AW547" s="58">
        <f t="shared" si="137"/>
        <v>-62.079704755016522</v>
      </c>
      <c r="AX547" s="58">
        <f t="shared" si="152"/>
        <v>-12.963262756708733</v>
      </c>
      <c r="AY547" s="33">
        <f t="shared" si="138"/>
        <v>-33.835911884733598</v>
      </c>
      <c r="AZ547" s="33">
        <f t="shared" si="139"/>
        <v>-5.8224307854671267</v>
      </c>
      <c r="BA547" s="39">
        <f t="shared" si="140"/>
        <v>-6.7683688532022153</v>
      </c>
      <c r="BB547" s="39">
        <f t="shared" si="141"/>
        <v>-0.77048001077874606</v>
      </c>
      <c r="BC547" s="45">
        <f t="shared" si="142"/>
        <v>-21.475424017080712</v>
      </c>
      <c r="BD547" s="45">
        <f t="shared" si="143"/>
        <v>-6.3703519604628616</v>
      </c>
      <c r="BE547" s="64">
        <f t="shared" si="144"/>
        <v>15100254392.701019</v>
      </c>
      <c r="BF547" s="65">
        <f t="shared" si="145"/>
        <v>26290562571.026703</v>
      </c>
      <c r="BG547" s="66">
        <f t="shared" si="146"/>
        <v>23224429457.345062</v>
      </c>
    </row>
    <row r="548" spans="43:59" x14ac:dyDescent="0.25">
      <c r="AQ548" s="7">
        <v>533</v>
      </c>
      <c r="AR548" s="58">
        <f t="shared" si="147"/>
        <v>266.5</v>
      </c>
      <c r="AS548" s="58">
        <f t="shared" si="148"/>
        <v>140965.08989674051</v>
      </c>
      <c r="AT548" s="58">
        <f t="shared" si="149"/>
        <v>28842.193116923772</v>
      </c>
      <c r="AU548" s="58">
        <f t="shared" si="150"/>
        <v>-291.70031342247097</v>
      </c>
      <c r="AV548" s="58">
        <f t="shared" si="151"/>
        <v>1002.653856995115</v>
      </c>
      <c r="AW548" s="58">
        <f t="shared" si="137"/>
        <v>-62.06088274826061</v>
      </c>
      <c r="AX548" s="58">
        <f t="shared" si="152"/>
        <v>-13.205742211814815</v>
      </c>
      <c r="AY548" s="33">
        <f t="shared" si="138"/>
        <v>-33.838101043176003</v>
      </c>
      <c r="AZ548" s="33">
        <f t="shared" si="139"/>
        <v>-5.9701463272578588</v>
      </c>
      <c r="BA548" s="39">
        <f t="shared" si="140"/>
        <v>-6.7725055812948334</v>
      </c>
      <c r="BB548" s="39">
        <f t="shared" si="141"/>
        <v>-0.79277350219269738</v>
      </c>
      <c r="BC548" s="45">
        <f t="shared" si="142"/>
        <v>-21.450276123789781</v>
      </c>
      <c r="BD548" s="45">
        <f t="shared" si="143"/>
        <v>-6.4428223823642581</v>
      </c>
      <c r="BE548" s="64">
        <f t="shared" si="144"/>
        <v>15088042180.766581</v>
      </c>
      <c r="BF548" s="65">
        <f t="shared" si="145"/>
        <v>26264788406.9212</v>
      </c>
      <c r="BG548" s="66">
        <f t="shared" si="146"/>
        <v>23227945365.865177</v>
      </c>
    </row>
    <row r="549" spans="43:59" x14ac:dyDescent="0.25">
      <c r="AQ549" s="7">
        <v>534</v>
      </c>
      <c r="AR549" s="58">
        <f t="shared" si="147"/>
        <v>267</v>
      </c>
      <c r="AS549" s="58">
        <f t="shared" si="148"/>
        <v>140811.48212968573</v>
      </c>
      <c r="AT549" s="58">
        <f t="shared" si="149"/>
        <v>29341.869327644854</v>
      </c>
      <c r="AU549" s="58">
        <f t="shared" si="150"/>
        <v>-322.73075479660127</v>
      </c>
      <c r="AV549" s="58">
        <f t="shared" si="151"/>
        <v>996.0509858892076</v>
      </c>
      <c r="AW549" s="58">
        <f t="shared" si="137"/>
        <v>-62.053643180908395</v>
      </c>
      <c r="AX549" s="58">
        <f t="shared" si="152"/>
        <v>-13.451100556436689</v>
      </c>
      <c r="AY549" s="33">
        <f t="shared" si="138"/>
        <v>-33.847134797053187</v>
      </c>
      <c r="AZ549" s="33">
        <f t="shared" si="139"/>
        <v>-6.119324772117503</v>
      </c>
      <c r="BA549" s="39">
        <f t="shared" si="140"/>
        <v>-6.7777644508472745</v>
      </c>
      <c r="BB549" s="39">
        <f t="shared" si="141"/>
        <v>-0.81520692804835826</v>
      </c>
      <c r="BC549" s="45">
        <f t="shared" si="142"/>
        <v>-21.428743933007933</v>
      </c>
      <c r="BD549" s="45">
        <f t="shared" si="143"/>
        <v>-6.516568856270827</v>
      </c>
      <c r="BE549" s="64">
        <f t="shared" si="144"/>
        <v>15072481470.097286</v>
      </c>
      <c r="BF549" s="65">
        <f t="shared" si="145"/>
        <v>26234440693.83392</v>
      </c>
      <c r="BG549" s="66">
        <f t="shared" si="146"/>
        <v>23227189696.325592</v>
      </c>
    </row>
    <row r="550" spans="43:59" x14ac:dyDescent="0.25">
      <c r="AQ550" s="7">
        <v>535</v>
      </c>
      <c r="AR550" s="58">
        <f t="shared" si="147"/>
        <v>267.5</v>
      </c>
      <c r="AS550" s="58">
        <f t="shared" si="148"/>
        <v>140642.36004688981</v>
      </c>
      <c r="AT550" s="58">
        <f t="shared" si="149"/>
        <v>29838.213433019904</v>
      </c>
      <c r="AU550" s="58">
        <f t="shared" si="150"/>
        <v>-353.75757638705545</v>
      </c>
      <c r="AV550" s="58">
        <f t="shared" si="151"/>
        <v>989.3254356109893</v>
      </c>
      <c r="AW550" s="58">
        <f t="shared" si="137"/>
        <v>-62.057990558212211</v>
      </c>
      <c r="AX550" s="58">
        <f t="shared" si="152"/>
        <v>-13.699537982832519</v>
      </c>
      <c r="AY550" s="33">
        <f t="shared" si="138"/>
        <v>-33.863028835730525</v>
      </c>
      <c r="AZ550" s="33">
        <f t="shared" si="139"/>
        <v>-6.2700992033565335</v>
      </c>
      <c r="BA550" s="39">
        <f t="shared" si="140"/>
        <v>-6.7841512716871488</v>
      </c>
      <c r="BB550" s="39">
        <f t="shared" si="141"/>
        <v>-0.83779546596762522</v>
      </c>
      <c r="BC550" s="45">
        <f t="shared" si="142"/>
        <v>-21.410810450794532</v>
      </c>
      <c r="BD550" s="45">
        <f t="shared" si="143"/>
        <v>-6.5916433135083601</v>
      </c>
      <c r="BE550" s="64">
        <f t="shared" si="144"/>
        <v>15053574817.062544</v>
      </c>
      <c r="BF550" s="65">
        <f t="shared" si="145"/>
        <v>26199522553.648628</v>
      </c>
      <c r="BG550" s="66">
        <f t="shared" si="146"/>
        <v>23222162423.892933</v>
      </c>
    </row>
    <row r="551" spans="43:59" x14ac:dyDescent="0.25">
      <c r="AQ551" s="7">
        <v>536</v>
      </c>
      <c r="AR551" s="58">
        <f t="shared" si="147"/>
        <v>268</v>
      </c>
      <c r="AS551" s="58">
        <f t="shared" si="148"/>
        <v>140457.72400987652</v>
      </c>
      <c r="AT551" s="58">
        <f t="shared" si="149"/>
        <v>30331.163708577544</v>
      </c>
      <c r="AU551" s="58">
        <f t="shared" si="150"/>
        <v>-384.78657166616154</v>
      </c>
      <c r="AV551" s="58">
        <f t="shared" si="151"/>
        <v>982.47566661957308</v>
      </c>
      <c r="AW551" s="58">
        <f t="shared" si="137"/>
        <v>-62.073941241728775</v>
      </c>
      <c r="AX551" s="58">
        <f t="shared" si="152"/>
        <v>-13.951258705974698</v>
      </c>
      <c r="AY551" s="33">
        <f t="shared" si="138"/>
        <v>-33.885806221799079</v>
      </c>
      <c r="AZ551" s="33">
        <f t="shared" si="139"/>
        <v>-6.4226050724949548</v>
      </c>
      <c r="BA551" s="39">
        <f t="shared" si="140"/>
        <v>-6.7916729413262127</v>
      </c>
      <c r="BB551" s="39">
        <f t="shared" si="141"/>
        <v>-0.86055448734097906</v>
      </c>
      <c r="BC551" s="45">
        <f t="shared" si="142"/>
        <v>-21.396462078603481</v>
      </c>
      <c r="BD551" s="45">
        <f t="shared" si="143"/>
        <v>-6.6680991461387658</v>
      </c>
      <c r="BE551" s="64">
        <f t="shared" si="144"/>
        <v>15031325309.92745</v>
      </c>
      <c r="BF551" s="65">
        <f t="shared" si="145"/>
        <v>26160037412.174683</v>
      </c>
      <c r="BG551" s="66">
        <f t="shared" si="146"/>
        <v>23212863877.307266</v>
      </c>
    </row>
    <row r="552" spans="43:59" x14ac:dyDescent="0.25">
      <c r="AQ552" s="7">
        <v>537</v>
      </c>
      <c r="AR552" s="58">
        <f t="shared" si="147"/>
        <v>268.5</v>
      </c>
      <c r="AS552" s="58">
        <f t="shared" si="148"/>
        <v>140257.57148138824</v>
      </c>
      <c r="AT552" s="58">
        <f t="shared" si="149"/>
        <v>30820.657634549083</v>
      </c>
      <c r="AU552" s="58">
        <f t="shared" si="150"/>
        <v>-415.82354228702593</v>
      </c>
      <c r="AV552" s="58">
        <f t="shared" si="151"/>
        <v>975.50003726658576</v>
      </c>
      <c r="AW552" s="58">
        <f t="shared" si="137"/>
        <v>-62.10152350483424</v>
      </c>
      <c r="AX552" s="58">
        <f t="shared" si="152"/>
        <v>-14.206471413936629</v>
      </c>
      <c r="AY552" s="33">
        <f t="shared" si="138"/>
        <v>-33.915497457011682</v>
      </c>
      <c r="AZ552" s="33">
        <f t="shared" si="139"/>
        <v>-6.576980517378888</v>
      </c>
      <c r="BA552" s="39">
        <f t="shared" si="140"/>
        <v>-6.8003374619560972</v>
      </c>
      <c r="BB552" s="39">
        <f t="shared" si="141"/>
        <v>-0.88349958623471248</v>
      </c>
      <c r="BC552" s="45">
        <f t="shared" si="142"/>
        <v>-21.385688585866461</v>
      </c>
      <c r="BD552" s="45">
        <f t="shared" si="143"/>
        <v>-6.7459913103230278</v>
      </c>
      <c r="BE552" s="64">
        <f t="shared" si="144"/>
        <v>15005736571.109055</v>
      </c>
      <c r="BF552" s="65">
        <f t="shared" si="145"/>
        <v>26115989001.447365</v>
      </c>
      <c r="BG552" s="66">
        <f t="shared" si="146"/>
        <v>23199294738.733173</v>
      </c>
    </row>
    <row r="553" spans="43:59" x14ac:dyDescent="0.25">
      <c r="AQ553" s="7">
        <v>538</v>
      </c>
      <c r="AR553" s="58">
        <f t="shared" si="147"/>
        <v>269</v>
      </c>
      <c r="AS553" s="58">
        <f t="shared" si="148"/>
        <v>140041.89701980661</v>
      </c>
      <c r="AT553" s="58">
        <f t="shared" si="149"/>
        <v>31306.631844255637</v>
      </c>
      <c r="AU553" s="58">
        <f t="shared" si="150"/>
        <v>-446.87430403944307</v>
      </c>
      <c r="AV553" s="58">
        <f t="shared" si="151"/>
        <v>968.39680155961742</v>
      </c>
      <c r="AW553" s="58">
        <f t="shared" si="137"/>
        <v>-62.140777617619591</v>
      </c>
      <c r="AX553" s="58">
        <f t="shared" si="152"/>
        <v>-14.46538973301038</v>
      </c>
      <c r="AY553" s="33">
        <f t="shared" si="138"/>
        <v>-33.952140567186305</v>
      </c>
      <c r="AZ553" s="33">
        <f t="shared" si="139"/>
        <v>-6.7333666900820139</v>
      </c>
      <c r="BA553" s="39">
        <f t="shared" si="140"/>
        <v>-6.8101539601409851</v>
      </c>
      <c r="BB553" s="39">
        <f t="shared" si="141"/>
        <v>-0.90664660900305349</v>
      </c>
      <c r="BC553" s="45">
        <f t="shared" si="142"/>
        <v>-21.378483090292299</v>
      </c>
      <c r="BD553" s="45">
        <f t="shared" si="143"/>
        <v>-6.8253764339253129</v>
      </c>
      <c r="BE553" s="64">
        <f t="shared" si="144"/>
        <v>14976812759.881783</v>
      </c>
      <c r="BF553" s="65">
        <f t="shared" si="145"/>
        <v>26067381362.245033</v>
      </c>
      <c r="BG553" s="66">
        <f t="shared" si="146"/>
        <v>23181456043.863617</v>
      </c>
    </row>
    <row r="554" spans="43:59" x14ac:dyDescent="0.25">
      <c r="AQ554" s="7">
        <v>539</v>
      </c>
      <c r="AR554" s="58">
        <f t="shared" si="147"/>
        <v>269.5</v>
      </c>
      <c r="AS554" s="58">
        <f t="shared" si="148"/>
        <v>139810.69227058467</v>
      </c>
      <c r="AT554" s="58">
        <f t="shared" si="149"/>
        <v>31789.022071318821</v>
      </c>
      <c r="AU554" s="58">
        <f t="shared" si="150"/>
        <v>-477.94469284825288</v>
      </c>
      <c r="AV554" s="58">
        <f t="shared" si="151"/>
        <v>961.16410669311222</v>
      </c>
      <c r="AW554" s="58">
        <f t="shared" si="137"/>
        <v>-62.191755961591383</v>
      </c>
      <c r="AX554" s="58">
        <f t="shared" si="152"/>
        <v>-14.728232709560091</v>
      </c>
      <c r="AY554" s="33">
        <f t="shared" si="138"/>
        <v>-33.995781206490754</v>
      </c>
      <c r="AZ554" s="33">
        <f t="shared" si="139"/>
        <v>-6.8919080960765573</v>
      </c>
      <c r="BA554" s="39">
        <f t="shared" si="140"/>
        <v>-6.8211327092972844</v>
      </c>
      <c r="BB554" s="39">
        <f t="shared" si="141"/>
        <v>-0.9300116847164791</v>
      </c>
      <c r="BC554" s="45">
        <f t="shared" si="142"/>
        <v>-21.374842045803344</v>
      </c>
      <c r="BD554" s="45">
        <f t="shared" si="143"/>
        <v>-6.9063129287670542</v>
      </c>
      <c r="BE554" s="64">
        <f t="shared" si="144"/>
        <v>14944558575.53775</v>
      </c>
      <c r="BF554" s="65">
        <f t="shared" si="145"/>
        <v>26014218846.827927</v>
      </c>
      <c r="BG554" s="66">
        <f t="shared" si="146"/>
        <v>23159349182.276329</v>
      </c>
    </row>
    <row r="555" spans="43:59" x14ac:dyDescent="0.25">
      <c r="AQ555" s="7">
        <v>540</v>
      </c>
      <c r="AR555" s="58">
        <f t="shared" si="147"/>
        <v>270</v>
      </c>
      <c r="AS555" s="58">
        <f t="shared" si="148"/>
        <v>139563.94595466534</v>
      </c>
      <c r="AT555" s="58">
        <f t="shared" si="149"/>
        <v>32267.76309557668</v>
      </c>
      <c r="AU555" s="58">
        <f t="shared" si="150"/>
        <v>-509.04057082904859</v>
      </c>
      <c r="AV555" s="58">
        <f t="shared" si="151"/>
        <v>953.79999033833212</v>
      </c>
      <c r="AW555" s="58">
        <f t="shared" si="137"/>
        <v>-62.254523174728718</v>
      </c>
      <c r="AX555" s="58">
        <f t="shared" si="152"/>
        <v>-14.995225310717819</v>
      </c>
      <c r="AY555" s="33">
        <f t="shared" si="138"/>
        <v>-34.046472781595881</v>
      </c>
      <c r="AZ555" s="33">
        <f t="shared" si="139"/>
        <v>-7.0527529462292975</v>
      </c>
      <c r="BA555" s="39">
        <f t="shared" si="140"/>
        <v>-6.833285155060878</v>
      </c>
      <c r="BB555" s="39">
        <f t="shared" si="141"/>
        <v>-0.95361125652187262</v>
      </c>
      <c r="BC555" s="45">
        <f t="shared" si="142"/>
        <v>-21.374765238071962</v>
      </c>
      <c r="BD555" s="45">
        <f t="shared" si="143"/>
        <v>-6.9888611079666489</v>
      </c>
      <c r="BE555" s="64">
        <f t="shared" si="144"/>
        <v>14908979261.008743</v>
      </c>
      <c r="BF555" s="65">
        <f t="shared" si="145"/>
        <v>25956506121.904087</v>
      </c>
      <c r="BG555" s="66">
        <f t="shared" si="146"/>
        <v>23132975898.042961</v>
      </c>
    </row>
    <row r="556" spans="43:59" x14ac:dyDescent="0.25">
      <c r="AQ556" s="7">
        <v>541</v>
      </c>
      <c r="AR556" s="58">
        <f t="shared" si="147"/>
        <v>270.5</v>
      </c>
      <c r="AS556" s="58">
        <f t="shared" si="148"/>
        <v>139301.64385385395</v>
      </c>
      <c r="AT556" s="58">
        <f t="shared" si="149"/>
        <v>32742.788687582008</v>
      </c>
      <c r="AU556" s="58">
        <f t="shared" si="150"/>
        <v>-540.16783241641292</v>
      </c>
      <c r="AV556" s="58">
        <f t="shared" si="151"/>
        <v>946.3023776829732</v>
      </c>
      <c r="AW556" s="58">
        <f t="shared" si="137"/>
        <v>-62.329156327597588</v>
      </c>
      <c r="AX556" s="58">
        <f t="shared" si="152"/>
        <v>-15.266598946147086</v>
      </c>
      <c r="AY556" s="33">
        <f t="shared" si="138"/>
        <v>-34.10427659629228</v>
      </c>
      <c r="AZ556" s="33">
        <f t="shared" si="139"/>
        <v>-7.2160535232662202</v>
      </c>
      <c r="BA556" s="39">
        <f t="shared" si="140"/>
        <v>-6.8466239436583747</v>
      </c>
      <c r="BB556" s="39">
        <f t="shared" si="141"/>
        <v>-0.97746211405586003</v>
      </c>
      <c r="BC556" s="45">
        <f t="shared" si="142"/>
        <v>-21.378255787646932</v>
      </c>
      <c r="BD556" s="45">
        <f t="shared" si="143"/>
        <v>-7.0730833088250051</v>
      </c>
      <c r="BE556" s="64">
        <f t="shared" si="144"/>
        <v>14870080606.957726</v>
      </c>
      <c r="BF556" s="65">
        <f t="shared" si="145"/>
        <v>25894248171.828133</v>
      </c>
      <c r="BG556" s="66">
        <f t="shared" si="146"/>
        <v>23102338290.591618</v>
      </c>
    </row>
    <row r="557" spans="43:59" x14ac:dyDescent="0.25">
      <c r="AQ557" s="7">
        <v>542</v>
      </c>
      <c r="AR557" s="58">
        <f t="shared" si="147"/>
        <v>271</v>
      </c>
      <c r="AS557" s="58">
        <f t="shared" si="148"/>
        <v>139023.7687931048</v>
      </c>
      <c r="AT557" s="58">
        <f t="shared" si="149"/>
        <v>33214.031551555228</v>
      </c>
      <c r="AU557" s="58">
        <f t="shared" si="150"/>
        <v>-571.33241058021167</v>
      </c>
      <c r="AV557" s="58">
        <f t="shared" si="151"/>
        <v>938.66907820989968</v>
      </c>
      <c r="AW557" s="58">
        <f t="shared" si="137"/>
        <v>-62.41574513135275</v>
      </c>
      <c r="AX557" s="58">
        <f t="shared" si="152"/>
        <v>-15.542592013229866</v>
      </c>
      <c r="AY557" s="33">
        <f t="shared" si="138"/>
        <v>-34.169262017251469</v>
      </c>
      <c r="AZ557" s="33">
        <f t="shared" si="139"/>
        <v>-7.3819665644452543</v>
      </c>
      <c r="BA557" s="39">
        <f t="shared" si="140"/>
        <v>-6.861162953411597</v>
      </c>
      <c r="BB557" s="39">
        <f t="shared" si="141"/>
        <v>-1.0015814270386274</v>
      </c>
      <c r="BC557" s="45">
        <f t="shared" si="142"/>
        <v>-21.385320160689687</v>
      </c>
      <c r="BD557" s="45">
        <f t="shared" si="143"/>
        <v>-7.1590440217459843</v>
      </c>
      <c r="BE557" s="64">
        <f t="shared" si="144"/>
        <v>14827868956.348846</v>
      </c>
      <c r="BF557" s="65">
        <f t="shared" si="145"/>
        <v>25827450302.039455</v>
      </c>
      <c r="BG557" s="66">
        <f t="shared" si="146"/>
        <v>23067438815.824074</v>
      </c>
    </row>
    <row r="558" spans="43:59" x14ac:dyDescent="0.25">
      <c r="AQ558" s="7">
        <v>543</v>
      </c>
      <c r="AR558" s="58">
        <f t="shared" si="147"/>
        <v>271.5</v>
      </c>
      <c r="AS558" s="58">
        <f t="shared" si="148"/>
        <v>138730.30061967327</v>
      </c>
      <c r="AT558" s="58">
        <f t="shared" si="149"/>
        <v>33681.423266658523</v>
      </c>
      <c r="AU558" s="58">
        <f t="shared" si="150"/>
        <v>-602.540283145888</v>
      </c>
      <c r="AV558" s="58">
        <f t="shared" si="151"/>
        <v>930.89778220328469</v>
      </c>
      <c r="AW558" s="58">
        <f t="shared" si="137"/>
        <v>-62.514392178628185</v>
      </c>
      <c r="AX558" s="58">
        <f t="shared" si="152"/>
        <v>-15.823450468188913</v>
      </c>
      <c r="AY558" s="33">
        <f t="shared" si="138"/>
        <v>-34.241506661727698</v>
      </c>
      <c r="AZ558" s="33">
        <f t="shared" si="139"/>
        <v>-7.5506536622906033</v>
      </c>
      <c r="BA558" s="39">
        <f t="shared" si="140"/>
        <v>-6.8769173295213859</v>
      </c>
      <c r="BB558" s="39">
        <f t="shared" si="141"/>
        <v>-1.0259867801827272</v>
      </c>
      <c r="BC558" s="45">
        <f t="shared" si="142"/>
        <v>-21.395968187379108</v>
      </c>
      <c r="BD558" s="45">
        <f t="shared" si="143"/>
        <v>-7.2468100257155834</v>
      </c>
      <c r="BE558" s="64">
        <f t="shared" si="144"/>
        <v>14782351209.505917</v>
      </c>
      <c r="BF558" s="65">
        <f t="shared" si="145"/>
        <v>25756118142.746487</v>
      </c>
      <c r="BG558" s="66">
        <f t="shared" si="146"/>
        <v>23028280287.489216</v>
      </c>
    </row>
    <row r="559" spans="43:59" x14ac:dyDescent="0.25">
      <c r="AQ559" s="7">
        <v>544</v>
      </c>
      <c r="AR559" s="58">
        <f t="shared" si="147"/>
        <v>272</v>
      </c>
      <c r="AS559" s="58">
        <f t="shared" si="148"/>
        <v>138421.21617907798</v>
      </c>
      <c r="AT559" s="58">
        <f t="shared" si="149"/>
        <v>34144.894226451644</v>
      </c>
      <c r="AU559" s="58">
        <f t="shared" si="150"/>
        <v>-633.7974792352021</v>
      </c>
      <c r="AV559" s="58">
        <f t="shared" si="151"/>
        <v>922.98605696919026</v>
      </c>
      <c r="AW559" s="58">
        <f t="shared" si="137"/>
        <v>-62.625213218448636</v>
      </c>
      <c r="AX559" s="58">
        <f t="shared" si="152"/>
        <v>-16.109428425820994</v>
      </c>
      <c r="AY559" s="33">
        <f t="shared" si="138"/>
        <v>-34.321096608087657</v>
      </c>
      <c r="AZ559" s="33">
        <f t="shared" si="139"/>
        <v>-7.7222816853648375</v>
      </c>
      <c r="BA559" s="39">
        <f t="shared" si="140"/>
        <v>-6.8939035222936402</v>
      </c>
      <c r="BB559" s="39">
        <f t="shared" si="141"/>
        <v>-1.0506962095593673</v>
      </c>
      <c r="BC559" s="45">
        <f t="shared" si="142"/>
        <v>-21.410213088067334</v>
      </c>
      <c r="BD559" s="45">
        <f t="shared" si="143"/>
        <v>-7.3364505308967871</v>
      </c>
      <c r="BE559" s="64">
        <f t="shared" si="144"/>
        <v>14733534829.670717</v>
      </c>
      <c r="BF559" s="65">
        <f t="shared" si="145"/>
        <v>25680257652.864697</v>
      </c>
      <c r="BG559" s="66">
        <f t="shared" si="146"/>
        <v>22984865878.814941</v>
      </c>
    </row>
    <row r="560" spans="43:59" x14ac:dyDescent="0.25">
      <c r="AQ560" s="7">
        <v>545</v>
      </c>
      <c r="AR560" s="58">
        <f t="shared" si="147"/>
        <v>272.5</v>
      </c>
      <c r="AS560" s="58">
        <f t="shared" si="148"/>
        <v>138096.48928780807</v>
      </c>
      <c r="AT560" s="58">
        <f t="shared" si="149"/>
        <v>34604.373576383012</v>
      </c>
      <c r="AU560" s="58">
        <f t="shared" si="150"/>
        <v>-665.11008584442641</v>
      </c>
      <c r="AV560" s="58">
        <f t="shared" si="151"/>
        <v>914.93134275627972</v>
      </c>
      <c r="AW560" s="58">
        <f t="shared" si="137"/>
        <v>-62.748337466488778</v>
      </c>
      <c r="AX560" s="58">
        <f t="shared" si="152"/>
        <v>-16.400788790714756</v>
      </c>
      <c r="AY560" s="33">
        <f t="shared" si="138"/>
        <v>-34.408126630191703</v>
      </c>
      <c r="AZ560" s="33">
        <f t="shared" si="139"/>
        <v>-7.8970232212016205</v>
      </c>
      <c r="BA560" s="39">
        <f t="shared" si="140"/>
        <v>-6.9121393289868118</v>
      </c>
      <c r="BB560" s="39">
        <f t="shared" si="141"/>
        <v>-1.0757282405733732</v>
      </c>
      <c r="BC560" s="45">
        <f t="shared" si="142"/>
        <v>-21.428071507310264</v>
      </c>
      <c r="BD560" s="45">
        <f t="shared" si="143"/>
        <v>-7.4280373289397605</v>
      </c>
      <c r="BE560" s="64">
        <f t="shared" si="144"/>
        <v>14681427849.073496</v>
      </c>
      <c r="BF560" s="65">
        <f t="shared" si="145"/>
        <v>25599875124.216228</v>
      </c>
      <c r="BG560" s="66">
        <f t="shared" si="146"/>
        <v>22937199124.401134</v>
      </c>
    </row>
    <row r="561" spans="43:59" x14ac:dyDescent="0.25">
      <c r="AQ561" s="7">
        <v>546</v>
      </c>
      <c r="AR561" s="58">
        <f t="shared" si="147"/>
        <v>273</v>
      </c>
      <c r="AS561" s="58">
        <f t="shared" si="148"/>
        <v>137756.09070270255</v>
      </c>
      <c r="AT561" s="58">
        <f t="shared" si="149"/>
        <v>35059.789149162309</v>
      </c>
      <c r="AU561" s="58">
        <f t="shared" si="150"/>
        <v>-696.48425457767075</v>
      </c>
      <c r="AV561" s="58">
        <f t="shared" si="151"/>
        <v>906.7309483609223</v>
      </c>
      <c r="AW561" s="58">
        <f t="shared" si="137"/>
        <v>-62.883907952155582</v>
      </c>
      <c r="AX561" s="58">
        <f t="shared" si="152"/>
        <v>-16.697803923034321</v>
      </c>
      <c r="AY561" s="33">
        <f t="shared" si="138"/>
        <v>-34.502700456749906</v>
      </c>
      <c r="AZ561" s="33">
        <f t="shared" si="139"/>
        <v>-8.075057043677063</v>
      </c>
      <c r="BA561" s="39">
        <f t="shared" si="140"/>
        <v>-6.9316439394815257</v>
      </c>
      <c r="BB561" s="39">
        <f t="shared" si="141"/>
        <v>-1.1011019277083294</v>
      </c>
      <c r="BC561" s="45">
        <f t="shared" si="142"/>
        <v>-21.449563555924154</v>
      </c>
      <c r="BD561" s="45">
        <f t="shared" si="143"/>
        <v>-7.5216449516489279</v>
      </c>
      <c r="BE561" s="64">
        <f t="shared" si="144"/>
        <v>14626038875.529396</v>
      </c>
      <c r="BF561" s="65">
        <f t="shared" si="145"/>
        <v>25514977185.99979</v>
      </c>
      <c r="BG561" s="66">
        <f t="shared" si="146"/>
        <v>22885283922.376827</v>
      </c>
    </row>
    <row r="562" spans="43:59" x14ac:dyDescent="0.25">
      <c r="AQ562" s="7">
        <v>547</v>
      </c>
      <c r="AR562" s="58">
        <f t="shared" si="147"/>
        <v>273.5</v>
      </c>
      <c r="AS562" s="58">
        <f t="shared" si="148"/>
        <v>137399.98808691971</v>
      </c>
      <c r="AT562" s="58">
        <f t="shared" si="149"/>
        <v>35511.067397852392</v>
      </c>
      <c r="AU562" s="58">
        <f t="shared" si="150"/>
        <v>-727.92620855374855</v>
      </c>
      <c r="AV562" s="58">
        <f t="shared" si="151"/>
        <v>898.38204639940511</v>
      </c>
      <c r="AW562" s="58">
        <f t="shared" si="137"/>
        <v>-63.032081904179691</v>
      </c>
      <c r="AX562" s="58">
        <f t="shared" si="152"/>
        <v>-17.000756342194343</v>
      </c>
      <c r="AY562" s="33">
        <f t="shared" si="138"/>
        <v>-34.604931056927548</v>
      </c>
      <c r="AZ562" s="33">
        <f t="shared" si="139"/>
        <v>-8.2565686072810696</v>
      </c>
      <c r="BA562" s="39">
        <f t="shared" si="140"/>
        <v>-6.9524379859925594</v>
      </c>
      <c r="BB562" s="39">
        <f t="shared" si="141"/>
        <v>-1.1268368962143822</v>
      </c>
      <c r="BC562" s="45">
        <f t="shared" si="142"/>
        <v>-21.474712861259583</v>
      </c>
      <c r="BD562" s="45">
        <f t="shared" si="143"/>
        <v>-7.6173508386988935</v>
      </c>
      <c r="BE562" s="64">
        <f t="shared" si="144"/>
        <v>14567377099.575918</v>
      </c>
      <c r="BF562" s="65">
        <f t="shared" si="145"/>
        <v>25425570809.540234</v>
      </c>
      <c r="BG562" s="66">
        <f t="shared" si="146"/>
        <v>22829124536.82526</v>
      </c>
    </row>
    <row r="563" spans="43:59" x14ac:dyDescent="0.25">
      <c r="AQ563" s="7">
        <v>548</v>
      </c>
      <c r="AR563" s="58">
        <f t="shared" si="147"/>
        <v>274</v>
      </c>
      <c r="AS563" s="58">
        <f t="shared" si="148"/>
        <v>137028.1459724048</v>
      </c>
      <c r="AT563" s="58">
        <f t="shared" si="149"/>
        <v>35958.13332650932</v>
      </c>
      <c r="AU563" s="58">
        <f t="shared" si="150"/>
        <v>-759.44224950583839</v>
      </c>
      <c r="AV563" s="58">
        <f t="shared" si="151"/>
        <v>889.88166822830794</v>
      </c>
      <c r="AW563" s="58">
        <f t="shared" si="137"/>
        <v>-63.193031176581599</v>
      </c>
      <c r="AX563" s="58">
        <f t="shared" si="152"/>
        <v>-17.309939472013959</v>
      </c>
      <c r="AY563" s="33">
        <f t="shared" si="138"/>
        <v>-34.714940953600205</v>
      </c>
      <c r="AZ563" s="33">
        <f t="shared" si="139"/>
        <v>-8.441750570947308</v>
      </c>
      <c r="BA563" s="39">
        <f t="shared" si="140"/>
        <v>-6.9745435970655949</v>
      </c>
      <c r="BB563" s="39">
        <f t="shared" si="141"/>
        <v>-1.1529533859235439</v>
      </c>
      <c r="BC563" s="45">
        <f t="shared" si="142"/>
        <v>-21.503546625915796</v>
      </c>
      <c r="BD563" s="45">
        <f t="shared" si="143"/>
        <v>-7.7152355151431049</v>
      </c>
      <c r="BE563" s="64">
        <f t="shared" si="144"/>
        <v>14505452302.167868</v>
      </c>
      <c r="BF563" s="65">
        <f t="shared" si="145"/>
        <v>25331663313.327705</v>
      </c>
      <c r="BG563" s="66">
        <f t="shared" si="146"/>
        <v>22768725600.481026</v>
      </c>
    </row>
    <row r="564" spans="43:59" x14ac:dyDescent="0.25">
      <c r="AQ564" s="7">
        <v>549</v>
      </c>
      <c r="AR564" s="58">
        <f t="shared" si="147"/>
        <v>274.5</v>
      </c>
      <c r="AS564" s="58">
        <f t="shared" si="148"/>
        <v>136640.5257187548</v>
      </c>
      <c r="AT564" s="58">
        <f t="shared" si="149"/>
        <v>36400.910418189473</v>
      </c>
      <c r="AU564" s="58">
        <f t="shared" si="150"/>
        <v>-791.03876509412919</v>
      </c>
      <c r="AV564" s="58">
        <f t="shared" si="151"/>
        <v>881.22669849230101</v>
      </c>
      <c r="AW564" s="58">
        <f t="shared" si="137"/>
        <v>-63.36694271710725</v>
      </c>
      <c r="AX564" s="58">
        <f t="shared" si="152"/>
        <v>-17.625658431237802</v>
      </c>
      <c r="AY564" s="33">
        <f t="shared" si="138"/>
        <v>-34.832862565820122</v>
      </c>
      <c r="AZ564" s="33">
        <f t="shared" si="139"/>
        <v>-8.6308033543268223</v>
      </c>
      <c r="BA564" s="39">
        <f t="shared" si="140"/>
        <v>-6.9979844561277398</v>
      </c>
      <c r="BB564" s="39">
        <f t="shared" si="141"/>
        <v>-1.1794722973914922</v>
      </c>
      <c r="BC564" s="45">
        <f t="shared" si="142"/>
        <v>-21.536095695159386</v>
      </c>
      <c r="BD564" s="45">
        <f t="shared" si="143"/>
        <v>-7.8153827795194886</v>
      </c>
      <c r="BE564" s="64">
        <f t="shared" si="144"/>
        <v>14440274862.947714</v>
      </c>
      <c r="BF564" s="65">
        <f t="shared" si="145"/>
        <v>25233262368.357147</v>
      </c>
      <c r="BG564" s="66">
        <f t="shared" si="146"/>
        <v>22704092117.703979</v>
      </c>
    </row>
    <row r="565" spans="43:59" x14ac:dyDescent="0.25">
      <c r="AQ565" s="7">
        <v>550</v>
      </c>
      <c r="AR565" s="58">
        <f t="shared" si="147"/>
        <v>275</v>
      </c>
      <c r="AS565" s="58">
        <f t="shared" si="148"/>
        <v>136237.08546836811</v>
      </c>
      <c r="AT565" s="58">
        <f t="shared" si="149"/>
        <v>36839.320560131717</v>
      </c>
      <c r="AU565" s="58">
        <f t="shared" si="150"/>
        <v>-822.72223645268286</v>
      </c>
      <c r="AV565" s="58">
        <f t="shared" si="151"/>
        <v>872.41386927668214</v>
      </c>
      <c r="AW565" s="58">
        <f t="shared" si="137"/>
        <v>-63.554019080447702</v>
      </c>
      <c r="AX565" s="58">
        <f t="shared" si="152"/>
        <v>-17.948230873641286</v>
      </c>
      <c r="AY565" s="33">
        <f t="shared" si="138"/>
        <v>-34.958838582210184</v>
      </c>
      <c r="AZ565" s="33">
        <f t="shared" si="139"/>
        <v>-8.8239357296383947</v>
      </c>
      <c r="BA565" s="39">
        <f t="shared" si="140"/>
        <v>-7.0227858648845265</v>
      </c>
      <c r="BB565" s="39">
        <f t="shared" si="141"/>
        <v>-1.2064152405797333</v>
      </c>
      <c r="BC565" s="45">
        <f t="shared" si="142"/>
        <v>-21.572394633352989</v>
      </c>
      <c r="BD565" s="45">
        <f t="shared" si="143"/>
        <v>-7.9178799034231568</v>
      </c>
      <c r="BE565" s="64">
        <f t="shared" si="144"/>
        <v>14371855769.110882</v>
      </c>
      <c r="BF565" s="65">
        <f t="shared" si="145"/>
        <v>25130376003.779671</v>
      </c>
      <c r="BG565" s="66">
        <f t="shared" si="146"/>
        <v>22635229467.735214</v>
      </c>
    </row>
    <row r="566" spans="43:59" x14ac:dyDescent="0.25">
      <c r="AQ566" s="7">
        <v>551</v>
      </c>
      <c r="AR566" s="58">
        <f t="shared" si="147"/>
        <v>275.5</v>
      </c>
      <c r="AS566" s="58">
        <f t="shared" si="148"/>
        <v>135817.78009775671</v>
      </c>
      <c r="AT566" s="58">
        <f t="shared" si="149"/>
        <v>37273.283965910858</v>
      </c>
      <c r="AU566" s="58">
        <f t="shared" si="150"/>
        <v>-854.49924599290671</v>
      </c>
      <c r="AV566" s="58">
        <f t="shared" si="151"/>
        <v>863.43975383986151</v>
      </c>
      <c r="AW566" s="58">
        <f t="shared" si="137"/>
        <v>-63.754478988807051</v>
      </c>
      <c r="AX566" s="58">
        <f t="shared" si="152"/>
        <v>-18.277987882304593</v>
      </c>
      <c r="AY566" s="33">
        <f t="shared" si="138"/>
        <v>-35.093022367184844</v>
      </c>
      <c r="AZ566" s="33">
        <f t="shared" si="139"/>
        <v>-9.0213654525095937</v>
      </c>
      <c r="BA566" s="39">
        <f t="shared" si="140"/>
        <v>-7.0489748118886064</v>
      </c>
      <c r="BB566" s="39">
        <f t="shared" si="141"/>
        <v>-1.2338045863095879</v>
      </c>
      <c r="BC566" s="45">
        <f t="shared" si="142"/>
        <v>-21.612481809733602</v>
      </c>
      <c r="BD566" s="45">
        <f t="shared" si="143"/>
        <v>-8.0228178434854112</v>
      </c>
      <c r="BE566" s="64">
        <f t="shared" si="144"/>
        <v>14300206624.887094</v>
      </c>
      <c r="BF566" s="65">
        <f t="shared" si="145"/>
        <v>25023012612.878078</v>
      </c>
      <c r="BG566" s="66">
        <f t="shared" si="146"/>
        <v>22562143408.240917</v>
      </c>
    </row>
    <row r="567" spans="43:59" x14ac:dyDescent="0.25">
      <c r="AQ567" s="7">
        <v>552</v>
      </c>
      <c r="AR567" s="58">
        <f t="shared" si="147"/>
        <v>276</v>
      </c>
      <c r="AS567" s="58">
        <f t="shared" si="148"/>
        <v>135382.56116488666</v>
      </c>
      <c r="AT567" s="58">
        <f t="shared" si="149"/>
        <v>37702.719094345499</v>
      </c>
      <c r="AU567" s="58">
        <f t="shared" si="150"/>
        <v>-886.37648548731022</v>
      </c>
      <c r="AV567" s="58">
        <f t="shared" si="151"/>
        <v>854.3007598987092</v>
      </c>
      <c r="AW567" s="58">
        <f t="shared" si="137"/>
        <v>-63.968557942657981</v>
      </c>
      <c r="AX567" s="58">
        <f t="shared" si="152"/>
        <v>-18.615274923053423</v>
      </c>
      <c r="AY567" s="33">
        <f t="shared" si="138"/>
        <v>-35.235578402087562</v>
      </c>
      <c r="AZ567" s="33">
        <f t="shared" si="139"/>
        <v>-9.2233199355337199</v>
      </c>
      <c r="BA567" s="39">
        <f t="shared" si="140"/>
        <v>-7.0765800466338087</v>
      </c>
      <c r="BB567" s="39">
        <f t="shared" si="141"/>
        <v>-1.2616635207377958</v>
      </c>
      <c r="BC567" s="45">
        <f t="shared" si="142"/>
        <v>-21.656399493936611</v>
      </c>
      <c r="BD567" s="45">
        <f t="shared" si="143"/>
        <v>-8.1302914667819071</v>
      </c>
      <c r="BE567" s="64">
        <f t="shared" si="144"/>
        <v>14225339661.660753</v>
      </c>
      <c r="BF567" s="65">
        <f t="shared" si="145"/>
        <v>24911180959.379959</v>
      </c>
      <c r="BG567" s="66">
        <f t="shared" si="146"/>
        <v>22484840079.150635</v>
      </c>
    </row>
    <row r="568" spans="43:59" x14ac:dyDescent="0.25">
      <c r="AQ568" s="7">
        <v>553</v>
      </c>
      <c r="AR568" s="58">
        <f t="shared" si="147"/>
        <v>276.5</v>
      </c>
      <c r="AS568" s="58">
        <f t="shared" si="148"/>
        <v>134931.37685240016</v>
      </c>
      <c r="AT568" s="58">
        <f t="shared" si="149"/>
        <v>38127.54256492947</v>
      </c>
      <c r="AU568" s="58">
        <f t="shared" si="150"/>
        <v>-918.36076445863921</v>
      </c>
      <c r="AV568" s="58">
        <f t="shared" si="151"/>
        <v>844.99312243718248</v>
      </c>
      <c r="AW568" s="58">
        <f t="shared" si="137"/>
        <v>-64.196508884804146</v>
      </c>
      <c r="AX568" s="58">
        <f t="shared" si="152"/>
        <v>-18.960452862516604</v>
      </c>
      <c r="AY568" s="33">
        <f t="shared" si="138"/>
        <v>-35.3866827635416</v>
      </c>
      <c r="AZ568" s="33">
        <f t="shared" si="139"/>
        <v>-9.4300369686156138</v>
      </c>
      <c r="BA568" s="39">
        <f t="shared" si="140"/>
        <v>-7.1056321595661274</v>
      </c>
      <c r="BB568" s="39">
        <f t="shared" si="141"/>
        <v>-1.290016103125025</v>
      </c>
      <c r="BC568" s="45">
        <f t="shared" si="142"/>
        <v>-21.704193961696415</v>
      </c>
      <c r="BD568" s="45">
        <f t="shared" si="143"/>
        <v>-8.2403997907759674</v>
      </c>
      <c r="BE568" s="64">
        <f t="shared" si="144"/>
        <v>14147267748.754992</v>
      </c>
      <c r="BF568" s="65">
        <f t="shared" si="145"/>
        <v>24794890184.122356</v>
      </c>
      <c r="BG568" s="66">
        <f t="shared" si="146"/>
        <v>22403326006.796825</v>
      </c>
    </row>
    <row r="569" spans="43:59" x14ac:dyDescent="0.25">
      <c r="AQ569" s="7">
        <v>554</v>
      </c>
      <c r="AR569" s="58">
        <f t="shared" si="147"/>
        <v>277</v>
      </c>
      <c r="AS569" s="58">
        <f t="shared" si="148"/>
        <v>134464.17190656022</v>
      </c>
      <c r="AT569" s="58">
        <f t="shared" si="149"/>
        <v>38547.66906954025</v>
      </c>
      <c r="AU569" s="58">
        <f t="shared" si="150"/>
        <v>-950.4590189010413</v>
      </c>
      <c r="AV569" s="58">
        <f t="shared" si="151"/>
        <v>835.51289600592418</v>
      </c>
      <c r="AW569" s="58">
        <f t="shared" si="137"/>
        <v>-64.438602921191375</v>
      </c>
      <c r="AX569" s="58">
        <f t="shared" si="152"/>
        <v>-19.313899056762079</v>
      </c>
      <c r="AY569" s="33">
        <f t="shared" si="138"/>
        <v>-35.546523641536467</v>
      </c>
      <c r="AZ569" s="33">
        <f t="shared" si="139"/>
        <v>-9.6417654905671046</v>
      </c>
      <c r="BA569" s="39">
        <f t="shared" si="140"/>
        <v>-7.1361636684393153</v>
      </c>
      <c r="BB569" s="39">
        <f t="shared" si="141"/>
        <v>-1.3188873271914376</v>
      </c>
      <c r="BC569" s="45">
        <f t="shared" si="142"/>
        <v>-21.755915611215585</v>
      </c>
      <c r="BD569" s="45">
        <f t="shared" si="143"/>
        <v>-8.3532462390035356</v>
      </c>
      <c r="BE569" s="64">
        <f t="shared" si="144"/>
        <v>14066004404.906256</v>
      </c>
      <c r="BF569" s="65">
        <f t="shared" si="145"/>
        <v>24674149812.083374</v>
      </c>
      <c r="BG569" s="66">
        <f t="shared" si="146"/>
        <v>22317608108.363579</v>
      </c>
    </row>
    <row r="570" spans="43:59" x14ac:dyDescent="0.25">
      <c r="AQ570" s="7">
        <v>555</v>
      </c>
      <c r="AR570" s="58">
        <f t="shared" si="147"/>
        <v>277.5</v>
      </c>
      <c r="AS570" s="58">
        <f t="shared" si="148"/>
        <v>133980.88757174456</v>
      </c>
      <c r="AT570" s="58">
        <f t="shared" si="149"/>
        <v>38963.011280161118</v>
      </c>
      <c r="AU570" s="58">
        <f t="shared" si="150"/>
        <v>-982.67832036163702</v>
      </c>
      <c r="AV570" s="58">
        <f t="shared" si="151"/>
        <v>825.85594647754317</v>
      </c>
      <c r="AW570" s="58">
        <f t="shared" si="137"/>
        <v>-64.695130102253174</v>
      </c>
      <c r="AX570" s="58">
        <f t="shared" si="152"/>
        <v>-19.676008517038035</v>
      </c>
      <c r="AY570" s="33">
        <f t="shared" si="138"/>
        <v>-35.715301900025622</v>
      </c>
      <c r="AZ570" s="33">
        <f t="shared" si="139"/>
        <v>-9.8587664168482014</v>
      </c>
      <c r="BA570" s="39">
        <f t="shared" si="140"/>
        <v>-7.1682091114865134</v>
      </c>
      <c r="BB570" s="39">
        <f t="shared" si="141"/>
        <v>-1.3483031863795705</v>
      </c>
      <c r="BC570" s="45">
        <f t="shared" si="142"/>
        <v>-21.81161909074104</v>
      </c>
      <c r="BD570" s="45">
        <f t="shared" si="143"/>
        <v>-8.4689389138102609</v>
      </c>
      <c r="BE570" s="64">
        <f t="shared" si="144"/>
        <v>13981563810.45822</v>
      </c>
      <c r="BF570" s="65">
        <f t="shared" si="145"/>
        <v>24548969759.796982</v>
      </c>
      <c r="BG570" s="66">
        <f t="shared" si="146"/>
        <v>22227693696.652695</v>
      </c>
    </row>
    <row r="571" spans="43:59" x14ac:dyDescent="0.25">
      <c r="AQ571" s="7">
        <v>556</v>
      </c>
      <c r="AR571" s="58">
        <f t="shared" si="147"/>
        <v>278</v>
      </c>
      <c r="AS571" s="58">
        <f t="shared" si="148"/>
        <v>133481.46152030095</v>
      </c>
      <c r="AT571" s="58">
        <f t="shared" si="149"/>
        <v>39373.479752335261</v>
      </c>
      <c r="AU571" s="58">
        <f t="shared" si="150"/>
        <v>-1015.0258854127636</v>
      </c>
      <c r="AV571" s="58">
        <f t="shared" si="151"/>
        <v>816.01794221902412</v>
      </c>
      <c r="AW571" s="58">
        <f t="shared" si="137"/>
        <v>-64.966400268948689</v>
      </c>
      <c r="AX571" s="58">
        <f t="shared" si="152"/>
        <v>-20.047195159777651</v>
      </c>
      <c r="AY571" s="33">
        <f t="shared" si="138"/>
        <v>-35.89323168307709</v>
      </c>
      <c r="AZ571" s="33">
        <f t="shared" si="139"/>
        <v>-10.081313528833746</v>
      </c>
      <c r="BA571" s="39">
        <f t="shared" si="140"/>
        <v>-7.2018051479236371</v>
      </c>
      <c r="BB571" s="39">
        <f t="shared" si="141"/>
        <v>-1.3782907433730567</v>
      </c>
      <c r="BC571" s="45">
        <f t="shared" si="142"/>
        <v>-21.871363437947966</v>
      </c>
      <c r="BD571" s="45">
        <f t="shared" si="143"/>
        <v>-8.5875908875708475</v>
      </c>
      <c r="BE571" s="64">
        <f t="shared" si="144"/>
        <v>13893960820.30607</v>
      </c>
      <c r="BF571" s="65">
        <f t="shared" si="145"/>
        <v>24419360343.168468</v>
      </c>
      <c r="BG571" s="66">
        <f t="shared" si="146"/>
        <v>22133590485.176205</v>
      </c>
    </row>
    <row r="572" spans="43:59" x14ac:dyDescent="0.25">
      <c r="AQ572" s="7">
        <v>557</v>
      </c>
      <c r="AR572" s="58">
        <f t="shared" si="147"/>
        <v>278.5</v>
      </c>
      <c r="AS572" s="58">
        <f t="shared" si="148"/>
        <v>132965.82777756095</v>
      </c>
      <c r="AT572" s="58">
        <f t="shared" si="149"/>
        <v>39778.982824049803</v>
      </c>
      <c r="AU572" s="58">
        <f t="shared" si="150"/>
        <v>-1047.5090855472379</v>
      </c>
      <c r="AV572" s="58">
        <f t="shared" si="151"/>
        <v>805.99434463913531</v>
      </c>
      <c r="AW572" s="58">
        <f t="shared" si="137"/>
        <v>-65.252743968064905</v>
      </c>
      <c r="AX572" s="58">
        <f t="shared" si="152"/>
        <v>-20.427893148730533</v>
      </c>
      <c r="AY572" s="33">
        <f t="shared" si="138"/>
        <v>-36.080541069916116</v>
      </c>
      <c r="AZ572" s="33">
        <f t="shared" si="139"/>
        <v>-10.309694430527474</v>
      </c>
      <c r="BA572" s="39">
        <f t="shared" si="140"/>
        <v>-7.2369906663546262</v>
      </c>
      <c r="BB572" s="39">
        <f t="shared" si="141"/>
        <v>-1.4088782042520809</v>
      </c>
      <c r="BC572" s="45">
        <f t="shared" si="142"/>
        <v>-21.935212231794157</v>
      </c>
      <c r="BD572" s="45">
        <f t="shared" si="143"/>
        <v>-8.7093205139509777</v>
      </c>
      <c r="BE572" s="64">
        <f t="shared" si="144"/>
        <v>13803210977.624863</v>
      </c>
      <c r="BF572" s="65">
        <f t="shared" si="145"/>
        <v>24285332285.709488</v>
      </c>
      <c r="BG572" s="66">
        <f t="shared" si="146"/>
        <v>22035306593.585152</v>
      </c>
    </row>
    <row r="573" spans="43:59" x14ac:dyDescent="0.25">
      <c r="AQ573" s="7">
        <v>558</v>
      </c>
      <c r="AR573" s="58">
        <f t="shared" si="147"/>
        <v>279</v>
      </c>
      <c r="AS573" s="58">
        <f t="shared" si="148"/>
        <v>132433.91664179132</v>
      </c>
      <c r="AT573" s="58">
        <f t="shared" si="149"/>
        <v>40179.426509725781</v>
      </c>
      <c r="AU573" s="58">
        <f t="shared" si="150"/>
        <v>-1080.1354575312703</v>
      </c>
      <c r="AV573" s="58">
        <f t="shared" si="151"/>
        <v>795.78039806477</v>
      </c>
      <c r="AW573" s="58">
        <f t="shared" si="137"/>
        <v>-65.554513441804914</v>
      </c>
      <c r="AX573" s="58">
        <f t="shared" si="152"/>
        <v>-20.818558337871615</v>
      </c>
      <c r="AY573" s="33">
        <f t="shared" si="138"/>
        <v>-36.277472782529401</v>
      </c>
      <c r="AZ573" s="33">
        <f t="shared" si="139"/>
        <v>-10.544211579253929</v>
      </c>
      <c r="BA573" s="39">
        <f t="shared" si="140"/>
        <v>-7.2738069017004152</v>
      </c>
      <c r="BB573" s="39">
        <f t="shared" si="141"/>
        <v>-1.4400949977009276</v>
      </c>
      <c r="BC573" s="45">
        <f t="shared" si="142"/>
        <v>-22.003233757575089</v>
      </c>
      <c r="BD573" s="45">
        <f t="shared" si="143"/>
        <v>-8.834251760916759</v>
      </c>
      <c r="BE573" s="64">
        <f t="shared" si="144"/>
        <v>13709330528.417849</v>
      </c>
      <c r="BF573" s="65">
        <f t="shared" si="145"/>
        <v>24146896727.212524</v>
      </c>
      <c r="BG573" s="66">
        <f t="shared" si="146"/>
        <v>21932850553.445076</v>
      </c>
    </row>
    <row r="574" spans="43:59" x14ac:dyDescent="0.25">
      <c r="AQ574" s="7">
        <v>559</v>
      </c>
      <c r="AR574" s="58">
        <f t="shared" si="147"/>
        <v>279.5</v>
      </c>
      <c r="AS574" s="58">
        <f t="shared" si="148"/>
        <v>131885.65459884546</v>
      </c>
      <c r="AT574" s="58">
        <f t="shared" si="149"/>
        <v>40574.714388965935</v>
      </c>
      <c r="AU574" s="58">
        <f t="shared" si="150"/>
        <v>-1112.9127142521727</v>
      </c>
      <c r="AV574" s="58">
        <f t="shared" si="151"/>
        <v>785.37111889583423</v>
      </c>
      <c r="AW574" s="58">
        <f t="shared" si="137"/>
        <v>-65.872083697171462</v>
      </c>
      <c r="AX574" s="58">
        <f t="shared" si="152"/>
        <v>-21.219669824614726</v>
      </c>
      <c r="AY574" s="33">
        <f t="shared" si="138"/>
        <v>-36.484284949849176</v>
      </c>
      <c r="AZ574" s="33">
        <f t="shared" si="139"/>
        <v>-10.785183397535947</v>
      </c>
      <c r="BA574" s="39">
        <f t="shared" si="140"/>
        <v>-7.3122975613419943</v>
      </c>
      <c r="BB574" s="39">
        <f t="shared" si="141"/>
        <v>-1.4719718597233675</v>
      </c>
      <c r="BC574" s="45">
        <f t="shared" si="142"/>
        <v>-22.075501185980297</v>
      </c>
      <c r="BD574" s="45">
        <f t="shared" si="143"/>
        <v>-8.9625145673554112</v>
      </c>
      <c r="BE574" s="64">
        <f t="shared" si="144"/>
        <v>13612336436.923819</v>
      </c>
      <c r="BF574" s="65">
        <f t="shared" si="145"/>
        <v>24004065232.886623</v>
      </c>
      <c r="BG574" s="66">
        <f t="shared" si="146"/>
        <v>21826231314.36956</v>
      </c>
    </row>
    <row r="575" spans="43:59" x14ac:dyDescent="0.25">
      <c r="AQ575" s="7">
        <v>560</v>
      </c>
      <c r="AR575" s="58">
        <f t="shared" si="147"/>
        <v>280</v>
      </c>
      <c r="AS575" s="58">
        <f t="shared" si="148"/>
        <v>131320.96423125721</v>
      </c>
      <c r="AT575" s="58">
        <f t="shared" si="149"/>
        <v>40964.747489685775</v>
      </c>
      <c r="AU575" s="58">
        <f t="shared" si="150"/>
        <v>-1145.8487561007585</v>
      </c>
      <c r="AV575" s="58">
        <f t="shared" si="151"/>
        <v>774.76128398352682</v>
      </c>
      <c r="AW575" s="58">
        <f t="shared" si="137"/>
        <v>-66.205853661210412</v>
      </c>
      <c r="AX575" s="58">
        <f t="shared" si="152"/>
        <v>-21.631731623847401</v>
      </c>
      <c r="AY575" s="33">
        <f t="shared" si="138"/>
        <v>-36.701251932939002</v>
      </c>
      <c r="AZ575" s="33">
        <f t="shared" si="139"/>
        <v>-11.032945474130978</v>
      </c>
      <c r="BA575" s="39">
        <f t="shared" si="140"/>
        <v>-7.3525089612303764</v>
      </c>
      <c r="BB575" s="39">
        <f t="shared" si="141"/>
        <v>-1.5045409243640198</v>
      </c>
      <c r="BC575" s="45">
        <f t="shared" si="142"/>
        <v>-22.152092767041037</v>
      </c>
      <c r="BD575" s="45">
        <f t="shared" si="143"/>
        <v>-9.0942452253524007</v>
      </c>
      <c r="BE575" s="64">
        <f t="shared" si="144"/>
        <v>13512246401.925278</v>
      </c>
      <c r="BF575" s="65">
        <f t="shared" si="145"/>
        <v>23856849802.977425</v>
      </c>
      <c r="BG575" s="66">
        <f t="shared" si="146"/>
        <v>21715458250.523998</v>
      </c>
    </row>
    <row r="576" spans="43:59" x14ac:dyDescent="0.25">
      <c r="AQ576" s="7">
        <v>561</v>
      </c>
      <c r="AR576" s="58">
        <f t="shared" si="147"/>
        <v>280.5</v>
      </c>
      <c r="AS576" s="58">
        <f t="shared" si="148"/>
        <v>130739.76412149919</v>
      </c>
      <c r="AT576" s="58">
        <f t="shared" si="149"/>
        <v>41349.424165224555</v>
      </c>
      <c r="AU576" s="58">
        <f t="shared" si="150"/>
        <v>-1178.9516829313636</v>
      </c>
      <c r="AV576" s="58">
        <f t="shared" si="151"/>
        <v>763.94541817160314</v>
      </c>
      <c r="AW576" s="58">
        <f t="shared" si="137"/>
        <v>-66.556247428761154</v>
      </c>
      <c r="AX576" s="58">
        <f t="shared" si="152"/>
        <v>-22.055274474398828</v>
      </c>
      <c r="AY576" s="33">
        <f t="shared" si="138"/>
        <v>-36.928665216029515</v>
      </c>
      <c r="AZ576" s="33">
        <f t="shared" si="139"/>
        <v>-11.287851863053385</v>
      </c>
      <c r="BA576" s="39">
        <f t="shared" si="140"/>
        <v>-7.394490172799741</v>
      </c>
      <c r="BB576" s="39">
        <f t="shared" si="141"/>
        <v>-1.5378358209837575</v>
      </c>
      <c r="BC576" s="45">
        <f t="shared" si="142"/>
        <v>-22.233092039931893</v>
      </c>
      <c r="BD576" s="45">
        <f t="shared" si="143"/>
        <v>-9.2295867903616848</v>
      </c>
      <c r="BE576" s="64">
        <f t="shared" si="144"/>
        <v>13409078874.002567</v>
      </c>
      <c r="BF576" s="65">
        <f t="shared" si="145"/>
        <v>23705262882.896385</v>
      </c>
      <c r="BG576" s="66">
        <f t="shared" si="146"/>
        <v>21600541167.512634</v>
      </c>
    </row>
    <row r="577" spans="43:59" x14ac:dyDescent="0.25">
      <c r="AQ577" s="7">
        <v>562</v>
      </c>
      <c r="AR577" s="58">
        <f t="shared" si="147"/>
        <v>281</v>
      </c>
      <c r="AS577" s="58">
        <f t="shared" si="148"/>
        <v>130141.96874910491</v>
      </c>
      <c r="AT577" s="58">
        <f t="shared" si="149"/>
        <v>41728.639965001057</v>
      </c>
      <c r="AU577" s="58">
        <f t="shared" si="150"/>
        <v>-1212.2298066457442</v>
      </c>
      <c r="AV577" s="58">
        <f t="shared" si="151"/>
        <v>752.91778093440371</v>
      </c>
      <c r="AW577" s="58">
        <f t="shared" si="137"/>
        <v>-66.923715610030797</v>
      </c>
      <c r="AX577" s="58">
        <f t="shared" si="152"/>
        <v>-22.490857790794088</v>
      </c>
      <c r="AY577" s="33">
        <f t="shared" si="138"/>
        <v>-37.16683436873182</v>
      </c>
      <c r="AZ577" s="33">
        <f t="shared" si="139"/>
        <v>-11.55027649037268</v>
      </c>
      <c r="BA577" s="39">
        <f t="shared" si="140"/>
        <v>-7.4382931815998745</v>
      </c>
      <c r="BB577" s="39">
        <f t="shared" si="141"/>
        <v>-1.5718917786903712</v>
      </c>
      <c r="BC577" s="45">
        <f t="shared" si="142"/>
        <v>-22.318588059699106</v>
      </c>
      <c r="BD577" s="45">
        <f t="shared" si="143"/>
        <v>-9.3686895217310351</v>
      </c>
      <c r="BE577" s="64">
        <f t="shared" si="144"/>
        <v>13302853073.782471</v>
      </c>
      <c r="BF577" s="65">
        <f t="shared" si="145"/>
        <v>23549317373.88586</v>
      </c>
      <c r="BG577" s="66">
        <f t="shared" si="146"/>
        <v>21481490309.662766</v>
      </c>
    </row>
    <row r="578" spans="43:59" x14ac:dyDescent="0.25">
      <c r="AQ578" s="7">
        <v>563</v>
      </c>
      <c r="AR578" s="58">
        <f t="shared" si="147"/>
        <v>281.5</v>
      </c>
      <c r="AS578" s="58">
        <f t="shared" si="148"/>
        <v>129527.48838133078</v>
      </c>
      <c r="AT578" s="58">
        <f t="shared" si="149"/>
        <v>42102.287498244405</v>
      </c>
      <c r="AU578" s="58">
        <f t="shared" si="150"/>
        <v>-1245.6916644507596</v>
      </c>
      <c r="AV578" s="58">
        <f t="shared" si="151"/>
        <v>741.67235203900668</v>
      </c>
      <c r="AW578" s="58">
        <f t="shared" si="137"/>
        <v>-67.308736786027225</v>
      </c>
      <c r="AX578" s="58">
        <f t="shared" si="152"/>
        <v>-22.939071774529936</v>
      </c>
      <c r="AY578" s="33">
        <f t="shared" si="138"/>
        <v>-37.416088085285502</v>
      </c>
      <c r="AZ578" s="33">
        <f t="shared" si="139"/>
        <v>-11.820614679660341</v>
      </c>
      <c r="BA578" s="39">
        <f t="shared" si="140"/>
        <v>-7.4839730586630786</v>
      </c>
      <c r="BB578" s="39">
        <f t="shared" si="141"/>
        <v>-1.6067457385869814</v>
      </c>
      <c r="BC578" s="45">
        <f t="shared" si="142"/>
        <v>-22.408675642078645</v>
      </c>
      <c r="BD578" s="45">
        <f t="shared" si="143"/>
        <v>-9.5117113562826106</v>
      </c>
      <c r="BE578" s="64">
        <f t="shared" si="144"/>
        <v>13193589011.233709</v>
      </c>
      <c r="BF578" s="65">
        <f t="shared" si="145"/>
        <v>23389026644.248955</v>
      </c>
      <c r="BG578" s="66">
        <f t="shared" si="146"/>
        <v>21358316367.721249</v>
      </c>
    </row>
    <row r="579" spans="43:59" x14ac:dyDescent="0.25">
      <c r="AQ579" s="7">
        <v>564</v>
      </c>
      <c r="AR579" s="58">
        <f t="shared" si="147"/>
        <v>282</v>
      </c>
      <c r="AS579" s="58">
        <f t="shared" si="148"/>
        <v>128896.22895700714</v>
      </c>
      <c r="AT579" s="58">
        <f t="shared" si="149"/>
        <v>42470.256290292091</v>
      </c>
      <c r="AU579" s="58">
        <f t="shared" si="150"/>
        <v>-1279.3460328437732</v>
      </c>
      <c r="AV579" s="58">
        <f t="shared" si="151"/>
        <v>730.20281615174167</v>
      </c>
      <c r="AW579" s="58">
        <f t="shared" si="137"/>
        <v>-67.711819080694553</v>
      </c>
      <c r="AX579" s="58">
        <f t="shared" si="152"/>
        <v>-23.400539700670031</v>
      </c>
      <c r="AY579" s="33">
        <f t="shared" si="138"/>
        <v>-37.676775307279179</v>
      </c>
      <c r="AZ579" s="33">
        <f t="shared" si="139"/>
        <v>-12.09928480817719</v>
      </c>
      <c r="BA579" s="39">
        <f t="shared" si="140"/>
        <v>-7.5315881457235854</v>
      </c>
      <c r="BB579" s="39">
        <f t="shared" si="141"/>
        <v>-1.6424364745676914</v>
      </c>
      <c r="BC579" s="45">
        <f t="shared" si="142"/>
        <v>-22.503455627691793</v>
      </c>
      <c r="BD579" s="45">
        <f t="shared" si="143"/>
        <v>-9.6588184179251471</v>
      </c>
      <c r="BE579" s="64">
        <f t="shared" si="144"/>
        <v>13081307506.065634</v>
      </c>
      <c r="BF579" s="65">
        <f t="shared" si="145"/>
        <v>23224404541.174747</v>
      </c>
      <c r="BG579" s="66">
        <f t="shared" si="146"/>
        <v>21231030486.979137</v>
      </c>
    </row>
    <row r="580" spans="43:59" x14ac:dyDescent="0.25">
      <c r="AQ580" s="7">
        <v>565</v>
      </c>
      <c r="AR580" s="58">
        <f t="shared" si="147"/>
        <v>282.5</v>
      </c>
      <c r="AS580" s="58">
        <f t="shared" si="148"/>
        <v>128248.09196320016</v>
      </c>
      <c r="AT580" s="58">
        <f t="shared" si="149"/>
        <v>42832.432630905372</v>
      </c>
      <c r="AU580" s="58">
        <f t="shared" si="150"/>
        <v>-1313.2019423841205</v>
      </c>
      <c r="AV580" s="58">
        <f t="shared" si="151"/>
        <v>718.50254630140671</v>
      </c>
      <c r="AW580" s="58">
        <f t="shared" si="137"/>
        <v>-68.133501859480035</v>
      </c>
      <c r="AX580" s="58">
        <f t="shared" si="152"/>
        <v>-23.875920397309123</v>
      </c>
      <c r="AY580" s="33">
        <f t="shared" si="138"/>
        <v>-37.949266436928013</v>
      </c>
      <c r="AZ580" s="33">
        <f t="shared" si="139"/>
        <v>-12.386730107269392</v>
      </c>
      <c r="BA580" s="39">
        <f t="shared" si="140"/>
        <v>-7.5812002555286346</v>
      </c>
      <c r="BB580" s="39">
        <f t="shared" si="141"/>
        <v>-1.6790047234660772</v>
      </c>
      <c r="BC580" s="45">
        <f t="shared" si="142"/>
        <v>-22.603035167023386</v>
      </c>
      <c r="BD580" s="45">
        <f t="shared" si="143"/>
        <v>-9.8101855665736526</v>
      </c>
      <c r="BE580" s="64">
        <f t="shared" si="144"/>
        <v>12966030209.290905</v>
      </c>
      <c r="BF580" s="65">
        <f t="shared" si="145"/>
        <v>23055465403.19239</v>
      </c>
      <c r="BG580" s="66">
        <f t="shared" si="146"/>
        <v>21099644275.841656</v>
      </c>
    </row>
    <row r="581" spans="43:59" x14ac:dyDescent="0.25">
      <c r="AQ581" s="7">
        <v>566</v>
      </c>
      <c r="AR581" s="58">
        <f t="shared" si="147"/>
        <v>283</v>
      </c>
      <c r="AS581" s="58">
        <f t="shared" si="148"/>
        <v>127582.97430427566</v>
      </c>
      <c r="AT581" s="58">
        <f t="shared" si="149"/>
        <v>43188.699414006413</v>
      </c>
      <c r="AU581" s="58">
        <f t="shared" si="150"/>
        <v>-1347.2686933138605</v>
      </c>
      <c r="AV581" s="58">
        <f t="shared" si="151"/>
        <v>706.56458610275217</v>
      </c>
      <c r="AW581" s="58">
        <f t="shared" si="137"/>
        <v>-68.574357565045858</v>
      </c>
      <c r="AX581" s="58">
        <f t="shared" si="152"/>
        <v>-24.365910937433902</v>
      </c>
      <c r="AY581" s="33">
        <f t="shared" si="138"/>
        <v>-38.233954648708725</v>
      </c>
      <c r="AZ581" s="33">
        <f t="shared" si="139"/>
        <v>-12.683420621996028</v>
      </c>
      <c r="BA581" s="39">
        <f t="shared" si="140"/>
        <v>-7.6328748886097095</v>
      </c>
      <c r="BB581" s="39">
        <f t="shared" si="141"/>
        <v>-1.7164933254461874</v>
      </c>
      <c r="BC581" s="45">
        <f t="shared" si="142"/>
        <v>-22.707528027727417</v>
      </c>
      <c r="BD581" s="45">
        <f t="shared" si="143"/>
        <v>-9.9659969899916891</v>
      </c>
      <c r="BE581" s="64">
        <f t="shared" si="144"/>
        <v>12847779626.017738</v>
      </c>
      <c r="BF581" s="65">
        <f t="shared" si="145"/>
        <v>22882224073.289757</v>
      </c>
      <c r="BG581" s="66">
        <f t="shared" si="146"/>
        <v>20964169814.861809</v>
      </c>
    </row>
    <row r="582" spans="43:59" x14ac:dyDescent="0.25">
      <c r="AQ582" s="7">
        <v>567</v>
      </c>
      <c r="AR582" s="58">
        <f t="shared" si="147"/>
        <v>283.5</v>
      </c>
      <c r="AS582" s="58">
        <f t="shared" si="148"/>
        <v>126900.76816292311</v>
      </c>
      <c r="AT582" s="58">
        <f t="shared" si="149"/>
        <v>43538.935968190613</v>
      </c>
      <c r="AU582" s="58">
        <f t="shared" si="150"/>
        <v>-1381.5558720963834</v>
      </c>
      <c r="AV582" s="58">
        <f t="shared" si="151"/>
        <v>694.38163063403522</v>
      </c>
      <c r="AW582" s="58">
        <f t="shared" si="137"/>
        <v>-69.034993701927931</v>
      </c>
      <c r="AX582" s="58">
        <f t="shared" si="152"/>
        <v>-24.871249564937656</v>
      </c>
      <c r="AY582" s="33">
        <f t="shared" si="138"/>
        <v>-38.531257307938951</v>
      </c>
      <c r="AZ582" s="33">
        <f t="shared" si="139"/>
        <v>-12.989855346767394</v>
      </c>
      <c r="BA582" s="39">
        <f t="shared" si="140"/>
        <v>-7.6866814680321331</v>
      </c>
      <c r="BB582" s="39">
        <f t="shared" si="141"/>
        <v>-1.7549473756208387</v>
      </c>
      <c r="BC582" s="45">
        <f t="shared" si="142"/>
        <v>-22.81705492595685</v>
      </c>
      <c r="BD582" s="45">
        <f t="shared" si="143"/>
        <v>-10.126446842549422</v>
      </c>
      <c r="BE582" s="64">
        <f t="shared" si="144"/>
        <v>12726579139.542377</v>
      </c>
      <c r="BF582" s="65">
        <f t="shared" si="145"/>
        <v>22704695912.735275</v>
      </c>
      <c r="BG582" s="66">
        <f t="shared" si="146"/>
        <v>20824619666.257111</v>
      </c>
    </row>
    <row r="583" spans="43:59" x14ac:dyDescent="0.25">
      <c r="AQ583" s="7">
        <v>568</v>
      </c>
      <c r="AR583" s="58">
        <f t="shared" si="147"/>
        <v>284</v>
      </c>
      <c r="AS583" s="58">
        <f t="shared" si="148"/>
        <v>126201.36085266217</v>
      </c>
      <c r="AT583" s="58">
        <f t="shared" si="149"/>
        <v>43883.017877312013</v>
      </c>
      <c r="AU583" s="58">
        <f t="shared" si="150"/>
        <v>-1416.0733689473473</v>
      </c>
      <c r="AV583" s="58">
        <f t="shared" si="151"/>
        <v>681.94600585156638</v>
      </c>
      <c r="AW583" s="58">
        <f t="shared" si="137"/>
        <v>-69.516054983162348</v>
      </c>
      <c r="AX583" s="58">
        <f t="shared" si="152"/>
        <v>-25.392718879069335</v>
      </c>
      <c r="AY583" s="33">
        <f t="shared" si="138"/>
        <v>-38.841617505775275</v>
      </c>
      <c r="AZ583" s="33">
        <f t="shared" si="139"/>
        <v>-13.306564555767769</v>
      </c>
      <c r="BA583" s="39">
        <f t="shared" si="140"/>
        <v>-7.7426935938076555</v>
      </c>
      <c r="BB583" s="39">
        <f t="shared" si="141"/>
        <v>-1.7944143879886252</v>
      </c>
      <c r="BC583" s="45">
        <f t="shared" si="142"/>
        <v>-22.931743883579419</v>
      </c>
      <c r="BD583" s="45">
        <f t="shared" si="143"/>
        <v>-10.291739935312942</v>
      </c>
      <c r="BE583" s="64">
        <f t="shared" si="144"/>
        <v>12602453036.818171</v>
      </c>
      <c r="BF583" s="65">
        <f t="shared" si="145"/>
        <v>22522896815.644588</v>
      </c>
      <c r="BG583" s="66">
        <f t="shared" si="146"/>
        <v>20681006883.930325</v>
      </c>
    </row>
    <row r="584" spans="43:59" x14ac:dyDescent="0.25">
      <c r="AQ584" s="7">
        <v>569</v>
      </c>
      <c r="AR584" s="58">
        <f t="shared" si="147"/>
        <v>284.5</v>
      </c>
      <c r="AS584" s="58">
        <f t="shared" si="148"/>
        <v>125484.63466131561</v>
      </c>
      <c r="AT584" s="58">
        <f t="shared" si="149"/>
        <v>44220.816790377918</v>
      </c>
      <c r="AU584" s="58">
        <f t="shared" si="150"/>
        <v>-1450.8313964389286</v>
      </c>
      <c r="AV584" s="58">
        <f t="shared" si="151"/>
        <v>669.24964641203167</v>
      </c>
      <c r="AW584" s="58">
        <f t="shared" si="137"/>
        <v>-70.018225653239554</v>
      </c>
      <c r="AX584" s="58">
        <f t="shared" si="152"/>
        <v>-25.931149304448791</v>
      </c>
      <c r="AY584" s="33">
        <f t="shared" si="138"/>
        <v>-39.165505721077096</v>
      </c>
      <c r="AZ584" s="33">
        <f t="shared" si="139"/>
        <v>-13.634112349195041</v>
      </c>
      <c r="BA584" s="39">
        <f t="shared" si="140"/>
        <v>-7.800989318838095</v>
      </c>
      <c r="BB584" s="39">
        <f t="shared" si="141"/>
        <v>-1.8349444728999771</v>
      </c>
      <c r="BC584" s="45">
        <f t="shared" si="142"/>
        <v>-23.051730613324366</v>
      </c>
      <c r="BD584" s="45">
        <f t="shared" si="143"/>
        <v>-10.462092482353773</v>
      </c>
      <c r="BE584" s="64">
        <f t="shared" si="144"/>
        <v>12475426535.383726</v>
      </c>
      <c r="BF584" s="65">
        <f t="shared" si="145"/>
        <v>22336843224.337078</v>
      </c>
      <c r="BG584" s="66">
        <f t="shared" si="146"/>
        <v>20533345024.016514</v>
      </c>
    </row>
    <row r="585" spans="43:59" x14ac:dyDescent="0.25">
      <c r="AQ585" s="7">
        <v>570</v>
      </c>
      <c r="AR585" s="58">
        <f t="shared" si="147"/>
        <v>285</v>
      </c>
      <c r="AS585" s="58">
        <f t="shared" si="148"/>
        <v>124750.46668488948</v>
      </c>
      <c r="AT585" s="58">
        <f t="shared" si="149"/>
        <v>44552.20021992088</v>
      </c>
      <c r="AU585" s="58">
        <f t="shared" si="150"/>
        <v>-1485.8405092655482</v>
      </c>
      <c r="AV585" s="58">
        <f t="shared" si="151"/>
        <v>656.28407175980726</v>
      </c>
      <c r="AW585" s="58">
        <f t="shared" si="137"/>
        <v>-70.542232003251357</v>
      </c>
      <c r="AX585" s="58">
        <f t="shared" si="152"/>
        <v>-26.487422877016037</v>
      </c>
      <c r="AY585" s="33">
        <f t="shared" si="138"/>
        <v>-39.503421620668647</v>
      </c>
      <c r="AZ585" s="33">
        <f t="shared" si="139"/>
        <v>-13.97309943891741</v>
      </c>
      <c r="BA585" s="39">
        <f t="shared" si="140"/>
        <v>-7.8616514484721156</v>
      </c>
      <c r="BB585" s="39">
        <f t="shared" si="141"/>
        <v>-1.8765905293982432</v>
      </c>
      <c r="BC585" s="45">
        <f t="shared" si="142"/>
        <v>-23.17715893411059</v>
      </c>
      <c r="BD585" s="45">
        <f t="shared" si="143"/>
        <v>-10.637732908700386</v>
      </c>
      <c r="BE585" s="64">
        <f t="shared" si="144"/>
        <v>12345525811.839249</v>
      </c>
      <c r="BF585" s="65">
        <f t="shared" si="145"/>
        <v>22146552145.530804</v>
      </c>
      <c r="BG585" s="66">
        <f t="shared" si="146"/>
        <v>20381648155.98016</v>
      </c>
    </row>
    <row r="586" spans="43:59" x14ac:dyDescent="0.25">
      <c r="AQ586" s="7">
        <v>571</v>
      </c>
      <c r="AR586" s="58">
        <f t="shared" si="147"/>
        <v>285.5</v>
      </c>
      <c r="AS586" s="58">
        <f t="shared" si="148"/>
        <v>123998.7286512563</v>
      </c>
      <c r="AT586" s="58">
        <f t="shared" si="149"/>
        <v>44877.031327941157</v>
      </c>
      <c r="AU586" s="58">
        <f t="shared" si="150"/>
        <v>-1521.1116252671738</v>
      </c>
      <c r="AV586" s="58">
        <f t="shared" si="151"/>
        <v>643.0403603212992</v>
      </c>
      <c r="AW586" s="58">
        <f t="shared" si="137"/>
        <v>-71.088845095763517</v>
      </c>
      <c r="AX586" s="58">
        <f t="shared" si="152"/>
        <v>-27.06247737995443</v>
      </c>
      <c r="AY586" s="33">
        <f t="shared" si="138"/>
        <v>-39.855896010745411</v>
      </c>
      <c r="AZ586" s="33">
        <f t="shared" si="139"/>
        <v>-14.324166200072108</v>
      </c>
      <c r="BA586" s="39">
        <f t="shared" si="140"/>
        <v>-7.9247678659890797</v>
      </c>
      <c r="BB586" s="39">
        <f t="shared" si="141"/>
        <v>-1.9194084539325629</v>
      </c>
      <c r="BC586" s="45">
        <f t="shared" si="142"/>
        <v>-23.30818121902902</v>
      </c>
      <c r="BD586" s="45">
        <f t="shared" si="143"/>
        <v>-10.81890272594976</v>
      </c>
      <c r="BE586" s="64">
        <f t="shared" si="144"/>
        <v>12212778031.967533</v>
      </c>
      <c r="BF586" s="65">
        <f t="shared" si="145"/>
        <v>21952041167.428329</v>
      </c>
      <c r="BG586" s="66">
        <f t="shared" si="146"/>
        <v>20225930874.287701</v>
      </c>
    </row>
    <row r="587" spans="43:59" x14ac:dyDescent="0.25">
      <c r="AQ587" s="7">
        <v>572</v>
      </c>
      <c r="AR587" s="58">
        <f t="shared" si="147"/>
        <v>286</v>
      </c>
      <c r="AS587" s="58">
        <f t="shared" si="148"/>
        <v>123229.28673298575</v>
      </c>
      <c r="AT587" s="58">
        <f t="shared" si="149"/>
        <v>45195.168698429312</v>
      </c>
      <c r="AU587" s="58">
        <f t="shared" si="150"/>
        <v>-1556.6560478150557</v>
      </c>
      <c r="AV587" s="58">
        <f t="shared" si="151"/>
        <v>629.50912163132193</v>
      </c>
      <c r="AW587" s="58">
        <f t="shared" si="137"/>
        <v>-71.658883718807459</v>
      </c>
      <c r="AX587" s="58">
        <f t="shared" si="152"/>
        <v>-27.657310867802643</v>
      </c>
      <c r="AY587" s="33">
        <f t="shared" si="138"/>
        <v>-40.223492953510871</v>
      </c>
      <c r="AZ587" s="33">
        <f t="shared" si="139"/>
        <v>-14.68799601846111</v>
      </c>
      <c r="BA587" s="39">
        <f t="shared" si="140"/>
        <v>-7.9904318865929325</v>
      </c>
      <c r="BB587" s="39">
        <f t="shared" si="141"/>
        <v>-1.9634573671110862</v>
      </c>
      <c r="BC587" s="45">
        <f t="shared" si="142"/>
        <v>-23.444958878703655</v>
      </c>
      <c r="BD587" s="45">
        <f t="shared" si="143"/>
        <v>-11.005857482230446</v>
      </c>
      <c r="BE587" s="64">
        <f t="shared" si="144"/>
        <v>12077211382.604034</v>
      </c>
      <c r="BF587" s="65">
        <f t="shared" si="145"/>
        <v>21753328477.750748</v>
      </c>
      <c r="BG587" s="66">
        <f t="shared" si="146"/>
        <v>20066208310.68264</v>
      </c>
    </row>
    <row r="588" spans="43:59" x14ac:dyDescent="0.25">
      <c r="AQ588" s="7">
        <v>573</v>
      </c>
      <c r="AR588" s="58">
        <f t="shared" si="147"/>
        <v>286.5</v>
      </c>
      <c r="AS588" s="58">
        <f t="shared" si="148"/>
        <v>122442.00134861338</v>
      </c>
      <c r="AT588" s="58">
        <f t="shared" si="149"/>
        <v>45506.466095386495</v>
      </c>
      <c r="AU588" s="58">
        <f t="shared" si="150"/>
        <v>-1592.4854896744594</v>
      </c>
      <c r="AV588" s="58">
        <f t="shared" si="151"/>
        <v>615.68046619742063</v>
      </c>
      <c r="AW588" s="58">
        <f t="shared" si="137"/>
        <v>-72.25321759047543</v>
      </c>
      <c r="AX588" s="58">
        <f t="shared" si="152"/>
        <v>-28.272986621731835</v>
      </c>
      <c r="AY588" s="33">
        <f t="shared" si="138"/>
        <v>-40.606812064642774</v>
      </c>
      <c r="AZ588" s="33">
        <f t="shared" si="139"/>
        <v>-15.065318967408739</v>
      </c>
      <c r="BA588" s="39">
        <f t="shared" si="140"/>
        <v>-8.0587426428004836</v>
      </c>
      <c r="BB588" s="39">
        <f t="shared" si="141"/>
        <v>-2.0087998603568211</v>
      </c>
      <c r="BC588" s="45">
        <f t="shared" si="142"/>
        <v>-23.587662883032181</v>
      </c>
      <c r="BD588" s="45">
        <f t="shared" si="143"/>
        <v>-11.198867793966276</v>
      </c>
      <c r="BE588" s="64">
        <f t="shared" si="144"/>
        <v>11938855105.36907</v>
      </c>
      <c r="BF588" s="65">
        <f t="shared" si="145"/>
        <v>21550432882.781208</v>
      </c>
      <c r="BG588" s="66">
        <f t="shared" si="146"/>
        <v>19902496147.092129</v>
      </c>
    </row>
    <row r="589" spans="43:59" x14ac:dyDescent="0.25">
      <c r="AQ589" s="7">
        <v>574</v>
      </c>
      <c r="AR589" s="58">
        <f t="shared" si="147"/>
        <v>287</v>
      </c>
      <c r="AS589" s="58">
        <f t="shared" si="148"/>
        <v>121636.72695157734</v>
      </c>
      <c r="AT589" s="58">
        <f t="shared" si="149"/>
        <v>45810.772205157489</v>
      </c>
      <c r="AU589" s="58">
        <f t="shared" si="150"/>
        <v>-1628.612098469697</v>
      </c>
      <c r="AV589" s="58">
        <f t="shared" si="151"/>
        <v>601.54397288655468</v>
      </c>
      <c r="AW589" s="58">
        <f t="shared" si="137"/>
        <v>-72.87277083791453</v>
      </c>
      <c r="AX589" s="58">
        <f t="shared" si="152"/>
        <v>-28.910638584388117</v>
      </c>
      <c r="AY589" s="33">
        <f t="shared" si="138"/>
        <v>-41.006491008852905</v>
      </c>
      <c r="AZ589" s="33">
        <f t="shared" si="139"/>
        <v>-15.456915852096136</v>
      </c>
      <c r="BA589" s="39">
        <f t="shared" si="140"/>
        <v>-8.1298055044471162</v>
      </c>
      <c r="BB589" s="39">
        <f t="shared" si="141"/>
        <v>-2.0555022645469916</v>
      </c>
      <c r="BC589" s="45">
        <f t="shared" si="142"/>
        <v>-23.736474324614509</v>
      </c>
      <c r="BD589" s="45">
        <f t="shared" si="143"/>
        <v>-11.398220467744988</v>
      </c>
      <c r="BE589" s="64">
        <f t="shared" si="144"/>
        <v>11797739532.384954</v>
      </c>
      <c r="BF589" s="65">
        <f t="shared" si="145"/>
        <v>21343373827.485359</v>
      </c>
      <c r="BG589" s="66">
        <f t="shared" si="146"/>
        <v>19734810629.195908</v>
      </c>
    </row>
    <row r="590" spans="43:59" x14ac:dyDescent="0.25">
      <c r="AQ590" s="7">
        <v>575</v>
      </c>
      <c r="AR590" s="58">
        <f t="shared" si="147"/>
        <v>287.5</v>
      </c>
      <c r="AS590" s="58">
        <f t="shared" si="148"/>
        <v>120813.31180598776</v>
      </c>
      <c r="AT590" s="58">
        <f t="shared" si="149"/>
        <v>46107.930361777719</v>
      </c>
      <c r="AU590" s="58">
        <f t="shared" si="150"/>
        <v>-1665.0484838886543</v>
      </c>
      <c r="AV590" s="58">
        <f t="shared" si="151"/>
        <v>587.08865359436061</v>
      </c>
      <c r="AW590" s="58">
        <f t="shared" si="137"/>
        <v>-73.518525777122846</v>
      </c>
      <c r="AX590" s="58">
        <f t="shared" si="152"/>
        <v>-29.571477328908038</v>
      </c>
      <c r="AY590" s="33">
        <f t="shared" si="138"/>
        <v>-41.423208212676833</v>
      </c>
      <c r="AZ590" s="33">
        <f t="shared" si="139"/>
        <v>-15.863622664377727</v>
      </c>
      <c r="BA590" s="39">
        <f t="shared" si="140"/>
        <v>-8.2037325369238534</v>
      </c>
      <c r="BB590" s="39">
        <f t="shared" si="141"/>
        <v>-2.1036349429663828</v>
      </c>
      <c r="BC590" s="45">
        <f t="shared" si="142"/>
        <v>-23.891585027522154</v>
      </c>
      <c r="BD590" s="45">
        <f t="shared" si="143"/>
        <v>-11.604219721563927</v>
      </c>
      <c r="BE590" s="64">
        <f t="shared" si="144"/>
        <v>11653896124.111189</v>
      </c>
      <c r="BF590" s="65">
        <f t="shared" si="145"/>
        <v>21132171416.781322</v>
      </c>
      <c r="BG590" s="66">
        <f t="shared" si="146"/>
        <v>19563168580.690575</v>
      </c>
    </row>
    <row r="591" spans="43:59" x14ac:dyDescent="0.25">
      <c r="AQ591" s="7">
        <v>576</v>
      </c>
      <c r="AR591" s="58">
        <f t="shared" si="147"/>
        <v>288</v>
      </c>
      <c r="AS591" s="58">
        <f t="shared" si="148"/>
        <v>119971.59774832129</v>
      </c>
      <c r="AT591" s="58">
        <f t="shared" si="149"/>
        <v>46397.778253908786</v>
      </c>
      <c r="AU591" s="58">
        <f t="shared" si="150"/>
        <v>-1701.8077467772157</v>
      </c>
      <c r="AV591" s="58">
        <f t="shared" si="151"/>
        <v>572.30291492990659</v>
      </c>
      <c r="AW591" s="58">
        <f t="shared" si="137"/>
        <v>-74.191527022873643</v>
      </c>
      <c r="AX591" s="58">
        <f t="shared" si="152"/>
        <v>-30.256796623826098</v>
      </c>
      <c r="AY591" s="33">
        <f t="shared" si="138"/>
        <v>-41.857685815734371</v>
      </c>
      <c r="AZ591" s="33">
        <f t="shared" si="139"/>
        <v>-16.286335496819227</v>
      </c>
      <c r="BA591" s="39">
        <f t="shared" si="140"/>
        <v>-8.2806430016950276</v>
      </c>
      <c r="BB591" s="39">
        <f t="shared" si="141"/>
        <v>-2.1532726111865217</v>
      </c>
      <c r="BC591" s="45">
        <f t="shared" si="142"/>
        <v>-24.05319820544425</v>
      </c>
      <c r="BD591" s="45">
        <f t="shared" si="143"/>
        <v>-11.81718851582035</v>
      </c>
      <c r="BE591" s="64">
        <f t="shared" si="144"/>
        <v>11507357509.442419</v>
      </c>
      <c r="BF591" s="65">
        <f t="shared" si="145"/>
        <v>20916846438.038582</v>
      </c>
      <c r="BG591" s="66">
        <f t="shared" si="146"/>
        <v>19387587418.284378</v>
      </c>
    </row>
    <row r="592" spans="43:59" x14ac:dyDescent="0.25">
      <c r="AQ592" s="7">
        <v>577</v>
      </c>
      <c r="AR592" s="58">
        <f t="shared" si="147"/>
        <v>288.5</v>
      </c>
      <c r="AS592" s="58">
        <f t="shared" si="148"/>
        <v>119111.41993405482</v>
      </c>
      <c r="AT592" s="58">
        <f t="shared" si="149"/>
        <v>46680.147611795765</v>
      </c>
      <c r="AU592" s="58">
        <f t="shared" si="150"/>
        <v>-1738.9035102886526</v>
      </c>
      <c r="AV592" s="58">
        <f t="shared" si="151"/>
        <v>557.1745166179935</v>
      </c>
      <c r="AW592" s="58">
        <f t="shared" ref="AW592:AW655" si="153">(AY592+BA592+BC592)</f>
        <v>-74.892885961339516</v>
      </c>
      <c r="AX592" s="58">
        <f t="shared" si="152"/>
        <v>-30.967980663739525</v>
      </c>
      <c r="AY592" s="33">
        <f t="shared" ref="AY592:AY655" si="154">$H$27*(($H$23-AS592)/(BE592+$H$28^2)^(3/2))</f>
        <v>-42.310692884017328</v>
      </c>
      <c r="AZ592" s="33">
        <f t="shared" ref="AZ592:AZ655" si="155">$H$27*(($I$23-AT592)/(BE592+$H$28^2)^(3/2))</f>
        <v>-16.72601597127915</v>
      </c>
      <c r="BA592" s="39">
        <f t="shared" ref="BA592:BA655" si="156">$H$35*(($H$31-AS592)/(BF592+$H$36^2)^(3/2))</f>
        <v>-8.3606639036503374</v>
      </c>
      <c r="BB592" s="39">
        <f t="shared" ref="BB592:BB655" si="157">$H$35*(($I$31-AT592)/(BF592+$H$36^2)^(3/2))</f>
        <v>-2.204494686804884</v>
      </c>
      <c r="BC592" s="45">
        <f t="shared" ref="BC592:BC655" si="158">$H$43*(($H$39-AS592)/(BG592+$H$44^2)^(3/2))</f>
        <v>-24.221529173671858</v>
      </c>
      <c r="BD592" s="45">
        <f t="shared" ref="BD592:BD655" si="159">$H$43*(($I$39-AT592)/(BG592+$H$44^2)^(3/2))</f>
        <v>-12.037470005655489</v>
      </c>
      <c r="BE592" s="64">
        <f t="shared" ref="BE592:BE655" si="160">($H$23-AS592)^2+($I$23-AT592)^2</f>
        <v>11358157528.226664</v>
      </c>
      <c r="BF592" s="65">
        <f t="shared" ref="BF592:BF655" si="161">($H$31-AS592)^2+($I$31-AT592)^2</f>
        <v>20697420384.892078</v>
      </c>
      <c r="BG592" s="66">
        <f t="shared" ref="BG592:BG655" si="162">($H$39-AS592)^2+($I$39-AT592)^2</f>
        <v>19208085167.460217</v>
      </c>
    </row>
    <row r="593" spans="43:59" x14ac:dyDescent="0.25">
      <c r="AQ593" s="7">
        <v>578</v>
      </c>
      <c r="AR593" s="58">
        <f t="shared" ref="AR593:AR656" si="163">AR592+$H$9</f>
        <v>289</v>
      </c>
      <c r="AS593" s="58">
        <f t="shared" ref="AS593:AS656" si="164">AS592+(AU592*$H$9)+(AW592*$H$9^2)*(1/2)</f>
        <v>118232.60656816533</v>
      </c>
      <c r="AT593" s="58">
        <f t="shared" ref="AT593:AT656" si="165">AT592+(AV592*$H$9)+(AX592*$H$9^2)*(1/2)</f>
        <v>46954.86387252179</v>
      </c>
      <c r="AU593" s="58">
        <f t="shared" ref="AU593:AU656" si="166">AU592+AW592*$H$9</f>
        <v>-1776.3499532693222</v>
      </c>
      <c r="AV593" s="58">
        <f t="shared" ref="AV593:AV656" si="167">AV592+AX592*$H$9</f>
        <v>541.69052628612371</v>
      </c>
      <c r="AW593" s="58">
        <f t="shared" si="153"/>
        <v>-75.623785621674827</v>
      </c>
      <c r="AX593" s="58">
        <f t="shared" ref="AX593:AX656" si="168">(AZ593+BB593+BD593)</f>
        <v>-31.706512044979064</v>
      </c>
      <c r="AY593" s="33">
        <f t="shared" si="154"/>
        <v>-42.783048911396826</v>
      </c>
      <c r="AZ593" s="33">
        <f t="shared" si="155"/>
        <v>-17.183697244959809</v>
      </c>
      <c r="BA593" s="39">
        <f t="shared" si="156"/>
        <v>-8.4439305904135882</v>
      </c>
      <c r="BB593" s="39">
        <f t="shared" si="157"/>
        <v>-2.2573856723441099</v>
      </c>
      <c r="BC593" s="45">
        <f t="shared" si="158"/>
        <v>-24.396806119864415</v>
      </c>
      <c r="BD593" s="45">
        <f t="shared" si="159"/>
        <v>-12.265429127675144</v>
      </c>
      <c r="BE593" s="64">
        <f t="shared" si="160"/>
        <v>11206331276.375183</v>
      </c>
      <c r="BF593" s="65">
        <f t="shared" si="161"/>
        <v>20473915482.465801</v>
      </c>
      <c r="BG593" s="66">
        <f t="shared" si="162"/>
        <v>19024680479.046928</v>
      </c>
    </row>
    <row r="594" spans="43:59" x14ac:dyDescent="0.25">
      <c r="AQ594" s="7">
        <v>579</v>
      </c>
      <c r="AR594" s="58">
        <f t="shared" si="163"/>
        <v>289.5</v>
      </c>
      <c r="AS594" s="58">
        <f t="shared" si="164"/>
        <v>117334.97861832795</v>
      </c>
      <c r="AT594" s="58">
        <f t="shared" si="165"/>
        <v>47221.745821659228</v>
      </c>
      <c r="AU594" s="58">
        <f t="shared" si="166"/>
        <v>-1814.1618460801596</v>
      </c>
      <c r="AV594" s="58">
        <f t="shared" si="167"/>
        <v>525.8372702636342</v>
      </c>
      <c r="AW594" s="58">
        <f t="shared" si="153"/>
        <v>-76.38548598691483</v>
      </c>
      <c r="AX594" s="58">
        <f t="shared" si="168"/>
        <v>-32.473980576327044</v>
      </c>
      <c r="AY594" s="33">
        <f t="shared" si="154"/>
        <v>-43.275627638456591</v>
      </c>
      <c r="AZ594" s="33">
        <f t="shared" si="155"/>
        <v>-17.660490665622472</v>
      </c>
      <c r="BA594" s="39">
        <f t="shared" si="156"/>
        <v>-8.5305874093840757</v>
      </c>
      <c r="BB594" s="39">
        <f t="shared" si="157"/>
        <v>-2.3120355750298685</v>
      </c>
      <c r="BC594" s="45">
        <f t="shared" si="158"/>
        <v>-24.579270939074171</v>
      </c>
      <c r="BD594" s="45">
        <f t="shared" si="159"/>
        <v>-12.501454335674705</v>
      </c>
      <c r="BE594" s="64">
        <f t="shared" si="160"/>
        <v>11051915153.750862</v>
      </c>
      <c r="BF594" s="65">
        <f t="shared" si="161"/>
        <v>20246354714.108799</v>
      </c>
      <c r="BG594" s="66">
        <f t="shared" si="162"/>
        <v>18837392646.641926</v>
      </c>
    </row>
    <row r="595" spans="43:59" x14ac:dyDescent="0.25">
      <c r="AQ595" s="7">
        <v>580</v>
      </c>
      <c r="AR595" s="58">
        <f t="shared" si="163"/>
        <v>290</v>
      </c>
      <c r="AS595" s="58">
        <f t="shared" si="164"/>
        <v>116418.3495095395</v>
      </c>
      <c r="AT595" s="58">
        <f t="shared" si="165"/>
        <v>47480.605209219008</v>
      </c>
      <c r="AU595" s="58">
        <f t="shared" si="166"/>
        <v>-1852.354589073617</v>
      </c>
      <c r="AV595" s="58">
        <f t="shared" si="167"/>
        <v>509.6002799754707</v>
      </c>
      <c r="AW595" s="58">
        <f t="shared" si="153"/>
        <v>-77.179329789184536</v>
      </c>
      <c r="AX595" s="58">
        <f t="shared" si="168"/>
        <v>-33.272093027291426</v>
      </c>
      <c r="AY595" s="33">
        <f t="shared" si="154"/>
        <v>-43.789361221043052</v>
      </c>
      <c r="AZ595" s="33">
        <f t="shared" si="155"/>
        <v>-18.157593157816834</v>
      </c>
      <c r="BA595" s="39">
        <f t="shared" si="156"/>
        <v>-8.6207884290340804</v>
      </c>
      <c r="BB595" s="39">
        <f t="shared" si="157"/>
        <v>-2.3685403676448602</v>
      </c>
      <c r="BC595" s="45">
        <f t="shared" si="158"/>
        <v>-24.769180139107405</v>
      </c>
      <c r="BD595" s="45">
        <f t="shared" si="159"/>
        <v>-12.745959501829729</v>
      </c>
      <c r="BE595" s="64">
        <f t="shared" si="160"/>
        <v>10894946915.039146</v>
      </c>
      <c r="BF595" s="65">
        <f t="shared" si="161"/>
        <v>20014761849.756207</v>
      </c>
      <c r="BG595" s="66">
        <f t="shared" si="162"/>
        <v>18646241624.930977</v>
      </c>
    </row>
    <row r="596" spans="43:59" x14ac:dyDescent="0.25">
      <c r="AQ596" s="7">
        <v>581</v>
      </c>
      <c r="AR596" s="58">
        <f t="shared" si="163"/>
        <v>290.5</v>
      </c>
      <c r="AS596" s="58">
        <f t="shared" si="164"/>
        <v>115482.52479877905</v>
      </c>
      <c r="AT596" s="58">
        <f t="shared" si="165"/>
        <v>47731.246337578326</v>
      </c>
      <c r="AU596" s="58">
        <f t="shared" si="166"/>
        <v>-1890.9442539682093</v>
      </c>
      <c r="AV596" s="58">
        <f t="shared" si="167"/>
        <v>492.96423346182496</v>
      </c>
      <c r="AW596" s="58">
        <f t="shared" si="153"/>
        <v>-78.006748839411372</v>
      </c>
      <c r="AX596" s="58">
        <f t="shared" si="168"/>
        <v>-34.10268393086222</v>
      </c>
      <c r="AY596" s="33">
        <f t="shared" si="154"/>
        <v>-44.325244784588577</v>
      </c>
      <c r="AZ596" s="33">
        <f t="shared" si="155"/>
        <v>-18.676295433748784</v>
      </c>
      <c r="BA596" s="39">
        <f t="shared" si="156"/>
        <v>-8.7146982318433768</v>
      </c>
      <c r="BB596" s="39">
        <f t="shared" si="157"/>
        <v>-2.4270024952052265</v>
      </c>
      <c r="BC596" s="45">
        <f t="shared" si="158"/>
        <v>-24.966805822979417</v>
      </c>
      <c r="BD596" s="45">
        <f t="shared" si="159"/>
        <v>-12.999386001908208</v>
      </c>
      <c r="BE596" s="64">
        <f t="shared" si="160"/>
        <v>10735465723.824368</v>
      </c>
      <c r="BF596" s="65">
        <f t="shared" si="161"/>
        <v>19779161476.038799</v>
      </c>
      <c r="BG596" s="66">
        <f t="shared" si="162"/>
        <v>18451248048.954342</v>
      </c>
    </row>
    <row r="597" spans="43:59" x14ac:dyDescent="0.25">
      <c r="AQ597" s="7">
        <v>582</v>
      </c>
      <c r="AR597" s="58">
        <f t="shared" si="163"/>
        <v>291</v>
      </c>
      <c r="AS597" s="58">
        <f t="shared" si="164"/>
        <v>114527.30182819001</v>
      </c>
      <c r="AT597" s="58">
        <f t="shared" si="165"/>
        <v>47973.465618817878</v>
      </c>
      <c r="AU597" s="58">
        <f t="shared" si="166"/>
        <v>-1929.9476283879151</v>
      </c>
      <c r="AV597" s="58">
        <f t="shared" si="167"/>
        <v>475.91289149639385</v>
      </c>
      <c r="AW597" s="58">
        <f t="shared" si="153"/>
        <v>-78.86927094759389</v>
      </c>
      <c r="AX597" s="58">
        <f t="shared" si="168"/>
        <v>-34.967727574389322</v>
      </c>
      <c r="AY597" s="33">
        <f t="shared" si="154"/>
        <v>-44.884341404380514</v>
      </c>
      <c r="AZ597" s="33">
        <f t="shared" si="155"/>
        <v>-19.217991136098661</v>
      </c>
      <c r="BA597" s="39">
        <f t="shared" si="156"/>
        <v>-8.8124927872377512</v>
      </c>
      <c r="BB597" s="39">
        <f t="shared" si="157"/>
        <v>-2.4875314328361098</v>
      </c>
      <c r="BC597" s="45">
        <f t="shared" si="158"/>
        <v>-25.172436755975628</v>
      </c>
      <c r="BD597" s="45">
        <f t="shared" si="159"/>
        <v>-13.262205005454552</v>
      </c>
      <c r="BE597" s="64">
        <f t="shared" si="160"/>
        <v>10573512210.115368</v>
      </c>
      <c r="BF597" s="65">
        <f t="shared" si="161"/>
        <v>19539579028.276478</v>
      </c>
      <c r="BG597" s="66">
        <f t="shared" si="162"/>
        <v>18252433254.371674</v>
      </c>
    </row>
    <row r="598" spans="43:59" x14ac:dyDescent="0.25">
      <c r="AQ598" s="7">
        <v>583</v>
      </c>
      <c r="AR598" s="58">
        <f t="shared" si="163"/>
        <v>291.5</v>
      </c>
      <c r="AS598" s="58">
        <f t="shared" si="164"/>
        <v>113552.4693551276</v>
      </c>
      <c r="AT598" s="58">
        <f t="shared" si="165"/>
        <v>48207.051098619275</v>
      </c>
      <c r="AU598" s="58">
        <f t="shared" si="166"/>
        <v>-1969.3822638617121</v>
      </c>
      <c r="AV598" s="58">
        <f t="shared" si="167"/>
        <v>458.4290277091992</v>
      </c>
      <c r="AW598" s="58">
        <f t="shared" si="153"/>
        <v>-79.768527496273549</v>
      </c>
      <c r="AX598" s="58">
        <f t="shared" si="168"/>
        <v>-35.869351331637333</v>
      </c>
      <c r="AY598" s="33">
        <f t="shared" si="154"/>
        <v>-45.467787556544423</v>
      </c>
      <c r="AZ598" s="33">
        <f t="shared" si="155"/>
        <v>-19.784187036041864</v>
      </c>
      <c r="BA598" s="39">
        <f t="shared" si="156"/>
        <v>-8.9143604140360111</v>
      </c>
      <c r="BB598" s="39">
        <f t="shared" si="157"/>
        <v>-2.5502443009490197</v>
      </c>
      <c r="BC598" s="45">
        <f t="shared" si="158"/>
        <v>-25.386379525693112</v>
      </c>
      <c r="BD598" s="45">
        <f t="shared" si="159"/>
        <v>-13.534919994646447</v>
      </c>
      <c r="BE598" s="64">
        <f t="shared" si="160"/>
        <v>10409128531.58769</v>
      </c>
      <c r="BF598" s="65">
        <f t="shared" si="161"/>
        <v>19296040824.504799</v>
      </c>
      <c r="BG598" s="66">
        <f t="shared" si="162"/>
        <v>18049819298.781937</v>
      </c>
    </row>
    <row r="599" spans="43:59" x14ac:dyDescent="0.25">
      <c r="AQ599" s="7">
        <v>584</v>
      </c>
      <c r="AR599" s="58">
        <f t="shared" si="163"/>
        <v>292</v>
      </c>
      <c r="AS599" s="58">
        <f t="shared" si="164"/>
        <v>112557.80715725971</v>
      </c>
      <c r="AT599" s="58">
        <f t="shared" si="165"/>
        <v>48431.78194355742</v>
      </c>
      <c r="AU599" s="58">
        <f t="shared" si="166"/>
        <v>-2009.2665276098489</v>
      </c>
      <c r="AV599" s="58">
        <f t="shared" si="167"/>
        <v>440.49435204338056</v>
      </c>
      <c r="AW599" s="58">
        <f t="shared" si="153"/>
        <v>-80.706261737296046</v>
      </c>
      <c r="AX599" s="58">
        <f t="shared" si="168"/>
        <v>-36.809850511685589</v>
      </c>
      <c r="AY599" s="33">
        <f t="shared" si="154"/>
        <v>-46.076799089671823</v>
      </c>
      <c r="AZ599" s="33">
        <f t="shared" si="155"/>
        <v>-20.376514428341498</v>
      </c>
      <c r="BA599" s="39">
        <f t="shared" si="156"/>
        <v>-9.020502843222225</v>
      </c>
      <c r="BB599" s="39">
        <f t="shared" si="157"/>
        <v>-2.6152665446606265</v>
      </c>
      <c r="BC599" s="45">
        <f t="shared" si="158"/>
        <v>-25.608959804402005</v>
      </c>
      <c r="BD599" s="45">
        <f t="shared" si="159"/>
        <v>-13.818069538683462</v>
      </c>
      <c r="BE599" s="64">
        <f t="shared" si="160"/>
        <v>10242358438.835411</v>
      </c>
      <c r="BF599" s="65">
        <f t="shared" si="161"/>
        <v>19048574101.698406</v>
      </c>
      <c r="BG599" s="66">
        <f t="shared" si="162"/>
        <v>17843428984.158478</v>
      </c>
    </row>
    <row r="600" spans="43:59" x14ac:dyDescent="0.25">
      <c r="AQ600" s="7">
        <v>585</v>
      </c>
      <c r="AR600" s="58">
        <f t="shared" si="163"/>
        <v>292.5</v>
      </c>
      <c r="AS600" s="58">
        <f t="shared" si="164"/>
        <v>111543.08561073763</v>
      </c>
      <c r="AT600" s="58">
        <f t="shared" si="165"/>
        <v>48647.427888265149</v>
      </c>
      <c r="AU600" s="58">
        <f t="shared" si="166"/>
        <v>-2049.6196584784971</v>
      </c>
      <c r="AV600" s="58">
        <f t="shared" si="167"/>
        <v>422.08942678753777</v>
      </c>
      <c r="AW600" s="58">
        <f t="shared" si="153"/>
        <v>-81.684337890325111</v>
      </c>
      <c r="AX600" s="58">
        <f t="shared" si="168"/>
        <v>-37.791704926730738</v>
      </c>
      <c r="AY600" s="33">
        <f t="shared" si="154"/>
        <v>-46.712677772783664</v>
      </c>
      <c r="AZ600" s="33">
        <f t="shared" si="155"/>
        <v>-20.996741887165825</v>
      </c>
      <c r="BA600" s="39">
        <f t="shared" si="156"/>
        <v>-9.1311363933815617</v>
      </c>
      <c r="BB600" s="39">
        <f t="shared" si="157"/>
        <v>-2.6827326853607065</v>
      </c>
      <c r="BC600" s="45">
        <f t="shared" si="158"/>
        <v>-25.84052372415988</v>
      </c>
      <c r="BD600" s="45">
        <f t="shared" si="159"/>
        <v>-14.112230354204206</v>
      </c>
      <c r="BE600" s="64">
        <f t="shared" si="160"/>
        <v>10073247344.954819</v>
      </c>
      <c r="BF600" s="65">
        <f t="shared" si="161"/>
        <v>18797207054.372501</v>
      </c>
      <c r="BG600" s="66">
        <f t="shared" si="162"/>
        <v>17633285880.463631</v>
      </c>
    </row>
    <row r="601" spans="43:59" x14ac:dyDescent="0.25">
      <c r="AQ601" s="7">
        <v>586</v>
      </c>
      <c r="AR601" s="58">
        <f t="shared" si="163"/>
        <v>293</v>
      </c>
      <c r="AS601" s="58">
        <f t="shared" si="164"/>
        <v>110508.06523926208</v>
      </c>
      <c r="AT601" s="58">
        <f t="shared" si="165"/>
        <v>48853.748638543075</v>
      </c>
      <c r="AU601" s="58">
        <f t="shared" si="166"/>
        <v>-2090.4618274236595</v>
      </c>
      <c r="AV601" s="58">
        <f t="shared" si="167"/>
        <v>403.1935743241724</v>
      </c>
      <c r="AW601" s="58">
        <f t="shared" si="153"/>
        <v>-82.704751131021254</v>
      </c>
      <c r="AX601" s="58">
        <f t="shared" si="168"/>
        <v>-38.817597411729338</v>
      </c>
      <c r="AY601" s="33">
        <f t="shared" si="154"/>
        <v>-47.37681848176495</v>
      </c>
      <c r="AZ601" s="33">
        <f t="shared" si="155"/>
        <v>-21.646789571841289</v>
      </c>
      <c r="BA601" s="39">
        <f t="shared" si="156"/>
        <v>-9.2464932729002332</v>
      </c>
      <c r="BB601" s="39">
        <f t="shared" si="157"/>
        <v>-2.7527871534575854</v>
      </c>
      <c r="BC601" s="45">
        <f t="shared" si="158"/>
        <v>-26.08143937635608</v>
      </c>
      <c r="BD601" s="45">
        <f t="shared" si="159"/>
        <v>-14.418020686430467</v>
      </c>
      <c r="BE601" s="64">
        <f t="shared" si="160"/>
        <v>9901842399.8143253</v>
      </c>
      <c r="BF601" s="65">
        <f t="shared" si="161"/>
        <v>18541968875.762573</v>
      </c>
      <c r="BG601" s="66">
        <f t="shared" si="162"/>
        <v>17419414350.511868</v>
      </c>
    </row>
    <row r="602" spans="43:59" x14ac:dyDescent="0.25">
      <c r="AQ602" s="7">
        <v>587</v>
      </c>
      <c r="AR602" s="58">
        <f t="shared" si="163"/>
        <v>293.5</v>
      </c>
      <c r="AS602" s="58">
        <f t="shared" si="164"/>
        <v>109452.49623165888</v>
      </c>
      <c r="AT602" s="58">
        <f t="shared" si="165"/>
        <v>49050.493226028695</v>
      </c>
      <c r="AU602" s="58">
        <f t="shared" si="166"/>
        <v>-2131.8142029891701</v>
      </c>
      <c r="AV602" s="58">
        <f t="shared" si="167"/>
        <v>383.78477561830772</v>
      </c>
      <c r="AW602" s="58">
        <f t="shared" si="153"/>
        <v>-83.769638567455175</v>
      </c>
      <c r="AX602" s="58">
        <f t="shared" si="168"/>
        <v>-39.890434565037992</v>
      </c>
      <c r="AY602" s="33">
        <f t="shared" si="154"/>
        <v>-48.070717093606632</v>
      </c>
      <c r="AZ602" s="33">
        <f t="shared" si="155"/>
        <v>-22.328745301814632</v>
      </c>
      <c r="BA602" s="39">
        <f t="shared" si="156"/>
        <v>-9.3668230250857896</v>
      </c>
      <c r="BB602" s="39">
        <f t="shared" si="157"/>
        <v>-2.8255852126323644</v>
      </c>
      <c r="BC602" s="45">
        <f t="shared" si="158"/>
        <v>-26.332098448762746</v>
      </c>
      <c r="BD602" s="45">
        <f t="shared" si="159"/>
        <v>-14.736104050590995</v>
      </c>
      <c r="BE602" s="64">
        <f t="shared" si="160"/>
        <v>9728192569.4012032</v>
      </c>
      <c r="BF602" s="65">
        <f t="shared" si="161"/>
        <v>18282889801.803768</v>
      </c>
      <c r="BG602" s="66">
        <f t="shared" si="162"/>
        <v>17201839576.155437</v>
      </c>
    </row>
    <row r="603" spans="43:59" x14ac:dyDescent="0.25">
      <c r="AQ603" s="7">
        <v>588</v>
      </c>
      <c r="AR603" s="58">
        <f t="shared" si="163"/>
        <v>294</v>
      </c>
      <c r="AS603" s="58">
        <f t="shared" si="164"/>
        <v>108376.11792534337</v>
      </c>
      <c r="AT603" s="58">
        <f t="shared" si="165"/>
        <v>49237.399309517219</v>
      </c>
      <c r="AU603" s="58">
        <f t="shared" si="166"/>
        <v>-2173.6990222728978</v>
      </c>
      <c r="AV603" s="58">
        <f t="shared" si="167"/>
        <v>363.83955833578875</v>
      </c>
      <c r="AW603" s="58">
        <f t="shared" si="153"/>
        <v>-84.881291315332589</v>
      </c>
      <c r="AX603" s="58">
        <f t="shared" si="168"/>
        <v>-41.013370021804484</v>
      </c>
      <c r="AY603" s="33">
        <f t="shared" si="154"/>
        <v>-48.795979165801945</v>
      </c>
      <c r="AZ603" s="33">
        <f t="shared" si="155"/>
        <v>-23.044882655542889</v>
      </c>
      <c r="BA603" s="39">
        <f t="shared" si="156"/>
        <v>-9.4923941347571095</v>
      </c>
      <c r="BB603" s="39">
        <f t="shared" si="157"/>
        <v>-2.9012939874485437</v>
      </c>
      <c r="BC603" s="45">
        <f t="shared" si="158"/>
        <v>-26.592918014773534</v>
      </c>
      <c r="BD603" s="45">
        <f t="shared" si="159"/>
        <v>-15.067193378813053</v>
      </c>
      <c r="BE603" s="64">
        <f t="shared" si="160"/>
        <v>9552348720.6762848</v>
      </c>
      <c r="BF603" s="65">
        <f t="shared" si="161"/>
        <v>18020001158.15617</v>
      </c>
      <c r="BG603" s="66">
        <f t="shared" si="162"/>
        <v>16980587585.871729</v>
      </c>
    </row>
    <row r="604" spans="43:59" x14ac:dyDescent="0.25">
      <c r="AQ604" s="7">
        <v>589</v>
      </c>
      <c r="AR604" s="58">
        <f t="shared" si="163"/>
        <v>294.5</v>
      </c>
      <c r="AS604" s="58">
        <f t="shared" si="164"/>
        <v>107278.65825279251</v>
      </c>
      <c r="AT604" s="58">
        <f t="shared" si="165"/>
        <v>49414.192417432387</v>
      </c>
      <c r="AU604" s="58">
        <f t="shared" si="166"/>
        <v>-2216.139667930564</v>
      </c>
      <c r="AV604" s="58">
        <f t="shared" si="167"/>
        <v>343.33287332488652</v>
      </c>
      <c r="AW604" s="58">
        <f t="shared" si="153"/>
        <v>-86.042167796137733</v>
      </c>
      <c r="AX604" s="58">
        <f t="shared" si="168"/>
        <v>-42.189830622088095</v>
      </c>
      <c r="AY604" s="33">
        <f t="shared" si="154"/>
        <v>-49.554329487153737</v>
      </c>
      <c r="AZ604" s="33">
        <f t="shared" si="155"/>
        <v>-23.797681389939907</v>
      </c>
      <c r="BA604" s="39">
        <f t="shared" si="156"/>
        <v>-9.6234958176537333</v>
      </c>
      <c r="BB604" s="39">
        <f t="shared" si="157"/>
        <v>-2.9800936079324059</v>
      </c>
      <c r="BC604" s="45">
        <f t="shared" si="158"/>
        <v>-26.864342491330262</v>
      </c>
      <c r="BD604" s="45">
        <f t="shared" si="159"/>
        <v>-15.412055624215784</v>
      </c>
      <c r="BE604" s="64">
        <f t="shared" si="160"/>
        <v>9374363712.4132919</v>
      </c>
      <c r="BF604" s="65">
        <f t="shared" si="161"/>
        <v>17753335410.54953</v>
      </c>
      <c r="BG604" s="66">
        <f t="shared" si="162"/>
        <v>16755685283.837376</v>
      </c>
    </row>
    <row r="605" spans="43:59" x14ac:dyDescent="0.25">
      <c r="AQ605" s="7">
        <v>590</v>
      </c>
      <c r="AR605" s="58">
        <f t="shared" si="163"/>
        <v>295</v>
      </c>
      <c r="AS605" s="58">
        <f t="shared" si="164"/>
        <v>106159.8331478527</v>
      </c>
      <c r="AT605" s="58">
        <f t="shared" si="165"/>
        <v>49580.585125267069</v>
      </c>
      <c r="AU605" s="58">
        <f t="shared" si="166"/>
        <v>-2259.1607518286328</v>
      </c>
      <c r="AV605" s="58">
        <f t="shared" si="167"/>
        <v>322.23795801384244</v>
      </c>
      <c r="AW605" s="58">
        <f t="shared" si="153"/>
        <v>-87.254908397535672</v>
      </c>
      <c r="AX605" s="58">
        <f t="shared" si="168"/>
        <v>-43.423545895073289</v>
      </c>
      <c r="AY605" s="33">
        <f t="shared" si="154"/>
        <v>-50.347622596123855</v>
      </c>
      <c r="AZ605" s="33">
        <f t="shared" si="155"/>
        <v>-24.589850526698839</v>
      </c>
      <c r="BA605" s="39">
        <f t="shared" si="156"/>
        <v>-9.7604400173002528</v>
      </c>
      <c r="BB605" s="39">
        <f t="shared" si="157"/>
        <v>-3.0621784868093829</v>
      </c>
      <c r="BC605" s="45">
        <f t="shared" si="158"/>
        <v>-27.146845784111569</v>
      </c>
      <c r="BD605" s="45">
        <f t="shared" si="159"/>
        <v>-15.771516881565065</v>
      </c>
      <c r="BE605" s="64">
        <f t="shared" si="160"/>
        <v>9194292492.550663</v>
      </c>
      <c r="BF605" s="65">
        <f t="shared" si="161"/>
        <v>17482926218.752544</v>
      </c>
      <c r="BG605" s="66">
        <f t="shared" si="162"/>
        <v>16527160480.580317</v>
      </c>
    </row>
    <row r="606" spans="43:59" x14ac:dyDescent="0.25">
      <c r="AQ606" s="7">
        <v>591</v>
      </c>
      <c r="AR606" s="58">
        <f t="shared" si="163"/>
        <v>295.5</v>
      </c>
      <c r="AS606" s="58">
        <f t="shared" si="164"/>
        <v>105019.34590838868</v>
      </c>
      <c r="AT606" s="58">
        <f t="shared" si="165"/>
        <v>49736.276161037102</v>
      </c>
      <c r="AU606" s="58">
        <f t="shared" si="166"/>
        <v>-2302.7882060274005</v>
      </c>
      <c r="AV606" s="58">
        <f t="shared" si="167"/>
        <v>300.5261850663058</v>
      </c>
      <c r="AW606" s="58">
        <f t="shared" si="153"/>
        <v>-88.522351652494777</v>
      </c>
      <c r="AX606" s="58">
        <f t="shared" si="168"/>
        <v>-44.718581351155748</v>
      </c>
      <c r="AY606" s="33">
        <f t="shared" si="154"/>
        <v>-51.177854373734391</v>
      </c>
      <c r="AZ606" s="33">
        <f t="shared" si="155"/>
        <v>-25.424354510884438</v>
      </c>
      <c r="BA606" s="39">
        <f t="shared" si="156"/>
        <v>-9.9035636378229803</v>
      </c>
      <c r="BB606" s="39">
        <f t="shared" si="157"/>
        <v>-3.1477587475086413</v>
      </c>
      <c r="BC606" s="45">
        <f t="shared" si="158"/>
        <v>-27.440933640937402</v>
      </c>
      <c r="BD606" s="45">
        <f t="shared" si="159"/>
        <v>-16.146468092762671</v>
      </c>
      <c r="BE606" s="64">
        <f t="shared" si="160"/>
        <v>9012192202.6416378</v>
      </c>
      <c r="BF606" s="65">
        <f t="shared" si="161"/>
        <v>17208808494.507549</v>
      </c>
      <c r="BG606" s="66">
        <f t="shared" si="162"/>
        <v>16295041925.307743</v>
      </c>
    </row>
    <row r="607" spans="43:59" x14ac:dyDescent="0.25">
      <c r="AQ607" s="7">
        <v>592</v>
      </c>
      <c r="AR607" s="58">
        <f t="shared" si="163"/>
        <v>296</v>
      </c>
      <c r="AS607" s="58">
        <f t="shared" si="164"/>
        <v>103856.88651141842</v>
      </c>
      <c r="AT607" s="58">
        <f t="shared" si="165"/>
        <v>49880.949430901361</v>
      </c>
      <c r="AU607" s="58">
        <f t="shared" si="166"/>
        <v>-2347.0493818536479</v>
      </c>
      <c r="AV607" s="58">
        <f t="shared" si="167"/>
        <v>278.16689439072792</v>
      </c>
      <c r="AW607" s="58">
        <f t="shared" si="153"/>
        <v>-89.847552112790254</v>
      </c>
      <c r="AX607" s="58">
        <f t="shared" si="168"/>
        <v>-46.079376157408554</v>
      </c>
      <c r="AY607" s="33">
        <f t="shared" si="154"/>
        <v>-52.047174829959836</v>
      </c>
      <c r="AZ607" s="33">
        <f t="shared" si="155"/>
        <v>-26.304442917630325</v>
      </c>
      <c r="BA607" s="39">
        <f t="shared" si="156"/>
        <v>-10.053231045773774</v>
      </c>
      <c r="BB607" s="39">
        <f t="shared" si="157"/>
        <v>-3.237061823903586</v>
      </c>
      <c r="BC607" s="45">
        <f t="shared" si="158"/>
        <v>-27.747146237056633</v>
      </c>
      <c r="BD607" s="45">
        <f t="shared" si="159"/>
        <v>-16.53787141587464</v>
      </c>
      <c r="BE607" s="64">
        <f t="shared" si="160"/>
        <v>8828122290.0535259</v>
      </c>
      <c r="BF607" s="65">
        <f t="shared" si="161"/>
        <v>16931018463.812492</v>
      </c>
      <c r="BG607" s="66">
        <f t="shared" si="162"/>
        <v>16059359340.015009</v>
      </c>
    </row>
    <row r="608" spans="43:59" x14ac:dyDescent="0.25">
      <c r="AQ608" s="7">
        <v>593</v>
      </c>
      <c r="AR608" s="58">
        <f t="shared" si="163"/>
        <v>296.5</v>
      </c>
      <c r="AS608" s="58">
        <f t="shared" si="164"/>
        <v>102672.1308764775</v>
      </c>
      <c r="AT608" s="58">
        <f t="shared" si="165"/>
        <v>50014.272956077046</v>
      </c>
      <c r="AU608" s="58">
        <f t="shared" si="166"/>
        <v>-2391.973157910043</v>
      </c>
      <c r="AV608" s="58">
        <f t="shared" si="167"/>
        <v>255.12720631202365</v>
      </c>
      <c r="AW608" s="58">
        <f t="shared" si="153"/>
        <v>-91.233800114041856</v>
      </c>
      <c r="AX608" s="58">
        <f t="shared" si="168"/>
        <v>-47.510785871809013</v>
      </c>
      <c r="AY608" s="33">
        <f t="shared" si="154"/>
        <v>-52.957902215526829</v>
      </c>
      <c r="AZ608" s="33">
        <f t="shared" si="155"/>
        <v>-27.233684267024852</v>
      </c>
      <c r="BA608" s="39">
        <f t="shared" si="156"/>
        <v>-10.209836879407332</v>
      </c>
      <c r="BB608" s="39">
        <f t="shared" si="157"/>
        <v>-3.3303342561237321</v>
      </c>
      <c r="BC608" s="45">
        <f t="shared" si="158"/>
        <v>-28.066061019107693</v>
      </c>
      <c r="BD608" s="45">
        <f t="shared" si="159"/>
        <v>-16.94676734866043</v>
      </c>
      <c r="BE608" s="64">
        <f t="shared" si="160"/>
        <v>8642144628.6412487</v>
      </c>
      <c r="BF608" s="65">
        <f t="shared" si="161"/>
        <v>16649593733.979065</v>
      </c>
      <c r="BG608" s="66">
        <f t="shared" si="162"/>
        <v>15820143455.488592</v>
      </c>
    </row>
    <row r="609" spans="43:59" x14ac:dyDescent="0.25">
      <c r="AQ609" s="7">
        <v>594</v>
      </c>
      <c r="AR609" s="58">
        <f t="shared" si="163"/>
        <v>297</v>
      </c>
      <c r="AS609" s="58">
        <f t="shared" si="164"/>
        <v>101464.74007250823</v>
      </c>
      <c r="AT609" s="58">
        <f t="shared" si="165"/>
        <v>50135.897710999081</v>
      </c>
      <c r="AU609" s="58">
        <f t="shared" si="166"/>
        <v>-2437.5900579670638</v>
      </c>
      <c r="AV609" s="58">
        <f t="shared" si="167"/>
        <v>231.37181337611915</v>
      </c>
      <c r="AW609" s="58">
        <f t="shared" si="153"/>
        <v>-92.684643653380988</v>
      </c>
      <c r="AX609" s="58">
        <f t="shared" si="168"/>
        <v>-49.0181310310914</v>
      </c>
      <c r="AY609" s="33">
        <f t="shared" si="154"/>
        <v>-53.912538604996513</v>
      </c>
      <c r="AZ609" s="33">
        <f t="shared" si="155"/>
        <v>-28.216004608337641</v>
      </c>
      <c r="BA609" s="39">
        <f t="shared" si="156"/>
        <v>-10.373809210255882</v>
      </c>
      <c r="BB609" s="39">
        <f t="shared" si="157"/>
        <v>-3.4278437107567461</v>
      </c>
      <c r="BC609" s="45">
        <f t="shared" si="158"/>
        <v>-28.398295838128593</v>
      </c>
      <c r="BD609" s="45">
        <f t="shared" si="159"/>
        <v>-17.374282711997008</v>
      </c>
      <c r="BE609" s="64">
        <f t="shared" si="160"/>
        <v>8454323648.7041044</v>
      </c>
      <c r="BF609" s="65">
        <f t="shared" si="161"/>
        <v>16364573365.949768</v>
      </c>
      <c r="BG609" s="66">
        <f t="shared" si="162"/>
        <v>15577426049.324474</v>
      </c>
    </row>
    <row r="610" spans="43:59" x14ac:dyDescent="0.25">
      <c r="AQ610" s="7">
        <v>595</v>
      </c>
      <c r="AR610" s="58">
        <f t="shared" si="163"/>
        <v>297.5</v>
      </c>
      <c r="AS610" s="58">
        <f t="shared" si="164"/>
        <v>100234.35946306803</v>
      </c>
      <c r="AT610" s="58">
        <f t="shared" si="165"/>
        <v>50245.456351308254</v>
      </c>
      <c r="AU610" s="58">
        <f t="shared" si="166"/>
        <v>-2483.9323797937541</v>
      </c>
      <c r="AV610" s="58">
        <f t="shared" si="167"/>
        <v>206.86274786057345</v>
      </c>
      <c r="AW610" s="58">
        <f t="shared" si="153"/>
        <v>-94.203912627404208</v>
      </c>
      <c r="AX610" s="58">
        <f t="shared" si="168"/>
        <v>-50.607252530506514</v>
      </c>
      <c r="AY610" s="33">
        <f t="shared" si="154"/>
        <v>-54.913787111808112</v>
      </c>
      <c r="AZ610" s="33">
        <f t="shared" si="155"/>
        <v>-29.255731656377208</v>
      </c>
      <c r="BA610" s="39">
        <f t="shared" si="156"/>
        <v>-10.54561310946524</v>
      </c>
      <c r="BB610" s="39">
        <f t="shared" si="157"/>
        <v>-3.5298812584861228</v>
      </c>
      <c r="BC610" s="45">
        <f t="shared" si="158"/>
        <v>-28.744512406130848</v>
      </c>
      <c r="BD610" s="45">
        <f t="shared" si="159"/>
        <v>-17.821639615643189</v>
      </c>
      <c r="BE610" s="64">
        <f t="shared" si="160"/>
        <v>8264726477.1304131</v>
      </c>
      <c r="BF610" s="65">
        <f t="shared" si="161"/>
        <v>16075997952.419315</v>
      </c>
      <c r="BG610" s="66">
        <f t="shared" si="162"/>
        <v>15331239986.092688</v>
      </c>
    </row>
    <row r="611" spans="43:59" x14ac:dyDescent="0.25">
      <c r="AQ611" s="7">
        <v>596</v>
      </c>
      <c r="AR611" s="58">
        <f t="shared" si="163"/>
        <v>298</v>
      </c>
      <c r="AS611" s="58">
        <f t="shared" si="164"/>
        <v>98980.617784092727</v>
      </c>
      <c r="AT611" s="58">
        <f t="shared" si="165"/>
        <v>50342.561818672228</v>
      </c>
      <c r="AU611" s="58">
        <f t="shared" si="166"/>
        <v>-2531.0343361074561</v>
      </c>
      <c r="AV611" s="58">
        <f t="shared" si="167"/>
        <v>181.55912159532019</v>
      </c>
      <c r="AW611" s="58">
        <f t="shared" si="153"/>
        <v>-95.795745707303269</v>
      </c>
      <c r="AX611" s="58">
        <f t="shared" si="168"/>
        <v>-52.284574906459994</v>
      </c>
      <c r="AY611" s="33">
        <f t="shared" si="154"/>
        <v>-55.964570911322355</v>
      </c>
      <c r="AZ611" s="33">
        <f t="shared" si="155"/>
        <v>-30.357645409639996</v>
      </c>
      <c r="BA611" s="39">
        <f t="shared" si="156"/>
        <v>-10.7257546804634</v>
      </c>
      <c r="BB611" s="39">
        <f t="shared" si="157"/>
        <v>-3.6367639478365414</v>
      </c>
      <c r="BC611" s="45">
        <f t="shared" si="158"/>
        <v>-29.105420115517521</v>
      </c>
      <c r="BD611" s="45">
        <f t="shared" si="159"/>
        <v>-18.29016554898346</v>
      </c>
      <c r="BE611" s="64">
        <f t="shared" si="160"/>
        <v>8073423088.7436953</v>
      </c>
      <c r="BF611" s="65">
        <f t="shared" si="161"/>
        <v>15783909702.377752</v>
      </c>
      <c r="BG611" s="66">
        <f t="shared" si="162"/>
        <v>15081619259.788584</v>
      </c>
    </row>
    <row r="612" spans="43:59" x14ac:dyDescent="0.25">
      <c r="AQ612" s="7">
        <v>597</v>
      </c>
      <c r="AR612" s="58">
        <f t="shared" si="163"/>
        <v>298.5</v>
      </c>
      <c r="AS612" s="58">
        <f t="shared" si="164"/>
        <v>97703.126147825576</v>
      </c>
      <c r="AT612" s="58">
        <f t="shared" si="165"/>
        <v>50426.805807606579</v>
      </c>
      <c r="AU612" s="58">
        <f t="shared" si="166"/>
        <v>-2578.9322089611078</v>
      </c>
      <c r="AV612" s="58">
        <f t="shared" si="167"/>
        <v>155.41683414209018</v>
      </c>
      <c r="AW612" s="58">
        <f t="shared" si="153"/>
        <v>-97.464620159976405</v>
      </c>
      <c r="AX612" s="58">
        <f t="shared" si="168"/>
        <v>-54.057178841675963</v>
      </c>
      <c r="AY612" s="33">
        <f t="shared" si="154"/>
        <v>-57.06805426336885</v>
      </c>
      <c r="AZ612" s="33">
        <f t="shared" si="155"/>
        <v>-31.527036357856272</v>
      </c>
      <c r="BA612" s="39">
        <f t="shared" si="156"/>
        <v>-10.914785630443893</v>
      </c>
      <c r="BB612" s="39">
        <f t="shared" si="157"/>
        <v>-3.7488377204139494</v>
      </c>
      <c r="BC612" s="45">
        <f t="shared" si="158"/>
        <v>-29.481780266163664</v>
      </c>
      <c r="BD612" s="45">
        <f t="shared" si="159"/>
        <v>-18.781304763405746</v>
      </c>
      <c r="BE612" s="64">
        <f t="shared" si="160"/>
        <v>7880486469.9888611</v>
      </c>
      <c r="BF612" s="65">
        <f t="shared" si="161"/>
        <v>15488352532.776875</v>
      </c>
      <c r="BG612" s="66">
        <f t="shared" si="162"/>
        <v>14828599038.722435</v>
      </c>
    </row>
    <row r="613" spans="43:59" x14ac:dyDescent="0.25">
      <c r="AQ613" s="7">
        <v>598</v>
      </c>
      <c r="AR613" s="58">
        <f t="shared" si="163"/>
        <v>299</v>
      </c>
      <c r="AS613" s="58">
        <f t="shared" si="164"/>
        <v>96401.47696582503</v>
      </c>
      <c r="AT613" s="58">
        <f t="shared" si="165"/>
        <v>50497.757077322414</v>
      </c>
      <c r="AU613" s="58">
        <f t="shared" si="166"/>
        <v>-2627.6645190410959</v>
      </c>
      <c r="AV613" s="58">
        <f t="shared" si="167"/>
        <v>128.38824472125219</v>
      </c>
      <c r="AW613" s="58">
        <f t="shared" si="153"/>
        <v>-99.215384958273717</v>
      </c>
      <c r="AX613" s="58">
        <f t="shared" si="168"/>
        <v>-55.932884465542941</v>
      </c>
      <c r="AY613" s="33">
        <f t="shared" si="154"/>
        <v>-58.227665740605723</v>
      </c>
      <c r="AZ613" s="33">
        <f t="shared" si="155"/>
        <v>-32.769772602877815</v>
      </c>
      <c r="BA613" s="39">
        <f t="shared" si="156"/>
        <v>-11.113308466291915</v>
      </c>
      <c r="BB613" s="39">
        <f t="shared" si="157"/>
        <v>-3.8664807210769108</v>
      </c>
      <c r="BC613" s="45">
        <f t="shared" si="158"/>
        <v>-29.874410751376075</v>
      </c>
      <c r="BD613" s="45">
        <f t="shared" si="159"/>
        <v>-19.296631141588215</v>
      </c>
      <c r="BE613" s="64">
        <f t="shared" si="160"/>
        <v>7685992796.2399225</v>
      </c>
      <c r="BF613" s="65">
        <f t="shared" si="161"/>
        <v>15189372168.119312</v>
      </c>
      <c r="BG613" s="66">
        <f t="shared" si="162"/>
        <v>14572215713.010683</v>
      </c>
    </row>
    <row r="614" spans="43:59" x14ac:dyDescent="0.25">
      <c r="AQ614" s="7">
        <v>599</v>
      </c>
      <c r="AR614" s="58">
        <f t="shared" si="163"/>
        <v>299.5</v>
      </c>
      <c r="AS614" s="58">
        <f t="shared" si="164"/>
        <v>95075.242783184687</v>
      </c>
      <c r="AT614" s="58">
        <f t="shared" si="165"/>
        <v>50554.959589124846</v>
      </c>
      <c r="AU614" s="58">
        <f t="shared" si="166"/>
        <v>-2677.2722115202328</v>
      </c>
      <c r="AV614" s="58">
        <f t="shared" si="167"/>
        <v>100.42180248848072</v>
      </c>
      <c r="AW614" s="58">
        <f t="shared" si="153"/>
        <v>-101.05329755984444</v>
      </c>
      <c r="AX614" s="58">
        <f t="shared" si="168"/>
        <v>-57.920347330197274</v>
      </c>
      <c r="AY614" s="33">
        <f t="shared" si="154"/>
        <v>-59.447123881985618</v>
      </c>
      <c r="AZ614" s="33">
        <f t="shared" si="155"/>
        <v>-34.092377480820659</v>
      </c>
      <c r="BA614" s="39">
        <f t="shared" si="156"/>
        <v>-11.321982416446758</v>
      </c>
      <c r="BB614" s="39">
        <f t="shared" si="157"/>
        <v>-3.9901070661471181</v>
      </c>
      <c r="BC614" s="45">
        <f t="shared" si="158"/>
        <v>-30.284191261412065</v>
      </c>
      <c r="BD614" s="45">
        <f t="shared" si="159"/>
        <v>-19.837862783229497</v>
      </c>
      <c r="BE614" s="64">
        <f t="shared" si="160"/>
        <v>7490021624.1752977</v>
      </c>
      <c r="BF614" s="65">
        <f t="shared" si="161"/>
        <v>14887016248.884449</v>
      </c>
      <c r="BG614" s="66">
        <f t="shared" si="162"/>
        <v>14312506944.84515</v>
      </c>
    </row>
    <row r="615" spans="43:59" x14ac:dyDescent="0.25">
      <c r="AQ615" s="7">
        <v>600</v>
      </c>
      <c r="AR615" s="58">
        <f t="shared" si="163"/>
        <v>300</v>
      </c>
      <c r="AS615" s="58">
        <f t="shared" si="164"/>
        <v>93723.975015229589</v>
      </c>
      <c r="AT615" s="58">
        <f t="shared" si="165"/>
        <v>50597.930446952807</v>
      </c>
      <c r="AU615" s="58">
        <f t="shared" si="166"/>
        <v>-2727.798860300155</v>
      </c>
      <c r="AV615" s="58">
        <f t="shared" si="167"/>
        <v>71.461628823382085</v>
      </c>
      <c r="AW615" s="58">
        <f t="shared" si="153"/>
        <v>-102.98406477141373</v>
      </c>
      <c r="AX615" s="58">
        <f t="shared" si="168"/>
        <v>-60.029169318984287</v>
      </c>
      <c r="AY615" s="33">
        <f t="shared" si="154"/>
        <v>-60.7304655000382</v>
      </c>
      <c r="AZ615" s="33">
        <f t="shared" si="155"/>
        <v>-35.502119596658083</v>
      </c>
      <c r="BA615" s="39">
        <f t="shared" si="156"/>
        <v>-11.541530199451415</v>
      </c>
      <c r="BB615" s="39">
        <f t="shared" si="157"/>
        <v>-4.1201711444397313</v>
      </c>
      <c r="BC615" s="45">
        <f t="shared" si="158"/>
        <v>-30.712069071924098</v>
      </c>
      <c r="BD615" s="45">
        <f t="shared" si="159"/>
        <v>-20.40687857788647</v>
      </c>
      <c r="BE615" s="64">
        <f t="shared" si="160"/>
        <v>7292656100.8565788</v>
      </c>
      <c r="BF615" s="65">
        <f t="shared" si="161"/>
        <v>14581334449.840183</v>
      </c>
      <c r="BG615" s="66">
        <f t="shared" si="162"/>
        <v>14049511721.730934</v>
      </c>
    </row>
    <row r="616" spans="43:59" x14ac:dyDescent="0.25">
      <c r="AQ616" s="7">
        <v>601</v>
      </c>
      <c r="AR616" s="58">
        <f t="shared" si="163"/>
        <v>300.5</v>
      </c>
      <c r="AS616" s="58">
        <f t="shared" si="164"/>
        <v>92347.20257698308</v>
      </c>
      <c r="AT616" s="58">
        <f t="shared" si="165"/>
        <v>50626.157615199627</v>
      </c>
      <c r="AU616" s="58">
        <f t="shared" si="166"/>
        <v>-2779.2908926858618</v>
      </c>
      <c r="AV616" s="58">
        <f t="shared" si="167"/>
        <v>41.447044163889942</v>
      </c>
      <c r="AW616" s="58">
        <f t="shared" si="153"/>
        <v>-105.01388815211942</v>
      </c>
      <c r="AX616" s="58">
        <f t="shared" si="168"/>
        <v>-62.27002720506367</v>
      </c>
      <c r="AY616" s="33">
        <f t="shared" si="154"/>
        <v>-62.082076873884589</v>
      </c>
      <c r="AZ616" s="33">
        <f t="shared" si="155"/>
        <v>-37.007117579883825</v>
      </c>
      <c r="BA616" s="39">
        <f t="shared" si="156"/>
        <v>-11.772745783386021</v>
      </c>
      <c r="BB616" s="39">
        <f t="shared" si="157"/>
        <v>-4.2571725400264153</v>
      </c>
      <c r="BC616" s="45">
        <f t="shared" si="158"/>
        <v>-31.159065494848814</v>
      </c>
      <c r="BD616" s="45">
        <f t="shared" si="159"/>
        <v>-21.005737085153424</v>
      </c>
      <c r="BE616" s="64">
        <f t="shared" si="160"/>
        <v>7093983191.3660679</v>
      </c>
      <c r="BF616" s="65">
        <f t="shared" si="161"/>
        <v>14272378609.448717</v>
      </c>
      <c r="BG616" s="66">
        <f t="shared" si="162"/>
        <v>13783270412.899204</v>
      </c>
    </row>
    <row r="617" spans="43:59" x14ac:dyDescent="0.25">
      <c r="AQ617" s="7">
        <v>602</v>
      </c>
      <c r="AR617" s="58">
        <f t="shared" si="163"/>
        <v>301</v>
      </c>
      <c r="AS617" s="58">
        <f t="shared" si="164"/>
        <v>90944.430394621144</v>
      </c>
      <c r="AT617" s="58">
        <f t="shared" si="165"/>
        <v>50639.097383880937</v>
      </c>
      <c r="AU617" s="58">
        <f t="shared" si="166"/>
        <v>-2831.7978367619216</v>
      </c>
      <c r="AV617" s="58">
        <f t="shared" si="167"/>
        <v>10.312030561358107</v>
      </c>
      <c r="AW617" s="58">
        <f t="shared" si="153"/>
        <v>-107.14951444326933</v>
      </c>
      <c r="AX617" s="58">
        <f t="shared" si="168"/>
        <v>-64.654822145589989</v>
      </c>
      <c r="AY617" s="33">
        <f t="shared" si="154"/>
        <v>-63.506728053043439</v>
      </c>
      <c r="AZ617" s="33">
        <f t="shared" si="155"/>
        <v>-38.616462360371521</v>
      </c>
      <c r="BA617" s="39">
        <f t="shared" si="156"/>
        <v>-12.016503309063648</v>
      </c>
      <c r="BB617" s="39">
        <f t="shared" si="157"/>
        <v>-4.4016616828242414</v>
      </c>
      <c r="BC617" s="45">
        <f t="shared" si="158"/>
        <v>-31.626283081162246</v>
      </c>
      <c r="BD617" s="45">
        <f t="shared" si="159"/>
        <v>-21.636698102394227</v>
      </c>
      <c r="BE617" s="64">
        <f t="shared" si="160"/>
        <v>6894093927.1132069</v>
      </c>
      <c r="BF617" s="65">
        <f t="shared" si="161"/>
        <v>13960202871.763493</v>
      </c>
      <c r="BG617" s="66">
        <f t="shared" si="162"/>
        <v>13513824829.118908</v>
      </c>
    </row>
    <row r="618" spans="43:59" x14ac:dyDescent="0.25">
      <c r="AQ618" s="7">
        <v>603</v>
      </c>
      <c r="AR618" s="58">
        <f t="shared" si="163"/>
        <v>301.5</v>
      </c>
      <c r="AS618" s="58">
        <f t="shared" si="164"/>
        <v>89515.137786934778</v>
      </c>
      <c r="AT618" s="58">
        <f t="shared" si="165"/>
        <v>50636.171546393416</v>
      </c>
      <c r="AU618" s="58">
        <f t="shared" si="166"/>
        <v>-2885.3725939835563</v>
      </c>
      <c r="AV618" s="58">
        <f t="shared" si="167"/>
        <v>-22.015380511436888</v>
      </c>
      <c r="AW618" s="58">
        <f t="shared" si="153"/>
        <v>-109.39829153847808</v>
      </c>
      <c r="AX618" s="58">
        <f t="shared" si="168"/>
        <v>-67.196854098537088</v>
      </c>
      <c r="AY618" s="33">
        <f t="shared" si="154"/>
        <v>-65.009610474475423</v>
      </c>
      <c r="AZ618" s="33">
        <f t="shared" si="155"/>
        <v>-40.340360371381465</v>
      </c>
      <c r="BA618" s="39">
        <f t="shared" si="156"/>
        <v>-12.273767385114205</v>
      </c>
      <c r="BB618" s="39">
        <f t="shared" si="157"/>
        <v>-4.554246354073725</v>
      </c>
      <c r="BC618" s="45">
        <f t="shared" si="158"/>
        <v>-32.114913678888463</v>
      </c>
      <c r="BD618" s="45">
        <f t="shared" si="159"/>
        <v>-22.302247373081901</v>
      </c>
      <c r="BE618" s="64">
        <f t="shared" si="160"/>
        <v>6693083677.2164087</v>
      </c>
      <c r="BF618" s="65">
        <f t="shared" si="161"/>
        <v>13644863842.439224</v>
      </c>
      <c r="BG618" s="66">
        <f t="shared" si="162"/>
        <v>13241218286.150852</v>
      </c>
    </row>
    <row r="619" spans="43:59" x14ac:dyDescent="0.25">
      <c r="AQ619" s="7">
        <v>604</v>
      </c>
      <c r="AR619" s="58">
        <f t="shared" si="163"/>
        <v>302</v>
      </c>
      <c r="AS619" s="58">
        <f t="shared" si="164"/>
        <v>88058.776703500698</v>
      </c>
      <c r="AT619" s="58">
        <f t="shared" si="165"/>
        <v>50616.764249375381</v>
      </c>
      <c r="AU619" s="58">
        <f t="shared" si="166"/>
        <v>-2940.0717397527951</v>
      </c>
      <c r="AV619" s="58">
        <f t="shared" si="167"/>
        <v>-55.613807560705432</v>
      </c>
      <c r="AW619" s="58">
        <f t="shared" si="153"/>
        <v>-111.76823052147189</v>
      </c>
      <c r="AX619" s="58">
        <f t="shared" si="168"/>
        <v>-69.911026020139104</v>
      </c>
      <c r="AY619" s="33">
        <f t="shared" si="154"/>
        <v>-66.596378048662388</v>
      </c>
      <c r="AZ619" s="33">
        <f t="shared" si="155"/>
        <v>-42.190301843006218</v>
      </c>
      <c r="BA619" s="39">
        <f t="shared" si="156"/>
        <v>-12.545605006590064</v>
      </c>
      <c r="BB619" s="39">
        <f t="shared" si="157"/>
        <v>-4.7155991994673787</v>
      </c>
      <c r="BC619" s="45">
        <f t="shared" si="158"/>
        <v>-32.626247466219439</v>
      </c>
      <c r="BD619" s="45">
        <f t="shared" si="159"/>
        <v>-23.005124977665517</v>
      </c>
      <c r="BE619" s="64">
        <f t="shared" si="160"/>
        <v>6491052445.7131844</v>
      </c>
      <c r="BF619" s="65">
        <f t="shared" si="161"/>
        <v>13326420760.746363</v>
      </c>
      <c r="BG619" s="66">
        <f t="shared" si="162"/>
        <v>12965495672.110111</v>
      </c>
    </row>
    <row r="620" spans="43:59" x14ac:dyDescent="0.25">
      <c r="AQ620" s="7">
        <v>605</v>
      </c>
      <c r="AR620" s="58">
        <f t="shared" si="163"/>
        <v>302.5</v>
      </c>
      <c r="AS620" s="58">
        <f t="shared" si="164"/>
        <v>86574.769804809112</v>
      </c>
      <c r="AT620" s="58">
        <f t="shared" si="165"/>
        <v>50580.218467342514</v>
      </c>
      <c r="AU620" s="58">
        <f t="shared" si="166"/>
        <v>-2995.9558550135312</v>
      </c>
      <c r="AV620" s="58">
        <f t="shared" si="167"/>
        <v>-90.569320570774977</v>
      </c>
      <c r="AW620" s="58">
        <f t="shared" si="153"/>
        <v>-114.2680742895065</v>
      </c>
      <c r="AX620" s="58">
        <f t="shared" si="168"/>
        <v>-72.814083786578863</v>
      </c>
      <c r="AY620" s="33">
        <f t="shared" si="154"/>
        <v>-68.273191787746342</v>
      </c>
      <c r="AZ620" s="33">
        <f t="shared" si="155"/>
        <v>-44.179259294508654</v>
      </c>
      <c r="BA620" s="39">
        <f t="shared" si="156"/>
        <v>-12.83319940271463</v>
      </c>
      <c r="BB620" s="39">
        <f t="shared" si="157"/>
        <v>-4.8864664343251496</v>
      </c>
      <c r="BC620" s="45">
        <f t="shared" si="158"/>
        <v>-33.16168309904554</v>
      </c>
      <c r="BD620" s="45">
        <f t="shared" si="159"/>
        <v>-23.748358057745055</v>
      </c>
      <c r="BE620" s="64">
        <f t="shared" si="160"/>
        <v>6288105197.7572823</v>
      </c>
      <c r="BF620" s="65">
        <f t="shared" si="161"/>
        <v>13004935689.805298</v>
      </c>
      <c r="BG620" s="66">
        <f t="shared" si="162"/>
        <v>12686703519.028152</v>
      </c>
    </row>
    <row r="621" spans="43:59" x14ac:dyDescent="0.25">
      <c r="AQ621" s="7">
        <v>606</v>
      </c>
      <c r="AR621" s="58">
        <f t="shared" si="163"/>
        <v>303</v>
      </c>
      <c r="AS621" s="58">
        <f t="shared" si="164"/>
        <v>85062.508368016148</v>
      </c>
      <c r="AT621" s="58">
        <f t="shared" si="165"/>
        <v>50525.832046583804</v>
      </c>
      <c r="AU621" s="58">
        <f t="shared" si="166"/>
        <v>-3053.0898921582843</v>
      </c>
      <c r="AV621" s="58">
        <f t="shared" si="167"/>
        <v>-126.97636246406441</v>
      </c>
      <c r="AW621" s="58">
        <f t="shared" si="153"/>
        <v>-116.9073732341611</v>
      </c>
      <c r="AX621" s="58">
        <f t="shared" si="168"/>
        <v>-75.924899142895939</v>
      </c>
      <c r="AY621" s="33">
        <f t="shared" si="154"/>
        <v>-70.046767912224922</v>
      </c>
      <c r="AZ621" s="33">
        <f t="shared" si="155"/>
        <v>-46.321922520266355</v>
      </c>
      <c r="BA621" s="39">
        <f t="shared" si="156"/>
        <v>-13.137866186712621</v>
      </c>
      <c r="BB621" s="39">
        <f t="shared" si="157"/>
        <v>-5.0676779643240648</v>
      </c>
      <c r="BC621" s="45">
        <f t="shared" si="158"/>
        <v>-33.722739135223541</v>
      </c>
      <c r="BD621" s="45">
        <f t="shared" si="159"/>
        <v>-24.535298658305521</v>
      </c>
      <c r="BE621" s="64">
        <f t="shared" si="160"/>
        <v>6084352218.4390087</v>
      </c>
      <c r="BF621" s="65">
        <f t="shared" si="161"/>
        <v>12680473727.647383</v>
      </c>
      <c r="BG621" s="66">
        <f t="shared" si="162"/>
        <v>12404890078.936089</v>
      </c>
    </row>
    <row r="622" spans="43:59" x14ac:dyDescent="0.25">
      <c r="AQ622" s="7">
        <v>607</v>
      </c>
      <c r="AR622" s="58">
        <f t="shared" si="163"/>
        <v>303.5</v>
      </c>
      <c r="AS622" s="58">
        <f t="shared" si="164"/>
        <v>83521.350000282735</v>
      </c>
      <c r="AT622" s="58">
        <f t="shared" si="165"/>
        <v>50452.853252958914</v>
      </c>
      <c r="AU622" s="58">
        <f t="shared" si="166"/>
        <v>-3111.5435787753649</v>
      </c>
      <c r="AV622" s="58">
        <f t="shared" si="167"/>
        <v>-164.93881203551237</v>
      </c>
      <c r="AW622" s="58">
        <f t="shared" si="153"/>
        <v>-119.69656834717352</v>
      </c>
      <c r="AX622" s="58">
        <f t="shared" si="168"/>
        <v>-79.264804691913071</v>
      </c>
      <c r="AY622" s="33">
        <f t="shared" si="154"/>
        <v>-71.924429156809751</v>
      </c>
      <c r="AZ622" s="33">
        <f t="shared" si="155"/>
        <v>-48.634977859594265</v>
      </c>
      <c r="BA622" s="39">
        <f t="shared" si="156"/>
        <v>-13.461072265076069</v>
      </c>
      <c r="BB622" s="39">
        <f t="shared" si="157"/>
        <v>-5.260159193877497</v>
      </c>
      <c r="BC622" s="45">
        <f t="shared" si="158"/>
        <v>-34.311066925287712</v>
      </c>
      <c r="BD622" s="45">
        <f t="shared" si="159"/>
        <v>-25.369667638441303</v>
      </c>
      <c r="BE622" s="64">
        <f t="shared" si="160"/>
        <v>5879909508.4286423</v>
      </c>
      <c r="BF622" s="65">
        <f t="shared" si="161"/>
        <v>12353103242.186466</v>
      </c>
      <c r="BG622" s="66">
        <f t="shared" si="162"/>
        <v>12120105404.82593</v>
      </c>
    </row>
    <row r="623" spans="43:59" x14ac:dyDescent="0.25">
      <c r="AQ623" s="7">
        <v>608</v>
      </c>
      <c r="AR623" s="58">
        <f t="shared" si="163"/>
        <v>304</v>
      </c>
      <c r="AS623" s="58">
        <f t="shared" si="164"/>
        <v>81950.616139851656</v>
      </c>
      <c r="AT623" s="58">
        <f t="shared" si="165"/>
        <v>50360.47574635467</v>
      </c>
      <c r="AU623" s="58">
        <f t="shared" si="166"/>
        <v>-3171.3918629489517</v>
      </c>
      <c r="AV623" s="58">
        <f t="shared" si="167"/>
        <v>-204.57121438146891</v>
      </c>
      <c r="AW623" s="58">
        <f t="shared" si="153"/>
        <v>-122.64708192518998</v>
      </c>
      <c r="AX623" s="58">
        <f t="shared" si="168"/>
        <v>-82.857992096520206</v>
      </c>
      <c r="AY623" s="33">
        <f t="shared" si="154"/>
        <v>-73.914158663221855</v>
      </c>
      <c r="AZ623" s="33">
        <f t="shared" si="155"/>
        <v>-51.137441434732068</v>
      </c>
      <c r="BA623" s="39">
        <f t="shared" si="156"/>
        <v>-13.804458070055009</v>
      </c>
      <c r="BB623" s="39">
        <f t="shared" si="157"/>
        <v>-5.4649448549064532</v>
      </c>
      <c r="BC623" s="45">
        <f t="shared" si="158"/>
        <v>-34.928465191913112</v>
      </c>
      <c r="BD623" s="45">
        <f t="shared" si="159"/>
        <v>-26.25560580688169</v>
      </c>
      <c r="BE623" s="64">
        <f t="shared" si="160"/>
        <v>5674899221.3111057</v>
      </c>
      <c r="BF623" s="65">
        <f t="shared" si="161"/>
        <v>12022896133.767466</v>
      </c>
      <c r="BG623" s="66">
        <f t="shared" si="162"/>
        <v>11832401436.889648</v>
      </c>
    </row>
    <row r="624" spans="43:59" x14ac:dyDescent="0.25">
      <c r="AQ624" s="7">
        <v>609</v>
      </c>
      <c r="AR624" s="58">
        <f t="shared" si="163"/>
        <v>304.5</v>
      </c>
      <c r="AS624" s="58">
        <f t="shared" si="164"/>
        <v>80349.589323136533</v>
      </c>
      <c r="AT624" s="58">
        <f t="shared" si="165"/>
        <v>50247.832890151869</v>
      </c>
      <c r="AU624" s="58">
        <f t="shared" si="166"/>
        <v>-3232.7154039115467</v>
      </c>
      <c r="AV624" s="58">
        <f t="shared" si="167"/>
        <v>-246.00021042972901</v>
      </c>
      <c r="AW624" s="58">
        <f t="shared" si="153"/>
        <v>-125.77141571668693</v>
      </c>
      <c r="AX624" s="58">
        <f t="shared" si="168"/>
        <v>-86.731987411726735</v>
      </c>
      <c r="AY624" s="33">
        <f t="shared" si="154"/>
        <v>-76.024655343072894</v>
      </c>
      <c r="AZ624" s="33">
        <f t="shared" si="155"/>
        <v>-53.851058451049724</v>
      </c>
      <c r="BA624" s="39">
        <f t="shared" si="156"/>
        <v>-14.169863814179106</v>
      </c>
      <c r="BB624" s="39">
        <f t="shared" si="157"/>
        <v>-5.6831952648340458</v>
      </c>
      <c r="BC624" s="45">
        <f t="shared" si="158"/>
        <v>-35.576896559434928</v>
      </c>
      <c r="BD624" s="45">
        <f t="shared" si="159"/>
        <v>-27.197733695842963</v>
      </c>
      <c r="BE624" s="64">
        <f t="shared" si="160"/>
        <v>5469450148.2755852</v>
      </c>
      <c r="BF624" s="65">
        <f t="shared" si="161"/>
        <v>11689928129.675747</v>
      </c>
      <c r="BG624" s="66">
        <f t="shared" si="162"/>
        <v>11541832094.489246</v>
      </c>
    </row>
    <row r="625" spans="43:59" x14ac:dyDescent="0.25">
      <c r="AQ625" s="7">
        <v>610</v>
      </c>
      <c r="AR625" s="58">
        <f t="shared" si="163"/>
        <v>305</v>
      </c>
      <c r="AS625" s="58">
        <f t="shared" si="164"/>
        <v>78717.510194216171</v>
      </c>
      <c r="AT625" s="58">
        <f t="shared" si="165"/>
        <v>50113.991286510536</v>
      </c>
      <c r="AU625" s="58">
        <f t="shared" si="166"/>
        <v>-3295.6011117698899</v>
      </c>
      <c r="AV625" s="58">
        <f t="shared" si="167"/>
        <v>-289.3662041355924</v>
      </c>
      <c r="AW625" s="58">
        <f t="shared" si="153"/>
        <v>-129.08325581623501</v>
      </c>
      <c r="AX625" s="58">
        <f t="shared" si="168"/>
        <v>-90.918220962181422</v>
      </c>
      <c r="AY625" s="33">
        <f t="shared" si="154"/>
        <v>-78.265388836803325</v>
      </c>
      <c r="AZ625" s="33">
        <f t="shared" si="155"/>
        <v>-56.800783733766387</v>
      </c>
      <c r="BA625" s="39">
        <f t="shared" si="156"/>
        <v>-14.559360637942071</v>
      </c>
      <c r="BB625" s="39">
        <f t="shared" si="157"/>
        <v>-5.9162155185898433</v>
      </c>
      <c r="BC625" s="45">
        <f t="shared" si="158"/>
        <v>-36.2585063414896</v>
      </c>
      <c r="BD625" s="45">
        <f t="shared" si="159"/>
        <v>-28.201221709825191</v>
      </c>
      <c r="BE625" s="64">
        <f t="shared" si="160"/>
        <v>5263698256.7746754</v>
      </c>
      <c r="BF625" s="65">
        <f t="shared" si="161"/>
        <v>11354279115.879417</v>
      </c>
      <c r="BG625" s="66">
        <f t="shared" si="162"/>
        <v>11248453374.378458</v>
      </c>
    </row>
    <row r="626" spans="43:59" x14ac:dyDescent="0.25">
      <c r="AQ626" s="7">
        <v>611</v>
      </c>
      <c r="AR626" s="58">
        <f t="shared" si="163"/>
        <v>305.5</v>
      </c>
      <c r="AS626" s="58">
        <f t="shared" si="164"/>
        <v>77053.5742313542</v>
      </c>
      <c r="AT626" s="58">
        <f t="shared" si="165"/>
        <v>49957.943406822473</v>
      </c>
      <c r="AU626" s="58">
        <f t="shared" si="166"/>
        <v>-3360.1427396780073</v>
      </c>
      <c r="AV626" s="58">
        <f t="shared" si="167"/>
        <v>-334.8253146166831</v>
      </c>
      <c r="AW626" s="58">
        <f t="shared" si="153"/>
        <v>-132.59758275998658</v>
      </c>
      <c r="AX626" s="58">
        <f t="shared" si="168"/>
        <v>-95.452713666378287</v>
      </c>
      <c r="AY626" s="33">
        <f t="shared" si="154"/>
        <v>-80.646651065685802</v>
      </c>
      <c r="AZ626" s="33">
        <f t="shared" si="155"/>
        <v>-60.015362631127026</v>
      </c>
      <c r="BA626" s="39">
        <f t="shared" si="156"/>
        <v>-14.975287743205032</v>
      </c>
      <c r="BB626" s="39">
        <f t="shared" si="157"/>
        <v>-6.1654782410945481</v>
      </c>
      <c r="BC626" s="45">
        <f t="shared" si="158"/>
        <v>-36.975643951095741</v>
      </c>
      <c r="BD626" s="45">
        <f t="shared" si="159"/>
        <v>-29.271872794156703</v>
      </c>
      <c r="BE626" s="64">
        <f t="shared" si="160"/>
        <v>5057787290.909584</v>
      </c>
      <c r="BF626" s="65">
        <f t="shared" si="161"/>
        <v>11016033512.383808</v>
      </c>
      <c r="BG626" s="66">
        <f t="shared" si="162"/>
        <v>10952323455.784306</v>
      </c>
    </row>
    <row r="627" spans="43:59" x14ac:dyDescent="0.25">
      <c r="AQ627" s="7">
        <v>612</v>
      </c>
      <c r="AR627" s="58">
        <f t="shared" si="163"/>
        <v>306</v>
      </c>
      <c r="AS627" s="58">
        <f t="shared" si="164"/>
        <v>75356.928163670193</v>
      </c>
      <c r="AT627" s="58">
        <f t="shared" si="165"/>
        <v>49778.599160305836</v>
      </c>
      <c r="AU627" s="58">
        <f t="shared" si="166"/>
        <v>-3426.4415310580007</v>
      </c>
      <c r="AV627" s="58">
        <f t="shared" si="167"/>
        <v>-382.55167144987223</v>
      </c>
      <c r="AW627" s="58">
        <f t="shared" si="153"/>
        <v>-136.33078395306597</v>
      </c>
      <c r="AX627" s="58">
        <f t="shared" si="168"/>
        <v>-100.37690748625425</v>
      </c>
      <c r="AY627" s="33">
        <f t="shared" si="154"/>
        <v>-83.179599696336766</v>
      </c>
      <c r="AZ627" s="33">
        <f t="shared" si="155"/>
        <v>-63.528036517461253</v>
      </c>
      <c r="BA627" s="39">
        <f t="shared" si="156"/>
        <v>-15.420296891306256</v>
      </c>
      <c r="BB627" s="39">
        <f t="shared" si="157"/>
        <v>-6.432650681860772</v>
      </c>
      <c r="BC627" s="45">
        <f t="shared" si="158"/>
        <v>-37.730887365422959</v>
      </c>
      <c r="BD627" s="45">
        <f t="shared" si="159"/>
        <v>-30.416220286932237</v>
      </c>
      <c r="BE627" s="64">
        <f t="shared" si="160"/>
        <v>4851869442.6755552</v>
      </c>
      <c r="BF627" s="65">
        <f t="shared" si="161"/>
        <v>10675280699.967642</v>
      </c>
      <c r="BG627" s="66">
        <f t="shared" si="162"/>
        <v>10653502813.072828</v>
      </c>
    </row>
    <row r="628" spans="43:59" x14ac:dyDescent="0.25">
      <c r="AQ628" s="7">
        <v>613</v>
      </c>
      <c r="AR628" s="58">
        <f t="shared" si="163"/>
        <v>306.5</v>
      </c>
      <c r="AS628" s="58">
        <f t="shared" si="164"/>
        <v>73626.666050147061</v>
      </c>
      <c r="AT628" s="58">
        <f t="shared" si="165"/>
        <v>49574.776211145123</v>
      </c>
      <c r="AU628" s="58">
        <f t="shared" si="166"/>
        <v>-3494.6069230345338</v>
      </c>
      <c r="AV628" s="58">
        <f t="shared" si="167"/>
        <v>-432.74012519299936</v>
      </c>
      <c r="AW628" s="58">
        <f t="shared" si="153"/>
        <v>-140.3007635248477</v>
      </c>
      <c r="AX628" s="58">
        <f t="shared" si="168"/>
        <v>-105.7386751578008</v>
      </c>
      <c r="AY628" s="33">
        <f t="shared" si="154"/>
        <v>-85.876286346929675</v>
      </c>
      <c r="AZ628" s="33">
        <f t="shared" si="155"/>
        <v>-67.377403743736465</v>
      </c>
      <c r="BA628" s="39">
        <f t="shared" si="156"/>
        <v>-15.897406018159819</v>
      </c>
      <c r="BB628" s="39">
        <f t="shared" si="157"/>
        <v>-6.7196271323964147</v>
      </c>
      <c r="BC628" s="45">
        <f t="shared" si="158"/>
        <v>-38.527071159758194</v>
      </c>
      <c r="BD628" s="45">
        <f t="shared" si="159"/>
        <v>-31.641644281667919</v>
      </c>
      <c r="BE628" s="64">
        <f t="shared" si="160"/>
        <v>4646106104.8719387</v>
      </c>
      <c r="BF628" s="65">
        <f t="shared" si="161"/>
        <v>10332115507.827978</v>
      </c>
      <c r="BG628" s="66">
        <f t="shared" si="162"/>
        <v>10352054336.880823</v>
      </c>
    </row>
    <row r="629" spans="43:59" x14ac:dyDescent="0.25">
      <c r="AQ629" s="7">
        <v>614</v>
      </c>
      <c r="AR629" s="58">
        <f t="shared" si="163"/>
        <v>307</v>
      </c>
      <c r="AS629" s="58">
        <f t="shared" si="164"/>
        <v>71861.824993189191</v>
      </c>
      <c r="AT629" s="58">
        <f t="shared" si="165"/>
        <v>49345.188814153902</v>
      </c>
      <c r="AU629" s="58">
        <f t="shared" si="166"/>
        <v>-3564.7573047969577</v>
      </c>
      <c r="AV629" s="58">
        <f t="shared" si="167"/>
        <v>-485.60946277189976</v>
      </c>
      <c r="AW629" s="58">
        <f t="shared" si="153"/>
        <v>-144.52704159901663</v>
      </c>
      <c r="AX629" s="58">
        <f t="shared" si="168"/>
        <v>-111.59355407933239</v>
      </c>
      <c r="AY629" s="33">
        <f t="shared" si="154"/>
        <v>-88.749658665025009</v>
      </c>
      <c r="AZ629" s="33">
        <f t="shared" si="155"/>
        <v>-71.608475492665235</v>
      </c>
      <c r="BA629" s="39">
        <f t="shared" si="156"/>
        <v>-16.410064208803661</v>
      </c>
      <c r="BB629" s="39">
        <f t="shared" si="157"/>
        <v>-7.0285679039757731</v>
      </c>
      <c r="BC629" s="45">
        <f t="shared" si="158"/>
        <v>-39.36731872518795</v>
      </c>
      <c r="BD629" s="45">
        <f t="shared" si="159"/>
        <v>-32.956510682691381</v>
      </c>
      <c r="BE629" s="64">
        <f t="shared" si="160"/>
        <v>4440668718.5163746</v>
      </c>
      <c r="BF629" s="65">
        <f t="shared" si="161"/>
        <v>9986638773.9007397</v>
      </c>
      <c r="BG629" s="66">
        <f t="shared" si="162"/>
        <v>10048043464.812759</v>
      </c>
    </row>
    <row r="630" spans="43:59" x14ac:dyDescent="0.25">
      <c r="AQ630" s="7">
        <v>615</v>
      </c>
      <c r="AR630" s="58">
        <f t="shared" si="163"/>
        <v>307.5</v>
      </c>
      <c r="AS630" s="58">
        <f t="shared" si="164"/>
        <v>70061.380460590837</v>
      </c>
      <c r="AT630" s="58">
        <f t="shared" si="165"/>
        <v>49088.434888508033</v>
      </c>
      <c r="AU630" s="58">
        <f t="shared" si="166"/>
        <v>-3637.0208255964658</v>
      </c>
      <c r="AV630" s="58">
        <f t="shared" si="167"/>
        <v>-541.40623981156591</v>
      </c>
      <c r="AW630" s="58">
        <f t="shared" si="153"/>
        <v>-149.03083022850433</v>
      </c>
      <c r="AX630" s="58">
        <f t="shared" si="168"/>
        <v>-118.00626192789423</v>
      </c>
      <c r="AY630" s="33">
        <f t="shared" si="154"/>
        <v>-91.81351989921852</v>
      </c>
      <c r="AZ630" s="33">
        <f t="shared" si="155"/>
        <v>-76.273977247177186</v>
      </c>
      <c r="BA630" s="39">
        <f t="shared" si="156"/>
        <v>-16.962230922818289</v>
      </c>
      <c r="BB630" s="39">
        <f t="shared" si="157"/>
        <v>-7.3619464369697107</v>
      </c>
      <c r="BC630" s="45">
        <f t="shared" si="158"/>
        <v>-40.255079406467523</v>
      </c>
      <c r="BD630" s="45">
        <f t="shared" si="159"/>
        <v>-34.370338243747334</v>
      </c>
      <c r="BE630" s="64">
        <f t="shared" si="160"/>
        <v>4235739730.0956984</v>
      </c>
      <c r="BF630" s="65">
        <f t="shared" si="161"/>
        <v>9638957992.5004253</v>
      </c>
      <c r="BG630" s="66">
        <f t="shared" si="162"/>
        <v>9741538323.1081009</v>
      </c>
    </row>
    <row r="631" spans="43:59" x14ac:dyDescent="0.25">
      <c r="AQ631" s="7">
        <v>616</v>
      </c>
      <c r="AR631" s="58">
        <f t="shared" si="163"/>
        <v>308</v>
      </c>
      <c r="AS631" s="58">
        <f t="shared" si="164"/>
        <v>68224.241194014045</v>
      </c>
      <c r="AT631" s="58">
        <f t="shared" si="165"/>
        <v>48802.980985861264</v>
      </c>
      <c r="AU631" s="58">
        <f t="shared" si="166"/>
        <v>-3711.5362407107177</v>
      </c>
      <c r="AV631" s="58">
        <f t="shared" si="167"/>
        <v>-600.40937077551303</v>
      </c>
      <c r="AW631" s="58">
        <f t="shared" si="153"/>
        <v>-153.8350660320387</v>
      </c>
      <c r="AX631" s="58">
        <f t="shared" si="168"/>
        <v>-125.05256821562574</v>
      </c>
      <c r="AY631" s="33">
        <f t="shared" si="154"/>
        <v>-95.082421357679038</v>
      </c>
      <c r="AZ631" s="33">
        <f t="shared" si="155"/>
        <v>-81.435961337911905</v>
      </c>
      <c r="BA631" s="39">
        <f t="shared" si="156"/>
        <v>-17.558473228543935</v>
      </c>
      <c r="BB631" s="39">
        <f t="shared" si="157"/>
        <v>-7.7226065490282911</v>
      </c>
      <c r="BC631" s="45">
        <f t="shared" si="158"/>
        <v>-41.194171445815726</v>
      </c>
      <c r="BD631" s="45">
        <f t="shared" si="159"/>
        <v>-35.89400032868555</v>
      </c>
      <c r="BE631" s="64">
        <f t="shared" si="160"/>
        <v>4031513677.0568581</v>
      </c>
      <c r="BF631" s="65">
        <f t="shared" si="161"/>
        <v>9289188067.6486759</v>
      </c>
      <c r="BG631" s="66">
        <f t="shared" si="162"/>
        <v>9432609881.1213169</v>
      </c>
    </row>
    <row r="632" spans="43:59" x14ac:dyDescent="0.25">
      <c r="AQ632" s="7">
        <v>617</v>
      </c>
      <c r="AR632" s="58">
        <f t="shared" si="163"/>
        <v>308.5</v>
      </c>
      <c r="AS632" s="58">
        <f t="shared" si="164"/>
        <v>66349.243690404677</v>
      </c>
      <c r="AT632" s="58">
        <f t="shared" si="165"/>
        <v>48487.144729446554</v>
      </c>
      <c r="AU632" s="58">
        <f t="shared" si="166"/>
        <v>-3788.4537737267369</v>
      </c>
      <c r="AV632" s="58">
        <f t="shared" si="167"/>
        <v>-662.93565488332592</v>
      </c>
      <c r="AW632" s="58">
        <f t="shared" si="153"/>
        <v>-158.96436856824474</v>
      </c>
      <c r="AX632" s="58">
        <f t="shared" si="168"/>
        <v>-132.82161788687696</v>
      </c>
      <c r="AY632" s="33">
        <f t="shared" si="154"/>
        <v>-98.571450794989005</v>
      </c>
      <c r="AZ632" s="33">
        <f t="shared" si="155"/>
        <v>-87.167815442954833</v>
      </c>
      <c r="BA632" s="39">
        <f t="shared" si="156"/>
        <v>-18.204085971589066</v>
      </c>
      <c r="BB632" s="39">
        <f t="shared" si="157"/>
        <v>-8.1138324033021139</v>
      </c>
      <c r="BC632" s="45">
        <f t="shared" si="158"/>
        <v>-42.188831801666659</v>
      </c>
      <c r="BD632" s="45">
        <f t="shared" si="159"/>
        <v>-37.53997004062002</v>
      </c>
      <c r="BE632" s="64">
        <f t="shared" si="160"/>
        <v>3828198423.7451162</v>
      </c>
      <c r="BF632" s="65">
        <f t="shared" si="161"/>
        <v>8937452195.3302574</v>
      </c>
      <c r="BG632" s="66">
        <f t="shared" si="162"/>
        <v>9121332121.0904446</v>
      </c>
    </row>
    <row r="633" spans="43:59" x14ac:dyDescent="0.25">
      <c r="AQ633" s="7">
        <v>618</v>
      </c>
      <c r="AR633" s="58">
        <f t="shared" si="163"/>
        <v>309</v>
      </c>
      <c r="AS633" s="58">
        <f t="shared" si="164"/>
        <v>64435.146257470275</v>
      </c>
      <c r="AT633" s="58">
        <f t="shared" si="165"/>
        <v>48139.074199769027</v>
      </c>
      <c r="AU633" s="58">
        <f t="shared" si="166"/>
        <v>-3867.9359580108594</v>
      </c>
      <c r="AV633" s="58">
        <f t="shared" si="167"/>
        <v>-729.34646382676442</v>
      </c>
      <c r="AW633" s="58">
        <f t="shared" si="153"/>
        <v>-164.44487665450922</v>
      </c>
      <c r="AX633" s="58">
        <f t="shared" si="168"/>
        <v>-141.41883191565935</v>
      </c>
      <c r="AY633" s="33">
        <f t="shared" si="154"/>
        <v>-102.2958611258433</v>
      </c>
      <c r="AZ633" s="33">
        <f t="shared" si="155"/>
        <v>-93.556777478222415</v>
      </c>
      <c r="BA633" s="39">
        <f t="shared" si="156"/>
        <v>-18.90524139146974</v>
      </c>
      <c r="BB633" s="39">
        <f t="shared" si="157"/>
        <v>-8.5394345382568346</v>
      </c>
      <c r="BC633" s="45">
        <f t="shared" si="158"/>
        <v>-43.243774137196162</v>
      </c>
      <c r="BD633" s="45">
        <f t="shared" si="159"/>
        <v>-39.322619899180104</v>
      </c>
      <c r="BE633" s="64">
        <f t="shared" si="160"/>
        <v>3626016574.7371073</v>
      </c>
      <c r="BF633" s="65">
        <f t="shared" si="161"/>
        <v>8583882904.3358841</v>
      </c>
      <c r="BG633" s="66">
        <f t="shared" si="162"/>
        <v>8807782226.6002274</v>
      </c>
    </row>
    <row r="634" spans="43:59" x14ac:dyDescent="0.25">
      <c r="AQ634" s="7">
        <v>619</v>
      </c>
      <c r="AR634" s="58">
        <f t="shared" si="163"/>
        <v>309.5</v>
      </c>
      <c r="AS634" s="58">
        <f t="shared" si="164"/>
        <v>62480.622668883036</v>
      </c>
      <c r="AT634" s="58">
        <f t="shared" si="165"/>
        <v>47756.72361386619</v>
      </c>
      <c r="AU634" s="58">
        <f t="shared" si="166"/>
        <v>-3950.158396338114</v>
      </c>
      <c r="AV634" s="58">
        <f t="shared" si="167"/>
        <v>-800.05587978459414</v>
      </c>
      <c r="AW634" s="58">
        <f t="shared" si="153"/>
        <v>-170.30388898130994</v>
      </c>
      <c r="AX634" s="58">
        <f t="shared" si="168"/>
        <v>-150.9695479443962</v>
      </c>
      <c r="AY634" s="33">
        <f t="shared" si="154"/>
        <v>-106.27045554570246</v>
      </c>
      <c r="AZ634" s="33">
        <f t="shared" si="155"/>
        <v>-100.70710098975778</v>
      </c>
      <c r="BA634" s="39">
        <f t="shared" si="156"/>
        <v>-19.669176883137212</v>
      </c>
      <c r="BB634" s="39">
        <f t="shared" si="157"/>
        <v>-9.0038563150788438</v>
      </c>
      <c r="BC634" s="45">
        <f t="shared" si="158"/>
        <v>-44.364256552470259</v>
      </c>
      <c r="BD634" s="45">
        <f t="shared" si="159"/>
        <v>-41.258590639559557</v>
      </c>
      <c r="BE634" s="64">
        <f t="shared" si="160"/>
        <v>3425207098.4592309</v>
      </c>
      <c r="BF634" s="65">
        <f t="shared" si="161"/>
        <v>8228623293.9005432</v>
      </c>
      <c r="BG634" s="66">
        <f t="shared" si="162"/>
        <v>8492040794.5273619</v>
      </c>
    </row>
    <row r="635" spans="43:59" x14ac:dyDescent="0.25">
      <c r="AQ635" s="7">
        <v>620</v>
      </c>
      <c r="AR635" s="58">
        <f t="shared" si="163"/>
        <v>310</v>
      </c>
      <c r="AS635" s="58">
        <f t="shared" si="164"/>
        <v>60484.255484591318</v>
      </c>
      <c r="AT635" s="58">
        <f t="shared" si="165"/>
        <v>47337.824480480849</v>
      </c>
      <c r="AU635" s="58">
        <f t="shared" si="166"/>
        <v>-4035.3103408287689</v>
      </c>
      <c r="AV635" s="58">
        <f t="shared" si="167"/>
        <v>-875.54065375679227</v>
      </c>
      <c r="AW635" s="58">
        <f t="shared" si="153"/>
        <v>-176.56919542807799</v>
      </c>
      <c r="AX635" s="58">
        <f t="shared" si="168"/>
        <v>-161.62361418715091</v>
      </c>
      <c r="AY635" s="33">
        <f t="shared" si="154"/>
        <v>-110.50860181562305</v>
      </c>
      <c r="AZ635" s="33">
        <f t="shared" si="155"/>
        <v>-108.74405938846377</v>
      </c>
      <c r="BA635" s="39">
        <f t="shared" si="156"/>
        <v>-20.504432632745324</v>
      </c>
      <c r="BB635" s="39">
        <f t="shared" si="157"/>
        <v>-9.5123065014853836</v>
      </c>
      <c r="BC635" s="45">
        <f t="shared" si="158"/>
        <v>-45.556160979709588</v>
      </c>
      <c r="BD635" s="45">
        <f t="shared" si="159"/>
        <v>-43.367248297201748</v>
      </c>
      <c r="BE635" s="64">
        <f t="shared" si="160"/>
        <v>3226027201.4792614</v>
      </c>
      <c r="BF635" s="65">
        <f t="shared" si="161"/>
        <v>7871828517.8441639</v>
      </c>
      <c r="BG635" s="66">
        <f t="shared" si="162"/>
        <v>8174192077.3304653</v>
      </c>
    </row>
    <row r="636" spans="43:59" x14ac:dyDescent="0.25">
      <c r="AQ636" s="7">
        <v>621</v>
      </c>
      <c r="AR636" s="58">
        <f t="shared" si="163"/>
        <v>310.5</v>
      </c>
      <c r="AS636" s="58">
        <f t="shared" si="164"/>
        <v>58444.529164748419</v>
      </c>
      <c r="AT636" s="58">
        <f t="shared" si="165"/>
        <v>46879.851201829057</v>
      </c>
      <c r="AU636" s="58">
        <f t="shared" si="166"/>
        <v>-4123.5949385428075</v>
      </c>
      <c r="AV636" s="58">
        <f t="shared" si="167"/>
        <v>-956.35246085036772</v>
      </c>
      <c r="AW636" s="58">
        <f t="shared" si="153"/>
        <v>-183.26792338605156</v>
      </c>
      <c r="AX636" s="58">
        <f t="shared" si="168"/>
        <v>-173.56121562701958</v>
      </c>
      <c r="AY636" s="33">
        <f t="shared" si="154"/>
        <v>-115.02068167710078</v>
      </c>
      <c r="AZ636" s="33">
        <f t="shared" si="155"/>
        <v>-117.81903506131327</v>
      </c>
      <c r="BA636" s="39">
        <f t="shared" si="156"/>
        <v>-21.421155118627567</v>
      </c>
      <c r="BB636" s="39">
        <f t="shared" si="157"/>
        <v>-10.070925554121365</v>
      </c>
      <c r="BC636" s="45">
        <f t="shared" si="158"/>
        <v>-46.826086590323214</v>
      </c>
      <c r="BD636" s="45">
        <f t="shared" si="159"/>
        <v>-45.671255011584954</v>
      </c>
      <c r="BE636" s="64">
        <f t="shared" si="160"/>
        <v>3028754503.377389</v>
      </c>
      <c r="BF636" s="65">
        <f t="shared" si="161"/>
        <v>7513667580.5481167</v>
      </c>
      <c r="BG636" s="66">
        <f t="shared" si="162"/>
        <v>7854324265.6971169</v>
      </c>
    </row>
    <row r="637" spans="43:59" x14ac:dyDescent="0.25">
      <c r="AQ637" s="7">
        <v>622</v>
      </c>
      <c r="AR637" s="58">
        <f t="shared" si="163"/>
        <v>311</v>
      </c>
      <c r="AS637" s="58">
        <f t="shared" si="164"/>
        <v>56359.823205053755</v>
      </c>
      <c r="AT637" s="58">
        <f t="shared" si="165"/>
        <v>46379.979819450498</v>
      </c>
      <c r="AU637" s="58">
        <f t="shared" si="166"/>
        <v>-4215.228900235833</v>
      </c>
      <c r="AV637" s="58">
        <f t="shared" si="167"/>
        <v>-1043.1330686638776</v>
      </c>
      <c r="AW637" s="58">
        <f t="shared" si="153"/>
        <v>-190.42462616850881</v>
      </c>
      <c r="AX637" s="58">
        <f t="shared" si="168"/>
        <v>-187.00029692849719</v>
      </c>
      <c r="AY637" s="33">
        <f t="shared" si="154"/>
        <v>-119.81167754225318</v>
      </c>
      <c r="AZ637" s="33">
        <f t="shared" si="155"/>
        <v>-128.11601362049106</v>
      </c>
      <c r="BA637" s="39">
        <f t="shared" si="156"/>
        <v>-22.431488530583838</v>
      </c>
      <c r="BB637" s="39">
        <f t="shared" si="157"/>
        <v>-10.686995671420908</v>
      </c>
      <c r="BC637" s="45">
        <f t="shared" si="158"/>
        <v>-48.181460095671781</v>
      </c>
      <c r="BD637" s="45">
        <f t="shared" si="159"/>
        <v>-48.197287636585237</v>
      </c>
      <c r="BE637" s="64">
        <f t="shared" si="160"/>
        <v>2833689574.2636437</v>
      </c>
      <c r="BF637" s="65">
        <f t="shared" si="161"/>
        <v>7154325531.5706902</v>
      </c>
      <c r="BG637" s="66">
        <f t="shared" si="162"/>
        <v>7532529826.3916035</v>
      </c>
    </row>
    <row r="638" spans="43:59" x14ac:dyDescent="0.25">
      <c r="AQ638" s="7">
        <v>623</v>
      </c>
      <c r="AR638" s="58">
        <f t="shared" si="163"/>
        <v>311.5</v>
      </c>
      <c r="AS638" s="58">
        <f t="shared" si="164"/>
        <v>54228.405676664777</v>
      </c>
      <c r="AT638" s="58">
        <f t="shared" si="165"/>
        <v>45835.038248002493</v>
      </c>
      <c r="AU638" s="58">
        <f t="shared" si="166"/>
        <v>-4310.4412133200876</v>
      </c>
      <c r="AV638" s="58">
        <f t="shared" si="167"/>
        <v>-1136.6332171281263</v>
      </c>
      <c r="AW638" s="58">
        <f t="shared" si="153"/>
        <v>-198.05818723336418</v>
      </c>
      <c r="AX638" s="58">
        <f t="shared" si="168"/>
        <v>-202.20605507753231</v>
      </c>
      <c r="AY638" s="33">
        <f t="shared" si="154"/>
        <v>-124.87743585088566</v>
      </c>
      <c r="AZ638" s="33">
        <f t="shared" si="155"/>
        <v>-139.85989662731623</v>
      </c>
      <c r="BA638" s="39">
        <f t="shared" si="156"/>
        <v>-23.550084896344206</v>
      </c>
      <c r="BB638" s="39">
        <f t="shared" si="157"/>
        <v>-11.36920812606788</v>
      </c>
      <c r="BC638" s="45">
        <f t="shared" si="158"/>
        <v>-49.630666486134317</v>
      </c>
      <c r="BD638" s="45">
        <f t="shared" si="159"/>
        <v>-50.976950324148184</v>
      </c>
      <c r="BE638" s="64">
        <f t="shared" si="160"/>
        <v>2641158912.6421518</v>
      </c>
      <c r="BF638" s="65">
        <f t="shared" si="161"/>
        <v>6794006175.5353222</v>
      </c>
      <c r="BG638" s="66">
        <f t="shared" si="162"/>
        <v>7208905917.6355028</v>
      </c>
    </row>
    <row r="639" spans="43:59" x14ac:dyDescent="0.25">
      <c r="AQ639" s="7">
        <v>624</v>
      </c>
      <c r="AR639" s="58">
        <f t="shared" si="163"/>
        <v>312</v>
      </c>
      <c r="AS639" s="58">
        <f t="shared" si="164"/>
        <v>52048.427796600568</v>
      </c>
      <c r="AT639" s="58">
        <f t="shared" si="165"/>
        <v>45241.445882553737</v>
      </c>
      <c r="AU639" s="58">
        <f t="shared" si="166"/>
        <v>-4409.4703069367697</v>
      </c>
      <c r="AV639" s="58">
        <f t="shared" si="167"/>
        <v>-1237.7362446668924</v>
      </c>
      <c r="AW639" s="58">
        <f t="shared" si="153"/>
        <v>-206.17687020594801</v>
      </c>
      <c r="AX639" s="58">
        <f t="shared" si="168"/>
        <v>-219.50310770671319</v>
      </c>
      <c r="AY639" s="33">
        <f t="shared" si="154"/>
        <v>-130.19888916498934</v>
      </c>
      <c r="AZ639" s="33">
        <f t="shared" si="155"/>
        <v>-153.32715728134045</v>
      </c>
      <c r="BA639" s="39">
        <f t="shared" si="156"/>
        <v>-24.794776467076616</v>
      </c>
      <c r="BB639" s="39">
        <f t="shared" si="157"/>
        <v>-12.128006116959655</v>
      </c>
      <c r="BC639" s="45">
        <f t="shared" si="158"/>
        <v>-51.183204573882051</v>
      </c>
      <c r="BD639" s="45">
        <f t="shared" si="159"/>
        <v>-54.047944308413086</v>
      </c>
      <c r="BE639" s="64">
        <f t="shared" si="160"/>
        <v>2451518461.5396523</v>
      </c>
      <c r="BF639" s="65">
        <f t="shared" si="161"/>
        <v>6432935455.854928</v>
      </c>
      <c r="BG639" s="66">
        <f t="shared" si="162"/>
        <v>6883554916.0845985</v>
      </c>
    </row>
    <row r="640" spans="43:59" x14ac:dyDescent="0.25">
      <c r="AQ640" s="7">
        <v>625</v>
      </c>
      <c r="AR640" s="58">
        <f t="shared" si="163"/>
        <v>312.5</v>
      </c>
      <c r="AS640" s="58">
        <f t="shared" si="164"/>
        <v>49817.920534356439</v>
      </c>
      <c r="AT640" s="58">
        <f t="shared" si="165"/>
        <v>44595.139871756946</v>
      </c>
      <c r="AU640" s="58">
        <f t="shared" si="166"/>
        <v>-4512.5587420397433</v>
      </c>
      <c r="AV640" s="58">
        <f t="shared" si="167"/>
        <v>-1347.487798520249</v>
      </c>
      <c r="AW640" s="58">
        <f t="shared" si="153"/>
        <v>-214.7704544568453</v>
      </c>
      <c r="AX640" s="58">
        <f t="shared" si="168"/>
        <v>-239.29109391704068</v>
      </c>
      <c r="AY640" s="33">
        <f t="shared" si="154"/>
        <v>-135.73310890699619</v>
      </c>
      <c r="AZ640" s="33">
        <f t="shared" si="155"/>
        <v>-168.85948348852938</v>
      </c>
      <c r="BA640" s="39">
        <f t="shared" si="156"/>
        <v>-26.187472835095761</v>
      </c>
      <c r="BB640" s="39">
        <f t="shared" si="157"/>
        <v>-12.976027912091181</v>
      </c>
      <c r="BC640" s="45">
        <f t="shared" si="158"/>
        <v>-52.84987271475336</v>
      </c>
      <c r="BD640" s="45">
        <f t="shared" si="159"/>
        <v>-57.455582516420122</v>
      </c>
      <c r="BE640" s="64">
        <f t="shared" si="160"/>
        <v>2265157787.0984073</v>
      </c>
      <c r="BF640" s="65">
        <f t="shared" si="161"/>
        <v>6071365730.4881382</v>
      </c>
      <c r="BG640" s="66">
        <f t="shared" si="162"/>
        <v>6556585108.0452919</v>
      </c>
    </row>
    <row r="641" spans="43:59" x14ac:dyDescent="0.25">
      <c r="AQ641" s="7">
        <v>626</v>
      </c>
      <c r="AR641" s="58">
        <f t="shared" si="163"/>
        <v>313</v>
      </c>
      <c r="AS641" s="58">
        <f t="shared" si="164"/>
        <v>47534.794856529457</v>
      </c>
      <c r="AT641" s="58">
        <f t="shared" si="165"/>
        <v>43891.484585757193</v>
      </c>
      <c r="AU641" s="58">
        <f t="shared" si="166"/>
        <v>-4619.9439692681663</v>
      </c>
      <c r="AV641" s="58">
        <f t="shared" si="167"/>
        <v>-1467.1333454787693</v>
      </c>
      <c r="AW641" s="58">
        <f t="shared" si="153"/>
        <v>-223.79776719347331</v>
      </c>
      <c r="AX641" s="58">
        <f t="shared" si="168"/>
        <v>-262.06460735256877</v>
      </c>
      <c r="AY641" s="33">
        <f t="shared" si="154"/>
        <v>-141.39940213771192</v>
      </c>
      <c r="AZ641" s="33">
        <f t="shared" si="155"/>
        <v>-186.8811512902771</v>
      </c>
      <c r="BA641" s="39">
        <f t="shared" si="156"/>
        <v>-27.755373745757897</v>
      </c>
      <c r="BB641" s="39">
        <f t="shared" si="157"/>
        <v>-13.928684072775221</v>
      </c>
      <c r="BC641" s="45">
        <f t="shared" si="158"/>
        <v>-54.642991310003474</v>
      </c>
      <c r="BD641" s="45">
        <f t="shared" si="159"/>
        <v>-61.25477198951647</v>
      </c>
      <c r="BE641" s="64">
        <f t="shared" si="160"/>
        <v>2082505078.1465645</v>
      </c>
      <c r="BF641" s="65">
        <f t="shared" si="161"/>
        <v>5709581243.7401342</v>
      </c>
      <c r="BG641" s="66">
        <f t="shared" si="162"/>
        <v>6228111627.3321114</v>
      </c>
    </row>
    <row r="642" spans="43:59" x14ac:dyDescent="0.25">
      <c r="AQ642" s="7">
        <v>627</v>
      </c>
      <c r="AR642" s="58">
        <f t="shared" si="163"/>
        <v>313.5</v>
      </c>
      <c r="AS642" s="58">
        <f t="shared" si="164"/>
        <v>45196.848150996193</v>
      </c>
      <c r="AT642" s="58">
        <f t="shared" si="165"/>
        <v>43125.159837098741</v>
      </c>
      <c r="AU642" s="58">
        <f t="shared" si="166"/>
        <v>-4731.8428528649029</v>
      </c>
      <c r="AV642" s="58">
        <f t="shared" si="167"/>
        <v>-1598.1656491550536</v>
      </c>
      <c r="AW642" s="58">
        <f t="shared" si="153"/>
        <v>-233.16690525488957</v>
      </c>
      <c r="AX642" s="58">
        <f t="shared" si="168"/>
        <v>-288.43842485529126</v>
      </c>
      <c r="AY642" s="33">
        <f t="shared" si="154"/>
        <v>-147.05760295202268</v>
      </c>
      <c r="AZ642" s="33">
        <f t="shared" si="155"/>
        <v>-207.92087085778155</v>
      </c>
      <c r="BA642" s="39">
        <f t="shared" si="156"/>
        <v>-29.532632167584957</v>
      </c>
      <c r="BB642" s="39">
        <f t="shared" si="157"/>
        <v>-15.004914941529236</v>
      </c>
      <c r="BC642" s="45">
        <f t="shared" si="158"/>
        <v>-56.576670135281944</v>
      </c>
      <c r="BD642" s="45">
        <f t="shared" si="159"/>
        <v>-65.512639055980472</v>
      </c>
      <c r="BE642" s="64">
        <f t="shared" si="160"/>
        <v>1904033170.1631937</v>
      </c>
      <c r="BF642" s="65">
        <f t="shared" si="161"/>
        <v>5347905223.057395</v>
      </c>
      <c r="BG642" s="66">
        <f t="shared" si="162"/>
        <v>5898257770.3824463</v>
      </c>
    </row>
    <row r="643" spans="43:59" x14ac:dyDescent="0.25">
      <c r="AQ643" s="7">
        <v>628</v>
      </c>
      <c r="AR643" s="58">
        <f t="shared" si="163"/>
        <v>314</v>
      </c>
      <c r="AS643" s="58">
        <f t="shared" si="164"/>
        <v>42801.780861406878</v>
      </c>
      <c r="AT643" s="58">
        <f t="shared" si="165"/>
        <v>42290.022209414303</v>
      </c>
      <c r="AU643" s="58">
        <f t="shared" si="166"/>
        <v>-4848.4263054923476</v>
      </c>
      <c r="AV643" s="58">
        <f t="shared" si="167"/>
        <v>-1742.3848615826992</v>
      </c>
      <c r="AW643" s="58">
        <f t="shared" si="153"/>
        <v>-242.70379088592489</v>
      </c>
      <c r="AX643" s="58">
        <f t="shared" si="168"/>
        <v>-319.17880348239873</v>
      </c>
      <c r="AY643" s="33">
        <f t="shared" si="154"/>
        <v>-152.47399065156998</v>
      </c>
      <c r="AZ643" s="33">
        <f t="shared" si="155"/>
        <v>-232.63856246002243</v>
      </c>
      <c r="BA643" s="39">
        <f t="shared" si="156"/>
        <v>-31.562670075709573</v>
      </c>
      <c r="BB643" s="39">
        <f t="shared" si="157"/>
        <v>-16.228191362633392</v>
      </c>
      <c r="BC643" s="45">
        <f t="shared" si="158"/>
        <v>-58.667130158645321</v>
      </c>
      <c r="BD643" s="45">
        <f t="shared" si="159"/>
        <v>-70.312049659742939</v>
      </c>
      <c r="BE643" s="64">
        <f t="shared" si="160"/>
        <v>1730266855.7831614</v>
      </c>
      <c r="BF643" s="65">
        <f t="shared" si="161"/>
        <v>4986709213.6486397</v>
      </c>
      <c r="BG643" s="66">
        <f t="shared" si="162"/>
        <v>5567156898.2771492</v>
      </c>
    </row>
    <row r="644" spans="43:59" x14ac:dyDescent="0.25">
      <c r="AQ644" s="7">
        <v>629</v>
      </c>
      <c r="AR644" s="58">
        <f t="shared" si="163"/>
        <v>314.5</v>
      </c>
      <c r="AS644" s="58">
        <f t="shared" si="164"/>
        <v>40347.229734799963</v>
      </c>
      <c r="AT644" s="58">
        <f t="shared" si="165"/>
        <v>41378.932428187654</v>
      </c>
      <c r="AU644" s="58">
        <f t="shared" si="166"/>
        <v>-4969.7782009353105</v>
      </c>
      <c r="AV644" s="58">
        <f t="shared" si="167"/>
        <v>-1901.9742633238984</v>
      </c>
      <c r="AW644" s="58">
        <f t="shared" si="153"/>
        <v>-252.10204898387465</v>
      </c>
      <c r="AX644" s="58">
        <f t="shared" si="168"/>
        <v>-355.24077115237833</v>
      </c>
      <c r="AY644" s="33">
        <f t="shared" si="154"/>
        <v>-157.26750086568623</v>
      </c>
      <c r="AZ644" s="33">
        <f t="shared" si="155"/>
        <v>-261.85653302306457</v>
      </c>
      <c r="BA644" s="39">
        <f t="shared" si="156"/>
        <v>-33.901457027888682</v>
      </c>
      <c r="BB644" s="39">
        <f t="shared" si="157"/>
        <v>-17.6278436304389</v>
      </c>
      <c r="BC644" s="45">
        <f t="shared" si="158"/>
        <v>-60.93309109029974</v>
      </c>
      <c r="BD644" s="45">
        <f t="shared" si="159"/>
        <v>-75.756394498874812</v>
      </c>
      <c r="BE644" s="64">
        <f t="shared" si="160"/>
        <v>1561791820.3544328</v>
      </c>
      <c r="BF644" s="65">
        <f t="shared" si="161"/>
        <v>4626425536.9974918</v>
      </c>
      <c r="BG644" s="66">
        <f t="shared" si="162"/>
        <v>5234955266.362875</v>
      </c>
    </row>
    <row r="645" spans="43:59" x14ac:dyDescent="0.25">
      <c r="AQ645" s="7">
        <v>630</v>
      </c>
      <c r="AR645" s="58">
        <f t="shared" si="163"/>
        <v>315</v>
      </c>
      <c r="AS645" s="58">
        <f t="shared" si="164"/>
        <v>37830.827878209326</v>
      </c>
      <c r="AT645" s="58">
        <f t="shared" si="165"/>
        <v>40383.540200131662</v>
      </c>
      <c r="AU645" s="58">
        <f t="shared" si="166"/>
        <v>-5095.8292254272474</v>
      </c>
      <c r="AV645" s="58">
        <f t="shared" si="167"/>
        <v>-2079.5946489000876</v>
      </c>
      <c r="AW645" s="58">
        <f t="shared" si="153"/>
        <v>-260.84298662135978</v>
      </c>
      <c r="AX645" s="58">
        <f t="shared" si="168"/>
        <v>-397.80893417937136</v>
      </c>
      <c r="AY645" s="33">
        <f t="shared" si="154"/>
        <v>-160.824514327082</v>
      </c>
      <c r="AZ645" s="33">
        <f t="shared" si="155"/>
        <v>-296.59191475367163</v>
      </c>
      <c r="BA645" s="39">
        <f t="shared" si="156"/>
        <v>-36.622235400038782</v>
      </c>
      <c r="BB645" s="39">
        <f t="shared" si="157"/>
        <v>-19.240830579827023</v>
      </c>
      <c r="BC645" s="45">
        <f t="shared" si="158"/>
        <v>-63.396236894239017</v>
      </c>
      <c r="BD645" s="45">
        <f t="shared" si="159"/>
        <v>-81.976188845872699</v>
      </c>
      <c r="BE645" s="64">
        <f t="shared" si="160"/>
        <v>1399265638.916002</v>
      </c>
      <c r="BF645" s="65">
        <f t="shared" si="161"/>
        <v>4267564168.1720896</v>
      </c>
      <c r="BG645" s="66">
        <f t="shared" si="162"/>
        <v>4901816341.8323927</v>
      </c>
    </row>
    <row r="646" spans="43:59" x14ac:dyDescent="0.25">
      <c r="AQ646" s="7">
        <v>631</v>
      </c>
      <c r="AR646" s="58">
        <f t="shared" si="163"/>
        <v>315.5</v>
      </c>
      <c r="AS646" s="58">
        <f t="shared" si="164"/>
        <v>35250.307892168028</v>
      </c>
      <c r="AT646" s="58">
        <f t="shared" si="165"/>
        <v>39294.016758909194</v>
      </c>
      <c r="AU646" s="58">
        <f t="shared" si="166"/>
        <v>-5226.2507187379269</v>
      </c>
      <c r="AV646" s="58">
        <f t="shared" si="167"/>
        <v>-2278.4991159897731</v>
      </c>
      <c r="AW646" s="58">
        <f t="shared" si="153"/>
        <v>-268.06806343891651</v>
      </c>
      <c r="AX646" s="58">
        <f t="shared" si="168"/>
        <v>-448.33342053135095</v>
      </c>
      <c r="AY646" s="33">
        <f t="shared" si="154"/>
        <v>-162.16383094768335</v>
      </c>
      <c r="AZ646" s="33">
        <f t="shared" si="155"/>
        <v>-338.08101418643503</v>
      </c>
      <c r="BA646" s="39">
        <f t="shared" si="156"/>
        <v>-39.822462023065206</v>
      </c>
      <c r="BB646" s="39">
        <f t="shared" si="157"/>
        <v>-21.114088127100953</v>
      </c>
      <c r="BC646" s="45">
        <f t="shared" si="158"/>
        <v>-66.081770468167946</v>
      </c>
      <c r="BD646" s="45">
        <f t="shared" si="159"/>
        <v>-89.138318217814941</v>
      </c>
      <c r="BE646" s="64">
        <f t="shared" si="160"/>
        <v>1243431392.4717212</v>
      </c>
      <c r="BF646" s="65">
        <f t="shared" si="161"/>
        <v>3910735940.0506172</v>
      </c>
      <c r="BG646" s="66">
        <f t="shared" si="162"/>
        <v>4567927541.2310362</v>
      </c>
    </row>
    <row r="647" spans="43:59" x14ac:dyDescent="0.25">
      <c r="AQ647" s="7">
        <v>632</v>
      </c>
      <c r="AR647" s="58">
        <f t="shared" si="163"/>
        <v>316</v>
      </c>
      <c r="AS647" s="58">
        <f t="shared" si="164"/>
        <v>32603.6740248692</v>
      </c>
      <c r="AT647" s="58">
        <f t="shared" si="165"/>
        <v>38098.725523347886</v>
      </c>
      <c r="AU647" s="58">
        <f t="shared" si="166"/>
        <v>-5360.2847504573856</v>
      </c>
      <c r="AV647" s="58">
        <f t="shared" si="167"/>
        <v>-2502.6658262554488</v>
      </c>
      <c r="AW647" s="58">
        <f t="shared" si="153"/>
        <v>-272.37741506688258</v>
      </c>
      <c r="AX647" s="58">
        <f t="shared" si="168"/>
        <v>-508.5390671875939</v>
      </c>
      <c r="AY647" s="33">
        <f t="shared" si="154"/>
        <v>-159.72413821905025</v>
      </c>
      <c r="AZ647" s="33">
        <f t="shared" si="155"/>
        <v>-387.77225237453871</v>
      </c>
      <c r="BA647" s="39">
        <f t="shared" si="156"/>
        <v>-43.634214681874198</v>
      </c>
      <c r="BB647" s="39">
        <f t="shared" si="157"/>
        <v>-23.307608156669403</v>
      </c>
      <c r="BC647" s="45">
        <f t="shared" si="158"/>
        <v>-69.019062165958104</v>
      </c>
      <c r="BD647" s="45">
        <f t="shared" si="159"/>
        <v>-97.459206656385803</v>
      </c>
      <c r="BE647" s="64">
        <f t="shared" si="160"/>
        <v>1095134602.5783441</v>
      </c>
      <c r="BF647" s="65">
        <f t="shared" si="161"/>
        <v>3556684896.9511404</v>
      </c>
      <c r="BG647" s="66">
        <f t="shared" si="162"/>
        <v>4233510952.3724589</v>
      </c>
    </row>
    <row r="648" spans="43:59" x14ac:dyDescent="0.25">
      <c r="AQ648" s="7">
        <v>633</v>
      </c>
      <c r="AR648" s="58">
        <f t="shared" si="163"/>
        <v>316.5</v>
      </c>
      <c r="AS648" s="58">
        <f t="shared" si="164"/>
        <v>29889.484472757147</v>
      </c>
      <c r="AT648" s="58">
        <f t="shared" si="165"/>
        <v>36783.825226821711</v>
      </c>
      <c r="AU648" s="58">
        <f t="shared" si="166"/>
        <v>-5496.4734579908272</v>
      </c>
      <c r="AV648" s="58">
        <f t="shared" si="167"/>
        <v>-2756.9353598492457</v>
      </c>
      <c r="AW648" s="58">
        <f t="shared" si="153"/>
        <v>-271.51868763282539</v>
      </c>
      <c r="AX648" s="58">
        <f t="shared" si="168"/>
        <v>-580.35660425365222</v>
      </c>
      <c r="AY648" s="33">
        <f t="shared" si="154"/>
        <v>-151.03618515808884</v>
      </c>
      <c r="AZ648" s="33">
        <f t="shared" si="155"/>
        <v>-447.23435900822705</v>
      </c>
      <c r="BA648" s="39">
        <f t="shared" si="156"/>
        <v>-48.24012632284299</v>
      </c>
      <c r="BB648" s="39">
        <f t="shared" si="157"/>
        <v>-25.898345633464565</v>
      </c>
      <c r="BC648" s="45">
        <f t="shared" si="158"/>
        <v>-72.242376151893581</v>
      </c>
      <c r="BD648" s="45">
        <f t="shared" si="159"/>
        <v>-107.22389961196058</v>
      </c>
      <c r="BE648" s="64">
        <f t="shared" si="160"/>
        <v>955344323.05194438</v>
      </c>
      <c r="BF648" s="65">
        <f t="shared" si="161"/>
        <v>3206333954.7384076</v>
      </c>
      <c r="BG648" s="66">
        <f t="shared" si="162"/>
        <v>3898840681.8967786</v>
      </c>
    </row>
    <row r="649" spans="43:59" x14ac:dyDescent="0.25">
      <c r="AQ649" s="7">
        <v>634</v>
      </c>
      <c r="AR649" s="58">
        <f t="shared" si="163"/>
        <v>317</v>
      </c>
      <c r="AS649" s="58">
        <f t="shared" si="164"/>
        <v>27107.30790780763</v>
      </c>
      <c r="AT649" s="58">
        <f t="shared" si="165"/>
        <v>35332.812971365383</v>
      </c>
      <c r="AU649" s="58">
        <f t="shared" si="166"/>
        <v>-5632.2328018072403</v>
      </c>
      <c r="AV649" s="58">
        <f t="shared" si="167"/>
        <v>-3047.1136619760719</v>
      </c>
      <c r="AW649" s="58">
        <f t="shared" si="153"/>
        <v>-261.93053662057991</v>
      </c>
      <c r="AX649" s="58">
        <f t="shared" si="168"/>
        <v>-665.66436939284529</v>
      </c>
      <c r="AY649" s="33">
        <f t="shared" si="154"/>
        <v>-132.24062389434121</v>
      </c>
      <c r="AZ649" s="33">
        <f t="shared" si="155"/>
        <v>-517.86535771505976</v>
      </c>
      <c r="BA649" s="39">
        <f t="shared" si="156"/>
        <v>-53.898310733782253</v>
      </c>
      <c r="BB649" s="39">
        <f t="shared" si="157"/>
        <v>-28.98479845130651</v>
      </c>
      <c r="BC649" s="45">
        <f t="shared" si="158"/>
        <v>-75.791601992456407</v>
      </c>
      <c r="BD649" s="45">
        <f t="shared" si="159"/>
        <v>-118.81421322647904</v>
      </c>
      <c r="BE649" s="64">
        <f t="shared" si="160"/>
        <v>825179303.59539008</v>
      </c>
      <c r="BF649" s="65">
        <f t="shared" si="161"/>
        <v>2860849871.363173</v>
      </c>
      <c r="BG649" s="66">
        <f t="shared" si="162"/>
        <v>3564271282.6972136</v>
      </c>
    </row>
    <row r="650" spans="43:59" x14ac:dyDescent="0.25">
      <c r="AQ650" s="7">
        <v>635</v>
      </c>
      <c r="AR650" s="58">
        <f t="shared" si="163"/>
        <v>317.5</v>
      </c>
      <c r="AS650" s="58">
        <f t="shared" si="164"/>
        <v>24258.450189826439</v>
      </c>
      <c r="AT650" s="58">
        <f t="shared" si="165"/>
        <v>33726.048094203245</v>
      </c>
      <c r="AU650" s="58">
        <f t="shared" si="166"/>
        <v>-5763.1980701175307</v>
      </c>
      <c r="AV650" s="58">
        <f t="shared" si="167"/>
        <v>-3379.9458466724946</v>
      </c>
      <c r="AW650" s="58">
        <f t="shared" si="153"/>
        <v>-238.14813339044068</v>
      </c>
      <c r="AX650" s="58">
        <f t="shared" si="168"/>
        <v>-765.61660028308222</v>
      </c>
      <c r="AY650" s="33">
        <f t="shared" si="154"/>
        <v>-97.453205832376568</v>
      </c>
      <c r="AZ650" s="33">
        <f t="shared" si="155"/>
        <v>-600.17432379509944</v>
      </c>
      <c r="BA650" s="39">
        <f t="shared" si="156"/>
        <v>-60.982157221235745</v>
      </c>
      <c r="BB650" s="39">
        <f t="shared" si="157"/>
        <v>-32.691284690576218</v>
      </c>
      <c r="BC650" s="45">
        <f t="shared" si="158"/>
        <v>-79.712770336828356</v>
      </c>
      <c r="BD650" s="45">
        <f t="shared" si="159"/>
        <v>-132.7509917974065</v>
      </c>
      <c r="BE650" s="64">
        <f t="shared" si="160"/>
        <v>705939996.65869451</v>
      </c>
      <c r="BF650" s="65">
        <f t="shared" si="161"/>
        <v>2521735771.3737936</v>
      </c>
      <c r="BG650" s="66">
        <f t="shared" si="162"/>
        <v>3230284670.3891625</v>
      </c>
    </row>
    <row r="651" spans="43:59" x14ac:dyDescent="0.25">
      <c r="AQ651" s="7">
        <v>636</v>
      </c>
      <c r="AR651" s="58">
        <f t="shared" si="163"/>
        <v>318</v>
      </c>
      <c r="AS651" s="58">
        <f t="shared" si="164"/>
        <v>21347.082638093871</v>
      </c>
      <c r="AT651" s="58">
        <f t="shared" si="165"/>
        <v>31940.373095831612</v>
      </c>
      <c r="AU651" s="58">
        <f t="shared" si="166"/>
        <v>-5882.2721368127513</v>
      </c>
      <c r="AV651" s="58">
        <f t="shared" si="167"/>
        <v>-3762.7541468140357</v>
      </c>
      <c r="AW651" s="58">
        <f t="shared" si="153"/>
        <v>-192.25674542562894</v>
      </c>
      <c r="AX651" s="58">
        <f t="shared" si="168"/>
        <v>-879.16319891944238</v>
      </c>
      <c r="AY651" s="33">
        <f t="shared" si="154"/>
        <v>-38.154046831016501</v>
      </c>
      <c r="AZ651" s="33">
        <f t="shared" si="155"/>
        <v>-692.23603162562199</v>
      </c>
      <c r="BA651" s="39">
        <f t="shared" si="156"/>
        <v>-70.044955994633284</v>
      </c>
      <c r="BB651" s="39">
        <f t="shared" si="157"/>
        <v>-37.16858288297869</v>
      </c>
      <c r="BC651" s="45">
        <f t="shared" si="158"/>
        <v>-84.05774259997915</v>
      </c>
      <c r="BD651" s="45">
        <f t="shared" si="159"/>
        <v>-149.75858441084162</v>
      </c>
      <c r="BE651" s="64">
        <f t="shared" si="160"/>
        <v>599146468.69730365</v>
      </c>
      <c r="BF651" s="65">
        <f t="shared" si="161"/>
        <v>2190961214.265655</v>
      </c>
      <c r="BG651" s="66">
        <f t="shared" si="162"/>
        <v>2897567389.9144201</v>
      </c>
    </row>
    <row r="652" spans="43:59" x14ac:dyDescent="0.25">
      <c r="AQ652" s="7">
        <v>637</v>
      </c>
      <c r="AR652" s="58">
        <f t="shared" si="163"/>
        <v>318.5</v>
      </c>
      <c r="AS652" s="58">
        <f t="shared" si="164"/>
        <v>18381.91447650929</v>
      </c>
      <c r="AT652" s="58">
        <f t="shared" si="165"/>
        <v>29949.100622559665</v>
      </c>
      <c r="AU652" s="58">
        <f t="shared" si="166"/>
        <v>-5978.4005095255661</v>
      </c>
      <c r="AV652" s="58">
        <f t="shared" si="167"/>
        <v>-4202.3357462737567</v>
      </c>
      <c r="AW652" s="58">
        <f t="shared" si="153"/>
        <v>-114.09619829158274</v>
      </c>
      <c r="AX652" s="58">
        <f t="shared" si="168"/>
        <v>-1000.2470601579306</v>
      </c>
      <c r="AY652" s="33">
        <f t="shared" si="154"/>
        <v>56.711041268043097</v>
      </c>
      <c r="AZ652" s="33">
        <f t="shared" si="155"/>
        <v>-786.80134847874888</v>
      </c>
      <c r="BA652" s="39">
        <f t="shared" si="156"/>
        <v>-81.925805605022248</v>
      </c>
      <c r="BB652" s="39">
        <f t="shared" si="157"/>
        <v>-42.581152136095575</v>
      </c>
      <c r="BC652" s="45">
        <f t="shared" si="158"/>
        <v>-88.881433954603594</v>
      </c>
      <c r="BD652" s="45">
        <f t="shared" si="159"/>
        <v>-170.8645595430861</v>
      </c>
      <c r="BE652" s="64">
        <f t="shared" si="160"/>
        <v>506580319.52313894</v>
      </c>
      <c r="BF652" s="65">
        <f t="shared" si="161"/>
        <v>1871137974.5310841</v>
      </c>
      <c r="BG652" s="66">
        <f t="shared" si="162"/>
        <v>2567135571.3637886</v>
      </c>
    </row>
    <row r="653" spans="43:59" x14ac:dyDescent="0.25">
      <c r="AQ653" s="7">
        <v>638</v>
      </c>
      <c r="AR653" s="58">
        <f t="shared" si="163"/>
        <v>319</v>
      </c>
      <c r="AS653" s="58">
        <f t="shared" si="164"/>
        <v>15378.452196960059</v>
      </c>
      <c r="AT653" s="58">
        <f t="shared" si="165"/>
        <v>27722.901866903045</v>
      </c>
      <c r="AU653" s="58">
        <f t="shared" si="166"/>
        <v>-6035.4486086713578</v>
      </c>
      <c r="AV653" s="58">
        <f t="shared" si="167"/>
        <v>-4702.4592763527216</v>
      </c>
      <c r="AW653" s="58">
        <f t="shared" si="153"/>
        <v>5.9867234910242644</v>
      </c>
      <c r="AX653" s="58">
        <f t="shared" si="168"/>
        <v>-1113.630372485497</v>
      </c>
      <c r="AY653" s="33">
        <f t="shared" si="154"/>
        <v>198.14064813770477</v>
      </c>
      <c r="AZ653" s="33">
        <f t="shared" si="155"/>
        <v>-867.02097520178779</v>
      </c>
      <c r="BA653" s="39">
        <f t="shared" si="156"/>
        <v>-97.921763598404297</v>
      </c>
      <c r="BB653" s="39">
        <f t="shared" si="157"/>
        <v>-49.05409081287393</v>
      </c>
      <c r="BC653" s="45">
        <f t="shared" si="158"/>
        <v>-94.232161048276211</v>
      </c>
      <c r="BD653" s="45">
        <f t="shared" si="159"/>
        <v>-197.55530647083515</v>
      </c>
      <c r="BE653" s="64">
        <f t="shared" si="160"/>
        <v>430324464.01417392</v>
      </c>
      <c r="BF653" s="65">
        <f t="shared" si="161"/>
        <v>1565736130.4364636</v>
      </c>
      <c r="BG653" s="66">
        <f t="shared" si="162"/>
        <v>2240527657.8728142</v>
      </c>
    </row>
    <row r="654" spans="43:59" x14ac:dyDescent="0.25">
      <c r="AQ654" s="7">
        <v>639</v>
      </c>
      <c r="AR654" s="58">
        <f t="shared" si="163"/>
        <v>319.5</v>
      </c>
      <c r="AS654" s="58">
        <f t="shared" si="164"/>
        <v>12361.476233060757</v>
      </c>
      <c r="AT654" s="58">
        <f t="shared" si="165"/>
        <v>25232.468432165995</v>
      </c>
      <c r="AU654" s="58">
        <f t="shared" si="166"/>
        <v>-6032.455246925846</v>
      </c>
      <c r="AV654" s="58">
        <f t="shared" si="167"/>
        <v>-5259.2744625954701</v>
      </c>
      <c r="AW654" s="58">
        <f t="shared" si="153"/>
        <v>168.87509853105172</v>
      </c>
      <c r="AX654" s="58">
        <f t="shared" si="168"/>
        <v>-1191.6979756389983</v>
      </c>
      <c r="AY654" s="33">
        <f t="shared" si="154"/>
        <v>389.05329937175395</v>
      </c>
      <c r="AZ654" s="33">
        <f t="shared" si="155"/>
        <v>-903.16866976301014</v>
      </c>
      <c r="BA654" s="39">
        <f t="shared" si="156"/>
        <v>-120.05496460490046</v>
      </c>
      <c r="BB654" s="39">
        <f t="shared" si="157"/>
        <v>-56.509580876310672</v>
      </c>
      <c r="BC654" s="45">
        <f t="shared" si="158"/>
        <v>-100.12323623580176</v>
      </c>
      <c r="BD654" s="45">
        <f t="shared" si="159"/>
        <v>-232.01972499967746</v>
      </c>
      <c r="BE654" s="64">
        <f t="shared" si="160"/>
        <v>372787482.03585923</v>
      </c>
      <c r="BF654" s="65">
        <f t="shared" si="161"/>
        <v>1279293238.5198898</v>
      </c>
      <c r="BG654" s="66">
        <f t="shared" si="162"/>
        <v>1920072373.1363668</v>
      </c>
    </row>
    <row r="655" spans="43:59" x14ac:dyDescent="0.25">
      <c r="AQ655" s="7">
        <v>640</v>
      </c>
      <c r="AR655" s="58">
        <f t="shared" si="163"/>
        <v>320</v>
      </c>
      <c r="AS655" s="58">
        <f t="shared" si="164"/>
        <v>9366.3579969142156</v>
      </c>
      <c r="AT655" s="58">
        <f t="shared" si="165"/>
        <v>22453.868953913385</v>
      </c>
      <c r="AU655" s="58">
        <f t="shared" si="166"/>
        <v>-5948.0176976603198</v>
      </c>
      <c r="AV655" s="58">
        <f t="shared" si="167"/>
        <v>-5855.1234504149688</v>
      </c>
      <c r="AW655" s="58">
        <f t="shared" si="153"/>
        <v>352.23821961894146</v>
      </c>
      <c r="AX655" s="58">
        <f t="shared" si="168"/>
        <v>-1199.7531909642898</v>
      </c>
      <c r="AY655" s="33">
        <f t="shared" si="154"/>
        <v>610.1224415692584</v>
      </c>
      <c r="AZ655" s="33">
        <f t="shared" si="155"/>
        <v>-858.00246372980746</v>
      </c>
      <c r="BA655" s="39">
        <f t="shared" si="156"/>
        <v>-151.43024948388396</v>
      </c>
      <c r="BB655" s="39">
        <f t="shared" si="157"/>
        <v>-64.219488263708698</v>
      </c>
      <c r="BC655" s="45">
        <f t="shared" si="158"/>
        <v>-106.453972466433</v>
      </c>
      <c r="BD655" s="45">
        <f t="shared" si="159"/>
        <v>-277.5312389707737</v>
      </c>
      <c r="BE655" s="64">
        <f t="shared" si="160"/>
        <v>336692538.94060481</v>
      </c>
      <c r="BF655" s="65">
        <f t="shared" si="161"/>
        <v>1017481833.9241753</v>
      </c>
      <c r="BG655" s="66">
        <f t="shared" si="162"/>
        <v>1609184541.7124178</v>
      </c>
    </row>
    <row r="656" spans="43:59" x14ac:dyDescent="0.25">
      <c r="AQ656" s="7">
        <v>641</v>
      </c>
      <c r="AR656" s="58">
        <f t="shared" si="163"/>
        <v>320.5</v>
      </c>
      <c r="AS656" s="58">
        <f t="shared" si="164"/>
        <v>6436.3789255364236</v>
      </c>
      <c r="AT656" s="58">
        <f t="shared" si="165"/>
        <v>19376.338079835365</v>
      </c>
      <c r="AU656" s="58">
        <f t="shared" si="166"/>
        <v>-5771.8985878508493</v>
      </c>
      <c r="AV656" s="58">
        <f t="shared" si="167"/>
        <v>-6455.0000458971135</v>
      </c>
      <c r="AW656" s="58">
        <f t="shared" ref="AW656:AW719" si="169">(AY656+BA656+BC656)</f>
        <v>501.22858490967963</v>
      </c>
      <c r="AX656" s="58">
        <f t="shared" si="168"/>
        <v>-1118.4307759938363</v>
      </c>
      <c r="AY656" s="33">
        <f t="shared" ref="AY656:AY719" si="170">$H$27*(($H$23-AS656)/(BE656+$H$28^2)^(3/2))</f>
        <v>810.51566225263753</v>
      </c>
      <c r="AZ656" s="33">
        <f t="shared" ref="AZ656:AZ719" si="171">$H$27*(($I$23-AT656)/(BE656+$H$28^2)^(3/2))</f>
        <v>-709.68939423093354</v>
      </c>
      <c r="BA656" s="39">
        <f t="shared" ref="BA656:BA719" si="172">$H$35*(($H$31-AS656)/(BF656+$H$36^2)^(3/2))</f>
        <v>-196.49107960088196</v>
      </c>
      <c r="BB656" s="39">
        <f t="shared" ref="BB656:BB719" si="173">$H$35*(($I$31-AT656)/(BF656+$H$36^2)^(3/2))</f>
        <v>-69.690588003717224</v>
      </c>
      <c r="BC656" s="45">
        <f t="shared" ref="BC656:BC719" si="174">$H$43*(($H$39-AS656)/(BG656+$H$44^2)^(3/2))</f>
        <v>-112.79599774207587</v>
      </c>
      <c r="BD656" s="45">
        <f t="shared" ref="BD656:BD719" si="175">$H$43*(($I$39-AT656)/(BG656+$H$44^2)^(3/2))</f>
        <v>-339.05079375918552</v>
      </c>
      <c r="BE656" s="64">
        <f t="shared" ref="BE656:BE719" si="176">($H$23-AS656)^2+($I$23-AT656)^2</f>
        <v>325019222.83817995</v>
      </c>
      <c r="BF656" s="65">
        <f t="shared" ref="BF656:BF719" si="177">($H$31-AS656)^2+($I$31-AT656)^2</f>
        <v>786797846.48191702</v>
      </c>
      <c r="BG656" s="66">
        <f t="shared" ref="BG656:BG719" si="178">($H$39-AS656)^2+($I$39-AT656)^2</f>
        <v>1312523382.7075925</v>
      </c>
    </row>
    <row r="657" spans="43:59" x14ac:dyDescent="0.25">
      <c r="AQ657" s="7">
        <v>642</v>
      </c>
      <c r="AR657" s="58">
        <f t="shared" ref="AR657:AR720" si="179">AR656+$H$9</f>
        <v>321</v>
      </c>
      <c r="AS657" s="58">
        <f t="shared" ref="AS657:AS720" si="180">AS656+(AU656*$H$9)+(AW656*$H$9^2)*(1/2)</f>
        <v>3613.083204724709</v>
      </c>
      <c r="AT657" s="58">
        <f t="shared" ref="AT657:AT720" si="181">AT656+(AV656*$H$9)+(AX656*$H$9^2)*(1/2)</f>
        <v>16009.034209887579</v>
      </c>
      <c r="AU657" s="58">
        <f t="shared" ref="AU657:AU720" si="182">AU656+AW656*$H$9</f>
        <v>-5521.2842953960098</v>
      </c>
      <c r="AV657" s="58">
        <f t="shared" ref="AV657:AV720" si="183">AV656+AX656*$H$9</f>
        <v>-7014.2154338940318</v>
      </c>
      <c r="AW657" s="58">
        <f t="shared" si="169"/>
        <v>548.58167906844449</v>
      </c>
      <c r="AX657" s="58">
        <f t="shared" ref="AX657:AX720" si="184">(AZ657+BB657+BD657)</f>
        <v>-971.62255009412684</v>
      </c>
      <c r="AY657" s="33">
        <f t="shared" si="170"/>
        <v>926.68993641947452</v>
      </c>
      <c r="AZ657" s="33">
        <f t="shared" si="171"/>
        <v>-481.19096895795201</v>
      </c>
      <c r="BA657" s="39">
        <f t="shared" si="172"/>
        <v>-260.28370935807533</v>
      </c>
      <c r="BB657" s="39">
        <f t="shared" si="173"/>
        <v>-66.236742582440939</v>
      </c>
      <c r="BC657" s="45">
        <f t="shared" si="174"/>
        <v>-117.82454799295479</v>
      </c>
      <c r="BD657" s="45">
        <f t="shared" si="175"/>
        <v>-424.19483855373397</v>
      </c>
      <c r="BE657" s="64">
        <f t="shared" si="176"/>
        <v>340934705.24031252</v>
      </c>
      <c r="BF657" s="65">
        <f t="shared" si="177"/>
        <v>593686190.56885147</v>
      </c>
      <c r="BG657" s="66">
        <f t="shared" si="178"/>
        <v>1035745404.9214889</v>
      </c>
    </row>
    <row r="658" spans="43:59" x14ac:dyDescent="0.25">
      <c r="AQ658" s="7">
        <v>643</v>
      </c>
      <c r="AR658" s="58">
        <f t="shared" si="179"/>
        <v>321.5</v>
      </c>
      <c r="AS658" s="58">
        <f t="shared" si="180"/>
        <v>921.01376691025973</v>
      </c>
      <c r="AT658" s="58">
        <f t="shared" si="181"/>
        <v>12380.473674178798</v>
      </c>
      <c r="AU658" s="58">
        <f t="shared" si="182"/>
        <v>-5246.9934558617879</v>
      </c>
      <c r="AV658" s="58">
        <f t="shared" si="183"/>
        <v>-7500.0267089410954</v>
      </c>
      <c r="AW658" s="58">
        <f t="shared" si="169"/>
        <v>465.43657956935562</v>
      </c>
      <c r="AX658" s="58">
        <f t="shared" si="184"/>
        <v>-821.06943273944194</v>
      </c>
      <c r="AY658" s="33">
        <f t="shared" si="170"/>
        <v>927.16176785077187</v>
      </c>
      <c r="AZ658" s="33">
        <f t="shared" si="171"/>
        <v>-237.17133313157007</v>
      </c>
      <c r="BA658" s="39">
        <f t="shared" si="172"/>
        <v>-343.91990661410875</v>
      </c>
      <c r="BB658" s="39">
        <f t="shared" si="173"/>
        <v>-39.132534056060045</v>
      </c>
      <c r="BC658" s="45">
        <f t="shared" si="174"/>
        <v>-117.80528166730751</v>
      </c>
      <c r="BD658" s="45">
        <f t="shared" si="175"/>
        <v>-544.76556555181185</v>
      </c>
      <c r="BE658" s="64">
        <f t="shared" si="176"/>
        <v>387826738.96678019</v>
      </c>
      <c r="BF658" s="65">
        <f t="shared" si="177"/>
        <v>443355471.94870687</v>
      </c>
      <c r="BG658" s="66">
        <f t="shared" si="178"/>
        <v>784748742.65033925</v>
      </c>
    </row>
    <row r="659" spans="43:59" x14ac:dyDescent="0.25">
      <c r="AQ659" s="7">
        <v>644</v>
      </c>
      <c r="AR659" s="58">
        <f t="shared" si="179"/>
        <v>322</v>
      </c>
      <c r="AS659" s="58">
        <f t="shared" si="180"/>
        <v>-1644.3033885744649</v>
      </c>
      <c r="AT659" s="58">
        <f t="shared" si="181"/>
        <v>8527.82664061582</v>
      </c>
      <c r="AU659" s="58">
        <f t="shared" si="182"/>
        <v>-5014.27516607711</v>
      </c>
      <c r="AV659" s="58">
        <f t="shared" si="183"/>
        <v>-7910.561425310816</v>
      </c>
      <c r="AW659" s="58">
        <f t="shared" si="169"/>
        <v>300.13346098874945</v>
      </c>
      <c r="AX659" s="58">
        <f t="shared" si="184"/>
        <v>-723.67650607841915</v>
      </c>
      <c r="AY659" s="33">
        <f t="shared" si="170"/>
        <v>833.80539301149577</v>
      </c>
      <c r="AZ659" s="33">
        <f t="shared" si="171"/>
        <v>-39.595055596880691</v>
      </c>
      <c r="BA659" s="39">
        <f t="shared" si="172"/>
        <v>-431.17146175078102</v>
      </c>
      <c r="BB659" s="39">
        <f t="shared" si="173"/>
        <v>34.58104329972025</v>
      </c>
      <c r="BC659" s="45">
        <f t="shared" si="174"/>
        <v>-102.50047027196527</v>
      </c>
      <c r="BD659" s="45">
        <f t="shared" si="175"/>
        <v>-718.66249378125872</v>
      </c>
      <c r="BE659" s="64">
        <f t="shared" si="176"/>
        <v>469532296.77981573</v>
      </c>
      <c r="BF659" s="65">
        <f t="shared" si="177"/>
        <v>339098892.49077934</v>
      </c>
      <c r="BG659" s="66">
        <f t="shared" si="178"/>
        <v>564819326.1788044</v>
      </c>
    </row>
    <row r="660" spans="43:59" x14ac:dyDescent="0.25">
      <c r="AQ660" s="7">
        <v>645</v>
      </c>
      <c r="AR660" s="58">
        <f t="shared" si="179"/>
        <v>322.5</v>
      </c>
      <c r="AS660" s="58">
        <f t="shared" si="180"/>
        <v>-4113.9242889894258</v>
      </c>
      <c r="AT660" s="58">
        <f t="shared" si="181"/>
        <v>4482.0863647006099</v>
      </c>
      <c r="AU660" s="58">
        <f t="shared" si="182"/>
        <v>-4864.2084355827355</v>
      </c>
      <c r="AV660" s="58">
        <f t="shared" si="183"/>
        <v>-8272.3996783500261</v>
      </c>
      <c r="AW660" s="58">
        <f t="shared" si="169"/>
        <v>179.62721717755906</v>
      </c>
      <c r="AX660" s="58">
        <f t="shared" si="184"/>
        <v>-717.95478910860606</v>
      </c>
      <c r="AY660" s="33">
        <f t="shared" si="170"/>
        <v>695.72385015923271</v>
      </c>
      <c r="AZ660" s="33">
        <f t="shared" si="171"/>
        <v>87.071455837540498</v>
      </c>
      <c r="BA660" s="39">
        <f t="shared" si="172"/>
        <v>-472.02586310255964</v>
      </c>
      <c r="BB660" s="39">
        <f t="shared" si="173"/>
        <v>163.95477357711076</v>
      </c>
      <c r="BC660" s="45">
        <f t="shared" si="174"/>
        <v>-44.070769879114017</v>
      </c>
      <c r="BD660" s="45">
        <f t="shared" si="175"/>
        <v>-968.98101852325738</v>
      </c>
      <c r="BE660" s="64">
        <f t="shared" si="176"/>
        <v>590589147.32524014</v>
      </c>
      <c r="BF660" s="65">
        <f t="shared" si="177"/>
        <v>282814772.38258302</v>
      </c>
      <c r="BG660" s="66">
        <f t="shared" si="178"/>
        <v>380336819.28729641</v>
      </c>
    </row>
    <row r="661" spans="43:59" x14ac:dyDescent="0.25">
      <c r="AQ661" s="7">
        <v>646</v>
      </c>
      <c r="AR661" s="58">
        <f t="shared" si="179"/>
        <v>323</v>
      </c>
      <c r="AS661" s="58">
        <f t="shared" si="180"/>
        <v>-6523.575104633599</v>
      </c>
      <c r="AT661" s="58">
        <f t="shared" si="181"/>
        <v>256.14217688702115</v>
      </c>
      <c r="AU661" s="58">
        <f t="shared" si="182"/>
        <v>-4774.3948269939556</v>
      </c>
      <c r="AV661" s="58">
        <f t="shared" si="183"/>
        <v>-8631.3770729043299</v>
      </c>
      <c r="AW661" s="58">
        <f t="shared" si="169"/>
        <v>272.58475384084198</v>
      </c>
      <c r="AX661" s="58">
        <f t="shared" si="184"/>
        <v>-853.01819999044142</v>
      </c>
      <c r="AY661" s="33">
        <f t="shared" si="170"/>
        <v>554.54934350410019</v>
      </c>
      <c r="AZ661" s="33">
        <f t="shared" si="171"/>
        <v>151.45305956671615</v>
      </c>
      <c r="BA661" s="39">
        <f t="shared" si="172"/>
        <v>-412.02853553933284</v>
      </c>
      <c r="BB661" s="39">
        <f t="shared" si="173"/>
        <v>297.90894102345374</v>
      </c>
      <c r="BC661" s="45">
        <f t="shared" si="174"/>
        <v>130.06394587607463</v>
      </c>
      <c r="BD661" s="45">
        <f t="shared" si="175"/>
        <v>-1302.3802005806112</v>
      </c>
      <c r="BE661" s="64">
        <f t="shared" si="176"/>
        <v>755973512.49261439</v>
      </c>
      <c r="BF661" s="65">
        <f t="shared" si="177"/>
        <v>276556793.23749131</v>
      </c>
      <c r="BG661" s="66">
        <f t="shared" si="178"/>
        <v>235071155.22085032</v>
      </c>
    </row>
    <row r="662" spans="43:59" x14ac:dyDescent="0.25">
      <c r="AQ662" s="7">
        <v>647</v>
      </c>
      <c r="AR662" s="58">
        <f t="shared" si="179"/>
        <v>323.5</v>
      </c>
      <c r="AS662" s="58">
        <f t="shared" si="180"/>
        <v>-8876.6994239004707</v>
      </c>
      <c r="AT662" s="58">
        <f t="shared" si="181"/>
        <v>-4166.1736345639483</v>
      </c>
      <c r="AU662" s="58">
        <f t="shared" si="182"/>
        <v>-4638.1024500735348</v>
      </c>
      <c r="AV662" s="58">
        <f t="shared" si="183"/>
        <v>-9057.8861728995507</v>
      </c>
      <c r="AW662" s="58">
        <f t="shared" si="169"/>
        <v>728.08962676332987</v>
      </c>
      <c r="AX662" s="58">
        <f t="shared" si="184"/>
        <v>-1074.0018803480295</v>
      </c>
      <c r="AY662" s="33">
        <f t="shared" si="170"/>
        <v>432.00901094955572</v>
      </c>
      <c r="AZ662" s="33">
        <f t="shared" si="171"/>
        <v>174.53144694446524</v>
      </c>
      <c r="BA662" s="39">
        <f t="shared" si="172"/>
        <v>-276.85379444236486</v>
      </c>
      <c r="BB662" s="39">
        <f t="shared" si="173"/>
        <v>352.5894941547719</v>
      </c>
      <c r="BC662" s="45">
        <f t="shared" si="174"/>
        <v>572.93441025613902</v>
      </c>
      <c r="BD662" s="45">
        <f t="shared" si="175"/>
        <v>-1601.1228214472667</v>
      </c>
      <c r="BE662" s="64">
        <f t="shared" si="176"/>
        <v>969963376.8900888</v>
      </c>
      <c r="BF662" s="65">
        <f t="shared" si="177"/>
        <v>324408291.1508708</v>
      </c>
      <c r="BG662" s="66">
        <f t="shared" si="178"/>
        <v>132400592.13968758</v>
      </c>
    </row>
    <row r="663" spans="43:59" x14ac:dyDescent="0.25">
      <c r="AQ663" s="7">
        <v>648</v>
      </c>
      <c r="AR663" s="58">
        <f t="shared" si="179"/>
        <v>324</v>
      </c>
      <c r="AS663" s="58">
        <f t="shared" si="180"/>
        <v>-11104.739445591822</v>
      </c>
      <c r="AT663" s="58">
        <f t="shared" si="181"/>
        <v>-8829.3669560572289</v>
      </c>
      <c r="AU663" s="58">
        <f t="shared" si="182"/>
        <v>-4274.0576366918694</v>
      </c>
      <c r="AV663" s="58">
        <f t="shared" si="183"/>
        <v>-9594.8871130735661</v>
      </c>
      <c r="AW663" s="58">
        <f t="shared" si="169"/>
        <v>1560.2178757528579</v>
      </c>
      <c r="AX663" s="58">
        <f t="shared" si="184"/>
        <v>-897.1708300782791</v>
      </c>
      <c r="AY663" s="33">
        <f t="shared" si="170"/>
        <v>334.20790213148734</v>
      </c>
      <c r="AZ663" s="33">
        <f t="shared" si="171"/>
        <v>175.45247350697684</v>
      </c>
      <c r="BA663" s="39">
        <f t="shared" si="172"/>
        <v>-150.65202868824218</v>
      </c>
      <c r="BB663" s="39">
        <f t="shared" si="173"/>
        <v>318.89817206530432</v>
      </c>
      <c r="BC663" s="45">
        <f t="shared" si="174"/>
        <v>1376.6620023096127</v>
      </c>
      <c r="BD663" s="45">
        <f t="shared" si="175"/>
        <v>-1391.5214756505602</v>
      </c>
      <c r="BE663" s="64">
        <f t="shared" si="176"/>
        <v>1234153041.1637297</v>
      </c>
      <c r="BF663" s="65">
        <f t="shared" si="177"/>
        <v>433670720.29667002</v>
      </c>
      <c r="BG663" s="66">
        <f t="shared" si="178"/>
        <v>75344555.861563176</v>
      </c>
    </row>
    <row r="664" spans="43:59" x14ac:dyDescent="0.25">
      <c r="AQ664" s="7">
        <v>649</v>
      </c>
      <c r="AR664" s="58">
        <f t="shared" si="179"/>
        <v>324.5</v>
      </c>
      <c r="AS664" s="58">
        <f t="shared" si="180"/>
        <v>-13046.741029468649</v>
      </c>
      <c r="AT664" s="58">
        <f t="shared" si="181"/>
        <v>-13738.956866353798</v>
      </c>
      <c r="AU664" s="58">
        <f t="shared" si="182"/>
        <v>-3493.9486988154404</v>
      </c>
      <c r="AV664" s="58">
        <f t="shared" si="183"/>
        <v>-10043.472528112705</v>
      </c>
      <c r="AW664" s="58">
        <f t="shared" si="169"/>
        <v>2150.1898635506618</v>
      </c>
      <c r="AX664" s="58">
        <f t="shared" si="184"/>
        <v>110.11933717979372</v>
      </c>
      <c r="AY664" s="33">
        <f t="shared" si="170"/>
        <v>259.77622281871294</v>
      </c>
      <c r="AZ664" s="33">
        <f t="shared" si="171"/>
        <v>166.95673520214802</v>
      </c>
      <c r="BA664" s="39">
        <f t="shared" si="172"/>
        <v>-73.5006930297087</v>
      </c>
      <c r="BB664" s="39">
        <f t="shared" si="173"/>
        <v>250.93697629760945</v>
      </c>
      <c r="BC664" s="45">
        <f t="shared" si="174"/>
        <v>1963.9143337616574</v>
      </c>
      <c r="BD664" s="45">
        <f t="shared" si="175"/>
        <v>-307.77437431996378</v>
      </c>
      <c r="BE664" s="64">
        <f t="shared" si="176"/>
        <v>1543180381.4396036</v>
      </c>
      <c r="BF664" s="65">
        <f t="shared" si="177"/>
        <v>611885883.41388083</v>
      </c>
      <c r="BG664" s="66">
        <f t="shared" si="178"/>
        <v>66340270.980250403</v>
      </c>
    </row>
    <row r="665" spans="43:59" x14ac:dyDescent="0.25">
      <c r="AQ665" s="7">
        <v>650</v>
      </c>
      <c r="AR665" s="58">
        <f t="shared" si="179"/>
        <v>325</v>
      </c>
      <c r="AS665" s="58">
        <f t="shared" si="180"/>
        <v>-14524.941645932535</v>
      </c>
      <c r="AT665" s="58">
        <f t="shared" si="181"/>
        <v>-18746.928213262676</v>
      </c>
      <c r="AU665" s="58">
        <f t="shared" si="182"/>
        <v>-2418.8537670401092</v>
      </c>
      <c r="AV665" s="58">
        <f t="shared" si="183"/>
        <v>-9988.4128595228085</v>
      </c>
      <c r="AW665" s="58">
        <f t="shared" si="169"/>
        <v>1871.0311686283753</v>
      </c>
      <c r="AX665" s="58">
        <f t="shared" si="184"/>
        <v>1014.965126462102</v>
      </c>
      <c r="AY665" s="33">
        <f t="shared" si="170"/>
        <v>205.0438183283641</v>
      </c>
      <c r="AZ665" s="33">
        <f t="shared" si="171"/>
        <v>155.88065102122729</v>
      </c>
      <c r="BA665" s="39">
        <f t="shared" si="172"/>
        <v>-36.095078981690456</v>
      </c>
      <c r="BB665" s="39">
        <f t="shared" si="173"/>
        <v>189.51809775102097</v>
      </c>
      <c r="BC665" s="45">
        <f t="shared" si="174"/>
        <v>1702.0824292817017</v>
      </c>
      <c r="BD665" s="45">
        <f t="shared" si="175"/>
        <v>669.56637768985377</v>
      </c>
      <c r="BE665" s="64">
        <f t="shared" si="176"/>
        <v>1880872836.2872112</v>
      </c>
      <c r="BF665" s="65">
        <f t="shared" si="177"/>
        <v>856362145.67892158</v>
      </c>
      <c r="BG665" s="66">
        <f t="shared" si="178"/>
        <v>104763984.39376381</v>
      </c>
    </row>
    <row r="666" spans="43:59" x14ac:dyDescent="0.25">
      <c r="AQ666" s="7">
        <v>651</v>
      </c>
      <c r="AR666" s="58">
        <f t="shared" si="179"/>
        <v>325.5</v>
      </c>
      <c r="AS666" s="58">
        <f t="shared" si="180"/>
        <v>-15500.489633374042</v>
      </c>
      <c r="AT666" s="58">
        <f t="shared" si="181"/>
        <v>-23614.264002216318</v>
      </c>
      <c r="AU666" s="58">
        <f t="shared" si="182"/>
        <v>-1483.3381827259216</v>
      </c>
      <c r="AV666" s="58">
        <f t="shared" si="183"/>
        <v>-9480.9302962917573</v>
      </c>
      <c r="AW666" s="58">
        <f t="shared" si="169"/>
        <v>1291.9273471202716</v>
      </c>
      <c r="AX666" s="58">
        <f t="shared" si="184"/>
        <v>1230.475581538662</v>
      </c>
      <c r="AY666" s="33">
        <f t="shared" si="170"/>
        <v>165.44420612209888</v>
      </c>
      <c r="AZ666" s="33">
        <f t="shared" si="171"/>
        <v>145.00292137043499</v>
      </c>
      <c r="BA666" s="39">
        <f t="shared" si="172"/>
        <v>-19.459870342981091</v>
      </c>
      <c r="BB666" s="39">
        <f t="shared" si="173"/>
        <v>145.3778668918541</v>
      </c>
      <c r="BC666" s="45">
        <f t="shared" si="174"/>
        <v>1145.9430113411538</v>
      </c>
      <c r="BD666" s="45">
        <f t="shared" si="175"/>
        <v>940.09479327637303</v>
      </c>
      <c r="BE666" s="64">
        <f t="shared" si="176"/>
        <v>2228382188.608912</v>
      </c>
      <c r="BF666" s="65">
        <f t="shared" si="177"/>
        <v>1150164337.9500701</v>
      </c>
      <c r="BG666" s="66">
        <f t="shared" si="178"/>
        <v>184465826.84047562</v>
      </c>
    </row>
    <row r="667" spans="43:59" x14ac:dyDescent="0.25">
      <c r="AQ667" s="7">
        <v>652</v>
      </c>
      <c r="AR667" s="58">
        <f t="shared" si="179"/>
        <v>326</v>
      </c>
      <c r="AS667" s="58">
        <f t="shared" si="180"/>
        <v>-16080.667806346968</v>
      </c>
      <c r="AT667" s="58">
        <f t="shared" si="181"/>
        <v>-28200.919702669864</v>
      </c>
      <c r="AU667" s="58">
        <f t="shared" si="182"/>
        <v>-837.37450916578575</v>
      </c>
      <c r="AV667" s="58">
        <f t="shared" si="183"/>
        <v>-8865.6925055224256</v>
      </c>
      <c r="AW667" s="58">
        <f t="shared" si="169"/>
        <v>857.94681181089913</v>
      </c>
      <c r="AX667" s="58">
        <f t="shared" si="184"/>
        <v>1124.0208910610552</v>
      </c>
      <c r="AY667" s="33">
        <f t="shared" si="170"/>
        <v>136.44382862072354</v>
      </c>
      <c r="AZ667" s="33">
        <f t="shared" si="171"/>
        <v>135.00776082244269</v>
      </c>
      <c r="BA667" s="39">
        <f t="shared" si="172"/>
        <v>-11.834988230551115</v>
      </c>
      <c r="BB667" s="39">
        <f t="shared" si="173"/>
        <v>115.35318078152932</v>
      </c>
      <c r="BC667" s="45">
        <f t="shared" si="174"/>
        <v>733.33797142072672</v>
      </c>
      <c r="BD667" s="45">
        <f t="shared" si="175"/>
        <v>873.65994945708314</v>
      </c>
      <c r="BE667" s="64">
        <f t="shared" si="176"/>
        <v>2576370256.9684439</v>
      </c>
      <c r="BF667" s="65">
        <f t="shared" si="177"/>
        <v>1474671430.974036</v>
      </c>
      <c r="BG667" s="66">
        <f t="shared" si="178"/>
        <v>297045480.03095156</v>
      </c>
    </row>
    <row r="668" spans="43:59" x14ac:dyDescent="0.25">
      <c r="AQ668" s="7">
        <v>653</v>
      </c>
      <c r="AR668" s="58">
        <f t="shared" si="179"/>
        <v>326.5</v>
      </c>
      <c r="AS668" s="58">
        <f t="shared" si="180"/>
        <v>-16392.1117094535</v>
      </c>
      <c r="AT668" s="58">
        <f t="shared" si="181"/>
        <v>-32493.263344048446</v>
      </c>
      <c r="AU668" s="58">
        <f t="shared" si="182"/>
        <v>-408.40110326033619</v>
      </c>
      <c r="AV668" s="58">
        <f t="shared" si="183"/>
        <v>-8303.6820599918974</v>
      </c>
      <c r="AW668" s="58">
        <f t="shared" si="169"/>
        <v>587.523694592683</v>
      </c>
      <c r="AX668" s="58">
        <f t="shared" si="184"/>
        <v>959.01994864461949</v>
      </c>
      <c r="AY668" s="33">
        <f t="shared" si="170"/>
        <v>114.59513474392662</v>
      </c>
      <c r="AZ668" s="33">
        <f t="shared" si="171"/>
        <v>125.93480252947369</v>
      </c>
      <c r="BA668" s="39">
        <f t="shared" si="172"/>
        <v>-8.027626147240527</v>
      </c>
      <c r="BB668" s="39">
        <f t="shared" si="173"/>
        <v>94.548390757018183</v>
      </c>
      <c r="BC668" s="45">
        <f t="shared" si="174"/>
        <v>480.95618599599692</v>
      </c>
      <c r="BD668" s="45">
        <f t="shared" si="175"/>
        <v>738.53675535812761</v>
      </c>
      <c r="BE668" s="64">
        <f t="shared" si="176"/>
        <v>2923846907.579752</v>
      </c>
      <c r="BF668" s="65">
        <f t="shared" si="177"/>
        <v>1818694287.543714</v>
      </c>
      <c r="BG668" s="66">
        <f t="shared" si="178"/>
        <v>435794471.62489659</v>
      </c>
    </row>
    <row r="669" spans="43:59" x14ac:dyDescent="0.25">
      <c r="AQ669" s="7">
        <v>654</v>
      </c>
      <c r="AR669" s="58">
        <f t="shared" si="179"/>
        <v>327</v>
      </c>
      <c r="AS669" s="58">
        <f t="shared" si="180"/>
        <v>-16522.871799259585</v>
      </c>
      <c r="AT669" s="58">
        <f t="shared" si="181"/>
        <v>-36525.226880463815</v>
      </c>
      <c r="AU669" s="58">
        <f t="shared" si="182"/>
        <v>-114.63925596399469</v>
      </c>
      <c r="AV669" s="58">
        <f t="shared" si="183"/>
        <v>-7824.1720856695874</v>
      </c>
      <c r="AW669" s="58">
        <f t="shared" si="169"/>
        <v>420.21413023028822</v>
      </c>
      <c r="AX669" s="58">
        <f t="shared" si="184"/>
        <v>810.95406972852595</v>
      </c>
      <c r="AY669" s="33">
        <f t="shared" si="170"/>
        <v>97.657364101898608</v>
      </c>
      <c r="AZ669" s="33">
        <f t="shared" si="171"/>
        <v>117.71767660453548</v>
      </c>
      <c r="BA669" s="39">
        <f t="shared" si="172"/>
        <v>-5.9472646670804652</v>
      </c>
      <c r="BB669" s="39">
        <f t="shared" si="173"/>
        <v>79.576541898905276</v>
      </c>
      <c r="BC669" s="45">
        <f t="shared" si="174"/>
        <v>328.50403079547004</v>
      </c>
      <c r="BD669" s="45">
        <f t="shared" si="175"/>
        <v>613.65985122508516</v>
      </c>
      <c r="BE669" s="64">
        <f t="shared" si="176"/>
        <v>3272140766.341465</v>
      </c>
      <c r="BF669" s="65">
        <f t="shared" si="177"/>
        <v>2176687156.8030171</v>
      </c>
      <c r="BG669" s="66">
        <f t="shared" si="178"/>
        <v>596111966.75761378</v>
      </c>
    </row>
    <row r="670" spans="43:59" x14ac:dyDescent="0.25">
      <c r="AQ670" s="7">
        <v>655</v>
      </c>
      <c r="AR670" s="58">
        <f t="shared" si="179"/>
        <v>327.5</v>
      </c>
      <c r="AS670" s="58">
        <f t="shared" si="180"/>
        <v>-16527.664660962797</v>
      </c>
      <c r="AT670" s="58">
        <f t="shared" si="181"/>
        <v>-40335.943664582548</v>
      </c>
      <c r="AU670" s="58">
        <f t="shared" si="182"/>
        <v>95.467809151149424</v>
      </c>
      <c r="AV670" s="58">
        <f t="shared" si="183"/>
        <v>-7418.6950508053242</v>
      </c>
      <c r="AW670" s="58">
        <f t="shared" si="169"/>
        <v>312.77198563533915</v>
      </c>
      <c r="AX670" s="58">
        <f t="shared" si="184"/>
        <v>691.38733563428582</v>
      </c>
      <c r="AY670" s="33">
        <f t="shared" si="170"/>
        <v>84.209309504063782</v>
      </c>
      <c r="AZ670" s="33">
        <f t="shared" si="171"/>
        <v>110.27893030825953</v>
      </c>
      <c r="BA670" s="39">
        <f t="shared" si="172"/>
        <v>-4.7181041355980815</v>
      </c>
      <c r="BB670" s="39">
        <f t="shared" si="173"/>
        <v>68.394956357800808</v>
      </c>
      <c r="BC670" s="45">
        <f t="shared" si="174"/>
        <v>233.28078026687345</v>
      </c>
      <c r="BD670" s="45">
        <f t="shared" si="175"/>
        <v>512.71344896822552</v>
      </c>
      <c r="BE670" s="64">
        <f t="shared" si="176"/>
        <v>3622547791.8648653</v>
      </c>
      <c r="BF670" s="65">
        <f t="shared" si="177"/>
        <v>2545764337.3107543</v>
      </c>
      <c r="BG670" s="66">
        <f t="shared" si="178"/>
        <v>774797093.91051114</v>
      </c>
    </row>
    <row r="671" spans="43:59" x14ac:dyDescent="0.25">
      <c r="AQ671" s="7">
        <v>656</v>
      </c>
      <c r="AR671" s="58">
        <f t="shared" si="179"/>
        <v>328</v>
      </c>
      <c r="AS671" s="58">
        <f t="shared" si="180"/>
        <v>-16440.834258182804</v>
      </c>
      <c r="AT671" s="58">
        <f t="shared" si="181"/>
        <v>-43958.867773030928</v>
      </c>
      <c r="AU671" s="58">
        <f t="shared" si="182"/>
        <v>251.853801968819</v>
      </c>
      <c r="AV671" s="58">
        <f t="shared" si="183"/>
        <v>-7073.0013829881809</v>
      </c>
      <c r="AW671" s="58">
        <f t="shared" si="169"/>
        <v>240.65026791239276</v>
      </c>
      <c r="AX671" s="58">
        <f t="shared" si="184"/>
        <v>596.83052670553548</v>
      </c>
      <c r="AY671" s="33">
        <f t="shared" si="170"/>
        <v>73.323594261169205</v>
      </c>
      <c r="AZ671" s="33">
        <f t="shared" si="171"/>
        <v>103.54178817631249</v>
      </c>
      <c r="BA671" s="39">
        <f t="shared" si="172"/>
        <v>-3.9427463384091581</v>
      </c>
      <c r="BB671" s="39">
        <f t="shared" si="173"/>
        <v>59.774156015617372</v>
      </c>
      <c r="BC671" s="45">
        <f t="shared" si="174"/>
        <v>171.26941998963272</v>
      </c>
      <c r="BD671" s="45">
        <f t="shared" si="175"/>
        <v>433.51458251360555</v>
      </c>
      <c r="BE671" s="64">
        <f t="shared" si="176"/>
        <v>3975949473.9146309</v>
      </c>
      <c r="BF671" s="65">
        <f t="shared" si="177"/>
        <v>2924227072.1251607</v>
      </c>
      <c r="BG671" s="66">
        <f t="shared" si="178"/>
        <v>969508711.21909845</v>
      </c>
    </row>
    <row r="672" spans="43:59" x14ac:dyDescent="0.25">
      <c r="AQ672" s="7">
        <v>657</v>
      </c>
      <c r="AR672" s="58">
        <f t="shared" si="179"/>
        <v>328.5</v>
      </c>
      <c r="AS672" s="58">
        <f t="shared" si="180"/>
        <v>-16284.826073709344</v>
      </c>
      <c r="AT672" s="58">
        <f t="shared" si="181"/>
        <v>-47420.764648686825</v>
      </c>
      <c r="AU672" s="58">
        <f t="shared" si="182"/>
        <v>372.17893592501537</v>
      </c>
      <c r="AV672" s="58">
        <f t="shared" si="183"/>
        <v>-6774.5861196354135</v>
      </c>
      <c r="AW672" s="58">
        <f t="shared" si="169"/>
        <v>190.20640193045472</v>
      </c>
      <c r="AX672" s="58">
        <f t="shared" si="184"/>
        <v>521.74226149631136</v>
      </c>
      <c r="AY672" s="33">
        <f t="shared" si="170"/>
        <v>64.371681476313711</v>
      </c>
      <c r="AZ672" s="33">
        <f t="shared" si="171"/>
        <v>97.433069162826641</v>
      </c>
      <c r="BA672" s="39">
        <f t="shared" si="172"/>
        <v>-3.4258891336452968</v>
      </c>
      <c r="BB672" s="39">
        <f t="shared" si="173"/>
        <v>52.949653921572576</v>
      </c>
      <c r="BC672" s="45">
        <f t="shared" si="174"/>
        <v>129.26060958778632</v>
      </c>
      <c r="BD672" s="45">
        <f t="shared" si="175"/>
        <v>371.35953841191207</v>
      </c>
      <c r="BE672" s="64">
        <f t="shared" si="176"/>
        <v>4332878992.7957859</v>
      </c>
      <c r="BF672" s="65">
        <f t="shared" si="177"/>
        <v>3310946730.1424727</v>
      </c>
      <c r="BG672" s="66">
        <f t="shared" si="178"/>
        <v>1178453279.9194117</v>
      </c>
    </row>
    <row r="673" spans="43:59" x14ac:dyDescent="0.25">
      <c r="AQ673" s="7">
        <v>658</v>
      </c>
      <c r="AR673" s="58">
        <f t="shared" si="179"/>
        <v>329</v>
      </c>
      <c r="AS673" s="58">
        <f t="shared" si="180"/>
        <v>-16074.960805505531</v>
      </c>
      <c r="AT673" s="58">
        <f t="shared" si="181"/>
        <v>-50742.83992581749</v>
      </c>
      <c r="AU673" s="58">
        <f t="shared" si="182"/>
        <v>467.28213689024273</v>
      </c>
      <c r="AV673" s="58">
        <f t="shared" si="183"/>
        <v>-6513.7149888872582</v>
      </c>
      <c r="AW673" s="58">
        <f t="shared" si="169"/>
        <v>153.6442266931912</v>
      </c>
      <c r="AX673" s="58">
        <f t="shared" si="184"/>
        <v>461.3907269610113</v>
      </c>
      <c r="AY673" s="33">
        <f t="shared" si="170"/>
        <v>56.912486818048144</v>
      </c>
      <c r="AZ673" s="33">
        <f t="shared" si="171"/>
        <v>91.884919221253909</v>
      </c>
      <c r="BA673" s="39">
        <f t="shared" si="172"/>
        <v>-3.0646313432695584</v>
      </c>
      <c r="BB673" s="39">
        <f t="shared" si="173"/>
        <v>47.427401840210621</v>
      </c>
      <c r="BC673" s="45">
        <f t="shared" si="174"/>
        <v>99.796371218412617</v>
      </c>
      <c r="BD673" s="45">
        <f t="shared" si="175"/>
        <v>322.07840589954679</v>
      </c>
      <c r="BE673" s="64">
        <f t="shared" si="176"/>
        <v>4693631199.7431602</v>
      </c>
      <c r="BF673" s="65">
        <f t="shared" si="177"/>
        <v>3705098534.9318056</v>
      </c>
      <c r="BG673" s="66">
        <f t="shared" si="178"/>
        <v>1400205362.8060966</v>
      </c>
    </row>
    <row r="674" spans="43:59" x14ac:dyDescent="0.25">
      <c r="AQ674" s="7">
        <v>659</v>
      </c>
      <c r="AR674" s="58">
        <f t="shared" si="179"/>
        <v>329.5</v>
      </c>
      <c r="AS674" s="58">
        <f t="shared" si="180"/>
        <v>-15822.11420872376</v>
      </c>
      <c r="AT674" s="58">
        <f t="shared" si="181"/>
        <v>-53942.023579390989</v>
      </c>
      <c r="AU674" s="58">
        <f t="shared" si="182"/>
        <v>544.10425023683831</v>
      </c>
      <c r="AV674" s="58">
        <f t="shared" si="183"/>
        <v>-6283.0196254067523</v>
      </c>
      <c r="AW674" s="58">
        <f t="shared" si="169"/>
        <v>126.32899661984612</v>
      </c>
      <c r="AX674" s="58">
        <f t="shared" si="184"/>
        <v>412.19608272664505</v>
      </c>
      <c r="AY674" s="33">
        <f t="shared" si="170"/>
        <v>50.627224172508079</v>
      </c>
      <c r="AZ674" s="33">
        <f t="shared" si="171"/>
        <v>86.83572061776357</v>
      </c>
      <c r="BA674" s="39">
        <f t="shared" si="172"/>
        <v>-2.801476254868227</v>
      </c>
      <c r="BB674" s="39">
        <f t="shared" si="173"/>
        <v>42.876246430654049</v>
      </c>
      <c r="BC674" s="45">
        <f t="shared" si="174"/>
        <v>78.503248702206264</v>
      </c>
      <c r="BD674" s="45">
        <f t="shared" si="175"/>
        <v>282.4841156782274</v>
      </c>
      <c r="BE674" s="64">
        <f t="shared" si="176"/>
        <v>5058346127.9132872</v>
      </c>
      <c r="BF674" s="65">
        <f t="shared" si="177"/>
        <v>4106037109.1123409</v>
      </c>
      <c r="BG674" s="66">
        <f t="shared" si="178"/>
        <v>1633599356.4045045</v>
      </c>
    </row>
    <row r="675" spans="43:59" x14ac:dyDescent="0.25">
      <c r="AQ675" s="7">
        <v>660</v>
      </c>
      <c r="AR675" s="58">
        <f t="shared" si="179"/>
        <v>330</v>
      </c>
      <c r="AS675" s="58">
        <f t="shared" si="180"/>
        <v>-15534.270959027859</v>
      </c>
      <c r="AT675" s="58">
        <f t="shared" si="181"/>
        <v>-57032.008881753536</v>
      </c>
      <c r="AU675" s="58">
        <f t="shared" si="182"/>
        <v>607.26874854676134</v>
      </c>
      <c r="AV675" s="58">
        <f t="shared" si="183"/>
        <v>-6076.9215840434299</v>
      </c>
      <c r="AW675" s="58">
        <f t="shared" si="169"/>
        <v>105.3926837367213</v>
      </c>
      <c r="AX675" s="58">
        <f t="shared" si="184"/>
        <v>371.53397346498485</v>
      </c>
      <c r="AY675" s="33">
        <f t="shared" si="170"/>
        <v>45.279771132726403</v>
      </c>
      <c r="AZ675" s="33">
        <f t="shared" si="171"/>
        <v>82.230323404412033</v>
      </c>
      <c r="BA675" s="39">
        <f t="shared" si="172"/>
        <v>-2.6026689184406462</v>
      </c>
      <c r="BB675" s="39">
        <f t="shared" si="173"/>
        <v>39.0668857103786</v>
      </c>
      <c r="BC675" s="45">
        <f t="shared" si="174"/>
        <v>62.715581522435549</v>
      </c>
      <c r="BD675" s="45">
        <f t="shared" si="175"/>
        <v>250.23676435019422</v>
      </c>
      <c r="BE675" s="64">
        <f t="shared" si="176"/>
        <v>5427064582.9043283</v>
      </c>
      <c r="BF675" s="65">
        <f t="shared" si="177"/>
        <v>4513232950.590868</v>
      </c>
      <c r="BG675" s="66">
        <f t="shared" si="178"/>
        <v>1877660635.2740259</v>
      </c>
    </row>
    <row r="676" spans="43:59" x14ac:dyDescent="0.25">
      <c r="AQ676" s="7">
        <v>661</v>
      </c>
      <c r="AR676" s="58">
        <f t="shared" si="179"/>
        <v>330.5</v>
      </c>
      <c r="AS676" s="58">
        <f t="shared" si="180"/>
        <v>-15217.462499287389</v>
      </c>
      <c r="AT676" s="58">
        <f t="shared" si="181"/>
        <v>-60024.027927092131</v>
      </c>
      <c r="AU676" s="58">
        <f t="shared" si="182"/>
        <v>659.96509041512195</v>
      </c>
      <c r="AV676" s="58">
        <f t="shared" si="183"/>
        <v>-5891.1545973109378</v>
      </c>
      <c r="AW676" s="58">
        <f t="shared" si="169"/>
        <v>88.993220618322596</v>
      </c>
      <c r="AX676" s="58">
        <f t="shared" si="184"/>
        <v>337.48588131926289</v>
      </c>
      <c r="AY676" s="33">
        <f t="shared" si="170"/>
        <v>40.691595856548403</v>
      </c>
      <c r="AZ676" s="33">
        <f t="shared" si="171"/>
        <v>78.019830505139851</v>
      </c>
      <c r="BA676" s="39">
        <f t="shared" si="172"/>
        <v>-2.4475436516990841</v>
      </c>
      <c r="BB676" s="39">
        <f t="shared" si="173"/>
        <v>35.835968875061958</v>
      </c>
      <c r="BC676" s="45">
        <f t="shared" si="174"/>
        <v>50.749168413473278</v>
      </c>
      <c r="BD676" s="45">
        <f t="shared" si="175"/>
        <v>223.63008193906109</v>
      </c>
      <c r="BE676" s="64">
        <f t="shared" si="176"/>
        <v>5799764012.3874321</v>
      </c>
      <c r="BF676" s="65">
        <f t="shared" si="177"/>
        <v>4926237152.0799017</v>
      </c>
      <c r="BG676" s="66">
        <f t="shared" si="178"/>
        <v>2131559630.7039163</v>
      </c>
    </row>
    <row r="677" spans="43:59" x14ac:dyDescent="0.25">
      <c r="AQ677" s="7">
        <v>662</v>
      </c>
      <c r="AR677" s="58">
        <f t="shared" si="179"/>
        <v>331</v>
      </c>
      <c r="AS677" s="58">
        <f t="shared" si="180"/>
        <v>-14876.355801502537</v>
      </c>
      <c r="AT677" s="58">
        <f t="shared" si="181"/>
        <v>-62927.419490582688</v>
      </c>
      <c r="AU677" s="58">
        <f t="shared" si="182"/>
        <v>704.46170072428322</v>
      </c>
      <c r="AV677" s="58">
        <f t="shared" si="183"/>
        <v>-5722.4116566513067</v>
      </c>
      <c r="AW677" s="58">
        <f t="shared" si="169"/>
        <v>75.907230249783169</v>
      </c>
      <c r="AX677" s="58">
        <f t="shared" si="184"/>
        <v>308.63790332959741</v>
      </c>
      <c r="AY677" s="33">
        <f t="shared" si="170"/>
        <v>36.725330266909594</v>
      </c>
      <c r="AZ677" s="33">
        <f t="shared" si="171"/>
        <v>74.161138146388737</v>
      </c>
      <c r="BA677" s="39">
        <f t="shared" si="172"/>
        <v>-2.3229845790569206</v>
      </c>
      <c r="BB677" s="39">
        <f t="shared" si="173"/>
        <v>33.064214512927911</v>
      </c>
      <c r="BC677" s="45">
        <f t="shared" si="174"/>
        <v>41.504884561930488</v>
      </c>
      <c r="BD677" s="45">
        <f t="shared" si="175"/>
        <v>201.41255067028078</v>
      </c>
      <c r="BE677" s="64">
        <f t="shared" si="176"/>
        <v>6176381610.0955067</v>
      </c>
      <c r="BF677" s="65">
        <f t="shared" si="177"/>
        <v>5344660243.4282169</v>
      </c>
      <c r="BG677" s="66">
        <f t="shared" si="178"/>
        <v>2394579942.9441581</v>
      </c>
    </row>
    <row r="678" spans="43:59" x14ac:dyDescent="0.25">
      <c r="AQ678" s="7">
        <v>663</v>
      </c>
      <c r="AR678" s="58">
        <f t="shared" si="179"/>
        <v>331.5</v>
      </c>
      <c r="AS678" s="58">
        <f t="shared" si="180"/>
        <v>-14514.636547359172</v>
      </c>
      <c r="AT678" s="58">
        <f t="shared" si="181"/>
        <v>-65750.04558099214</v>
      </c>
      <c r="AU678" s="58">
        <f t="shared" si="182"/>
        <v>742.41531584917482</v>
      </c>
      <c r="AV678" s="58">
        <f t="shared" si="183"/>
        <v>-5568.0927049865077</v>
      </c>
      <c r="AW678" s="58">
        <f t="shared" si="169"/>
        <v>65.297715268869112</v>
      </c>
      <c r="AX678" s="58">
        <f t="shared" si="184"/>
        <v>283.93514979236488</v>
      </c>
      <c r="AY678" s="33">
        <f t="shared" si="170"/>
        <v>33.273676859904235</v>
      </c>
      <c r="AZ678" s="33">
        <f t="shared" si="171"/>
        <v>70.6163700519012</v>
      </c>
      <c r="BA678" s="39">
        <f t="shared" si="172"/>
        <v>-2.2204029314470497</v>
      </c>
      <c r="BB678" s="39">
        <f t="shared" si="173"/>
        <v>30.662621486696178</v>
      </c>
      <c r="BC678" s="45">
        <f t="shared" si="174"/>
        <v>34.244441340411932</v>
      </c>
      <c r="BD678" s="45">
        <f t="shared" si="175"/>
        <v>182.65615825376753</v>
      </c>
      <c r="BE678" s="64">
        <f t="shared" si="176"/>
        <v>6556829313.6137276</v>
      </c>
      <c r="BF678" s="65">
        <f t="shared" si="177"/>
        <v>5768158617.7299547</v>
      </c>
      <c r="BG678" s="66">
        <f t="shared" si="178"/>
        <v>2666095435.1011229</v>
      </c>
    </row>
    <row r="679" spans="43:59" x14ac:dyDescent="0.25">
      <c r="AQ679" s="7">
        <v>664</v>
      </c>
      <c r="AR679" s="58">
        <f t="shared" si="179"/>
        <v>332</v>
      </c>
      <c r="AS679" s="58">
        <f t="shared" si="180"/>
        <v>-14135.266675025976</v>
      </c>
      <c r="AT679" s="58">
        <f t="shared" si="181"/>
        <v>-68498.600039761353</v>
      </c>
      <c r="AU679" s="58">
        <f t="shared" si="182"/>
        <v>775.06417348360935</v>
      </c>
      <c r="AV679" s="58">
        <f t="shared" si="183"/>
        <v>-5426.125130090325</v>
      </c>
      <c r="AW679" s="58">
        <f t="shared" si="169"/>
        <v>56.57676182843241</v>
      </c>
      <c r="AX679" s="58">
        <f t="shared" si="184"/>
        <v>262.57977633929136</v>
      </c>
      <c r="AY679" s="33">
        <f t="shared" si="170"/>
        <v>30.2517198004983</v>
      </c>
      <c r="AZ679" s="33">
        <f t="shared" si="171"/>
        <v>67.352289218090604</v>
      </c>
      <c r="BA679" s="39">
        <f t="shared" si="172"/>
        <v>-2.1340175346095127</v>
      </c>
      <c r="BB679" s="39">
        <f t="shared" si="173"/>
        <v>28.563513402016742</v>
      </c>
      <c r="BC679" s="45">
        <f t="shared" si="174"/>
        <v>28.459059562543626</v>
      </c>
      <c r="BD679" s="45">
        <f t="shared" si="175"/>
        <v>166.66397371918404</v>
      </c>
      <c r="BE679" s="64">
        <f t="shared" si="176"/>
        <v>6941003638.9787531</v>
      </c>
      <c r="BF679" s="65">
        <f t="shared" si="177"/>
        <v>6196425305.1754818</v>
      </c>
      <c r="BG679" s="66">
        <f t="shared" si="178"/>
        <v>2945553303.4381938</v>
      </c>
    </row>
    <row r="680" spans="43:59" x14ac:dyDescent="0.25">
      <c r="AQ680" s="7">
        <v>665</v>
      </c>
      <c r="AR680" s="58">
        <f t="shared" si="179"/>
        <v>332.5</v>
      </c>
      <c r="AS680" s="58">
        <f t="shared" si="180"/>
        <v>-13740.662493055617</v>
      </c>
      <c r="AT680" s="58">
        <f t="shared" si="181"/>
        <v>-71178.840132764104</v>
      </c>
      <c r="AU680" s="58">
        <f t="shared" si="182"/>
        <v>803.35255439782554</v>
      </c>
      <c r="AV680" s="58">
        <f t="shared" si="183"/>
        <v>-5294.8352419206794</v>
      </c>
      <c r="AW680" s="58">
        <f t="shared" si="169"/>
        <v>49.321681682342067</v>
      </c>
      <c r="AX680" s="58">
        <f t="shared" si="184"/>
        <v>243.96001437777539</v>
      </c>
      <c r="AY680" s="33">
        <f t="shared" si="170"/>
        <v>27.591474713173483</v>
      </c>
      <c r="AZ680" s="33">
        <f t="shared" si="171"/>
        <v>64.339733353836181</v>
      </c>
      <c r="BA680" s="39">
        <f t="shared" si="172"/>
        <v>-2.0598405347905699</v>
      </c>
      <c r="BB680" s="39">
        <f t="shared" si="173"/>
        <v>26.714562889001403</v>
      </c>
      <c r="BC680" s="45">
        <f t="shared" si="174"/>
        <v>23.790047503959155</v>
      </c>
      <c r="BD680" s="45">
        <f t="shared" si="175"/>
        <v>152.90571813493781</v>
      </c>
      <c r="BE680" s="64">
        <f t="shared" si="176"/>
        <v>7328792190.1073418</v>
      </c>
      <c r="BF680" s="65">
        <f t="shared" si="177"/>
        <v>6629183391.3267126</v>
      </c>
      <c r="BG680" s="66">
        <f t="shared" si="178"/>
        <v>3232461259.480176</v>
      </c>
    </row>
    <row r="681" spans="43:59" x14ac:dyDescent="0.25">
      <c r="AQ681" s="7">
        <v>666</v>
      </c>
      <c r="AR681" s="58">
        <f t="shared" si="179"/>
        <v>333</v>
      </c>
      <c r="AS681" s="58">
        <f t="shared" si="180"/>
        <v>-13332.821005646412</v>
      </c>
      <c r="AT681" s="58">
        <f t="shared" si="181"/>
        <v>-73795.762751927236</v>
      </c>
      <c r="AU681" s="58">
        <f t="shared" si="182"/>
        <v>828.01339523899662</v>
      </c>
      <c r="AV681" s="58">
        <f t="shared" si="183"/>
        <v>-5172.8552347317918</v>
      </c>
      <c r="AW681" s="58">
        <f t="shared" si="169"/>
        <v>43.222229535009447</v>
      </c>
      <c r="AX681" s="58">
        <f t="shared" si="184"/>
        <v>227.6005336121757</v>
      </c>
      <c r="AY681" s="33">
        <f t="shared" si="170"/>
        <v>25.237949405758744</v>
      </c>
      <c r="AZ681" s="33">
        <f t="shared" si="171"/>
        <v>61.553096477737412</v>
      </c>
      <c r="BA681" s="39">
        <f t="shared" si="172"/>
        <v>-1.9950597946244117</v>
      </c>
      <c r="BB681" s="39">
        <f t="shared" si="173"/>
        <v>25.074706613972417</v>
      </c>
      <c r="BC681" s="45">
        <f t="shared" si="174"/>
        <v>19.979339923875109</v>
      </c>
      <c r="BD681" s="45">
        <f t="shared" si="175"/>
        <v>140.97273052046586</v>
      </c>
      <c r="BE681" s="64">
        <f t="shared" si="176"/>
        <v>7720077997.6121025</v>
      </c>
      <c r="BF681" s="65">
        <f t="shared" si="177"/>
        <v>7066181130.9200258</v>
      </c>
      <c r="BG681" s="66">
        <f t="shared" si="178"/>
        <v>3526377623.4930563</v>
      </c>
    </row>
    <row r="682" spans="43:59" x14ac:dyDescent="0.25">
      <c r="AQ682" s="7">
        <v>667</v>
      </c>
      <c r="AR682" s="58">
        <f t="shared" si="179"/>
        <v>333.5</v>
      </c>
      <c r="AS682" s="58">
        <f t="shared" si="180"/>
        <v>-12913.411529335039</v>
      </c>
      <c r="AT682" s="58">
        <f t="shared" si="181"/>
        <v>-76353.740302591614</v>
      </c>
      <c r="AU682" s="58">
        <f t="shared" si="182"/>
        <v>849.6245100065014</v>
      </c>
      <c r="AV682" s="58">
        <f t="shared" si="183"/>
        <v>-5059.0549679257037</v>
      </c>
      <c r="AW682" s="58">
        <f t="shared" si="169"/>
        <v>38.046460671762006</v>
      </c>
      <c r="AX682" s="58">
        <f t="shared" si="184"/>
        <v>213.1273818298036</v>
      </c>
      <c r="AY682" s="33">
        <f t="shared" si="170"/>
        <v>23.146247714398502</v>
      </c>
      <c r="AZ682" s="33">
        <f t="shared" si="171"/>
        <v>58.969865311371422</v>
      </c>
      <c r="BA682" s="39">
        <f t="shared" si="172"/>
        <v>-1.9376521130549569</v>
      </c>
      <c r="BB682" s="39">
        <f t="shared" si="173"/>
        <v>23.611291675840043</v>
      </c>
      <c r="BC682" s="45">
        <f t="shared" si="174"/>
        <v>16.837865070418463</v>
      </c>
      <c r="BD682" s="45">
        <f t="shared" si="175"/>
        <v>130.54622484259212</v>
      </c>
      <c r="BE682" s="64">
        <f t="shared" si="176"/>
        <v>8114742421.2338419</v>
      </c>
      <c r="BF682" s="65">
        <f t="shared" si="177"/>
        <v>7507188200.3999968</v>
      </c>
      <c r="BG682" s="66">
        <f t="shared" si="178"/>
        <v>3826903531.1504674</v>
      </c>
    </row>
    <row r="683" spans="43:59" x14ac:dyDescent="0.25">
      <c r="AQ683" s="7">
        <v>668</v>
      </c>
      <c r="AR683" s="58">
        <f t="shared" si="179"/>
        <v>334</v>
      </c>
      <c r="AS683" s="58">
        <f t="shared" si="180"/>
        <v>-12483.843466747818</v>
      </c>
      <c r="AT683" s="58">
        <f t="shared" si="181"/>
        <v>-78856.626863825746</v>
      </c>
      <c r="AU683" s="58">
        <f t="shared" si="182"/>
        <v>868.64774034238235</v>
      </c>
      <c r="AV683" s="58">
        <f t="shared" si="183"/>
        <v>-4952.4912770108022</v>
      </c>
      <c r="AW683" s="58">
        <f t="shared" si="169"/>
        <v>33.618093115289568</v>
      </c>
      <c r="AX683" s="58">
        <f t="shared" si="184"/>
        <v>200.24292365616378</v>
      </c>
      <c r="AY683" s="33">
        <f t="shared" si="170"/>
        <v>21.279407951634127</v>
      </c>
      <c r="AZ683" s="33">
        <f t="shared" si="171"/>
        <v>56.570211411204397</v>
      </c>
      <c r="BA683" s="39">
        <f t="shared" si="172"/>
        <v>-1.8861348672525768</v>
      </c>
      <c r="BB683" s="39">
        <f t="shared" si="173"/>
        <v>22.298043071994993</v>
      </c>
      <c r="BC683" s="45">
        <f t="shared" si="174"/>
        <v>14.224820030908015</v>
      </c>
      <c r="BD683" s="45">
        <f t="shared" si="175"/>
        <v>121.37466917296439</v>
      </c>
      <c r="BE683" s="64">
        <f t="shared" si="176"/>
        <v>8512667089.6702061</v>
      </c>
      <c r="BF683" s="65">
        <f t="shared" si="177"/>
        <v>7951992746.6495085</v>
      </c>
      <c r="BG683" s="66">
        <f t="shared" si="178"/>
        <v>4133676707.4606557</v>
      </c>
    </row>
    <row r="684" spans="43:59" x14ac:dyDescent="0.25">
      <c r="AQ684" s="7">
        <v>669</v>
      </c>
      <c r="AR684" s="58">
        <f t="shared" si="179"/>
        <v>334.5</v>
      </c>
      <c r="AS684" s="58">
        <f t="shared" si="180"/>
        <v>-12045.317334937215</v>
      </c>
      <c r="AT684" s="58">
        <f t="shared" si="181"/>
        <v>-81307.842136874126</v>
      </c>
      <c r="AU684" s="58">
        <f t="shared" si="182"/>
        <v>885.45678690002717</v>
      </c>
      <c r="AV684" s="58">
        <f t="shared" si="183"/>
        <v>-4852.3698151827202</v>
      </c>
      <c r="AW684" s="58">
        <f t="shared" si="169"/>
        <v>29.801157681532288</v>
      </c>
      <c r="AX684" s="58">
        <f t="shared" si="184"/>
        <v>188.70769837867414</v>
      </c>
      <c r="AY684" s="33">
        <f t="shared" si="170"/>
        <v>19.606767844484242</v>
      </c>
      <c r="AZ684" s="33">
        <f t="shared" si="171"/>
        <v>54.336636000446951</v>
      </c>
      <c r="BA684" s="39">
        <f t="shared" si="172"/>
        <v>-1.8394029219814672</v>
      </c>
      <c r="BB684" s="39">
        <f t="shared" si="173"/>
        <v>21.113590409336986</v>
      </c>
      <c r="BC684" s="45">
        <f t="shared" si="174"/>
        <v>12.033792759029513</v>
      </c>
      <c r="BD684" s="45">
        <f t="shared" si="175"/>
        <v>113.25747196889019</v>
      </c>
      <c r="BE684" s="64">
        <f t="shared" si="176"/>
        <v>8913735188.104784</v>
      </c>
      <c r="BF684" s="65">
        <f t="shared" si="177"/>
        <v>8400399011.9941769</v>
      </c>
      <c r="BG684" s="66">
        <f t="shared" si="178"/>
        <v>4446366425.1985865</v>
      </c>
    </row>
    <row r="685" spans="43:59" x14ac:dyDescent="0.25">
      <c r="AQ685" s="7">
        <v>670</v>
      </c>
      <c r="AR685" s="58">
        <f t="shared" si="179"/>
        <v>335</v>
      </c>
      <c r="AS685" s="58">
        <f t="shared" si="180"/>
        <v>-11598.86379677701</v>
      </c>
      <c r="AT685" s="58">
        <f t="shared" si="181"/>
        <v>-83710.43858216815</v>
      </c>
      <c r="AU685" s="58">
        <f t="shared" si="182"/>
        <v>900.35736574079328</v>
      </c>
      <c r="AV685" s="58">
        <f t="shared" si="183"/>
        <v>-4758.0159659933834</v>
      </c>
      <c r="AW685" s="58">
        <f t="shared" si="169"/>
        <v>26.489375935524322</v>
      </c>
      <c r="AX685" s="58">
        <f t="shared" si="184"/>
        <v>178.32711896803949</v>
      </c>
      <c r="AY685" s="33">
        <f t="shared" si="170"/>
        <v>18.102712742589432</v>
      </c>
      <c r="AZ685" s="33">
        <f t="shared" si="171"/>
        <v>52.253662644256181</v>
      </c>
      <c r="BA685" s="39">
        <f t="shared" si="172"/>
        <v>-1.7966193429938173</v>
      </c>
      <c r="BB685" s="39">
        <f t="shared" si="173"/>
        <v>20.040382934461586</v>
      </c>
      <c r="BC685" s="45">
        <f t="shared" si="174"/>
        <v>10.183282535928706</v>
      </c>
      <c r="BD685" s="45">
        <f t="shared" si="175"/>
        <v>106.03307338932171</v>
      </c>
      <c r="BE685" s="64">
        <f t="shared" si="176"/>
        <v>9317832299.598732</v>
      </c>
      <c r="BF685" s="65">
        <f t="shared" si="177"/>
        <v>8852225388.7674122</v>
      </c>
      <c r="BG685" s="66">
        <f t="shared" si="178"/>
        <v>4764669373.562315</v>
      </c>
    </row>
    <row r="686" spans="43:59" x14ac:dyDescent="0.25">
      <c r="AQ686" s="7">
        <v>671</v>
      </c>
      <c r="AR686" s="58">
        <f t="shared" si="179"/>
        <v>335.5</v>
      </c>
      <c r="AS686" s="58">
        <f t="shared" si="180"/>
        <v>-11145.373941914673</v>
      </c>
      <c r="AT686" s="58">
        <f t="shared" si="181"/>
        <v>-86067.155675293834</v>
      </c>
      <c r="AU686" s="58">
        <f t="shared" si="182"/>
        <v>913.60205370855545</v>
      </c>
      <c r="AV686" s="58">
        <f t="shared" si="183"/>
        <v>-4668.8524065093634</v>
      </c>
      <c r="AW686" s="58">
        <f t="shared" si="169"/>
        <v>23.598672662459592</v>
      </c>
      <c r="AX686" s="58">
        <f t="shared" si="184"/>
        <v>168.94159936786096</v>
      </c>
      <c r="AY686" s="33">
        <f t="shared" si="170"/>
        <v>16.745706764459062</v>
      </c>
      <c r="AZ686" s="33">
        <f t="shared" si="171"/>
        <v>50.307572310581143</v>
      </c>
      <c r="BA686" s="39">
        <f t="shared" si="172"/>
        <v>-1.7571408062394398</v>
      </c>
      <c r="BB686" s="39">
        <f t="shared" si="173"/>
        <v>19.063878956500698</v>
      </c>
      <c r="BC686" s="45">
        <f t="shared" si="174"/>
        <v>8.6101067042399677</v>
      </c>
      <c r="BD686" s="45">
        <f t="shared" si="175"/>
        <v>99.570148100779122</v>
      </c>
      <c r="BE686" s="64">
        <f t="shared" si="176"/>
        <v>9724846939.146368</v>
      </c>
      <c r="BF686" s="65">
        <f t="shared" si="177"/>
        <v>9307302802.1696625</v>
      </c>
      <c r="BG686" s="66">
        <f t="shared" si="178"/>
        <v>5088306236.6624117</v>
      </c>
    </row>
    <row r="687" spans="43:59" x14ac:dyDescent="0.25">
      <c r="AQ687" s="7">
        <v>672</v>
      </c>
      <c r="AR687" s="58">
        <f t="shared" si="179"/>
        <v>336</v>
      </c>
      <c r="AS687" s="58">
        <f t="shared" si="180"/>
        <v>-10685.623080977588</v>
      </c>
      <c r="AT687" s="58">
        <f t="shared" si="181"/>
        <v>-88380.464178627532</v>
      </c>
      <c r="AU687" s="58">
        <f t="shared" si="182"/>
        <v>925.40139003978527</v>
      </c>
      <c r="AV687" s="58">
        <f t="shared" si="183"/>
        <v>-4584.3816068254328</v>
      </c>
      <c r="AW687" s="58">
        <f t="shared" si="169"/>
        <v>21.061808171610124</v>
      </c>
      <c r="AX687" s="58">
        <f t="shared" si="184"/>
        <v>160.41913933670267</v>
      </c>
      <c r="AY687" s="33">
        <f t="shared" si="170"/>
        <v>15.517535465157524</v>
      </c>
      <c r="AZ687" s="33">
        <f t="shared" si="171"/>
        <v>48.486175411244695</v>
      </c>
      <c r="BA687" s="39">
        <f t="shared" si="172"/>
        <v>-1.7204658259614656</v>
      </c>
      <c r="BB687" s="39">
        <f t="shared" si="173"/>
        <v>18.17193227556433</v>
      </c>
      <c r="BC687" s="45">
        <f t="shared" si="174"/>
        <v>7.2647385324140661</v>
      </c>
      <c r="BD687" s="45">
        <f t="shared" si="175"/>
        <v>93.761031649893653</v>
      </c>
      <c r="BE687" s="64">
        <f t="shared" si="176"/>
        <v>10134670874.976902</v>
      </c>
      <c r="BF687" s="65">
        <f t="shared" si="177"/>
        <v>9765473349.3918324</v>
      </c>
      <c r="BG687" s="66">
        <f t="shared" si="178"/>
        <v>5417018832.8897829</v>
      </c>
    </row>
    <row r="688" spans="43:59" x14ac:dyDescent="0.25">
      <c r="AQ688" s="7">
        <v>673</v>
      </c>
      <c r="AR688" s="58">
        <f t="shared" si="179"/>
        <v>336.5</v>
      </c>
      <c r="AS688" s="58">
        <f t="shared" si="180"/>
        <v>-10220.289659936245</v>
      </c>
      <c r="AT688" s="58">
        <f t="shared" si="181"/>
        <v>-90652.602589623159</v>
      </c>
      <c r="AU688" s="58">
        <f t="shared" si="182"/>
        <v>935.93229412559037</v>
      </c>
      <c r="AV688" s="58">
        <f t="shared" si="183"/>
        <v>-4504.1720371570818</v>
      </c>
      <c r="AW688" s="58">
        <f t="shared" si="169"/>
        <v>18.82447055157628</v>
      </c>
      <c r="AX688" s="58">
        <f t="shared" si="184"/>
        <v>152.64969231232965</v>
      </c>
      <c r="AY688" s="33">
        <f t="shared" si="170"/>
        <v>14.402708455274036</v>
      </c>
      <c r="AZ688" s="33">
        <f t="shared" si="171"/>
        <v>46.778615795296126</v>
      </c>
      <c r="BA688" s="39">
        <f t="shared" si="172"/>
        <v>-1.6861982624052609</v>
      </c>
      <c r="BB688" s="39">
        <f t="shared" si="173"/>
        <v>17.354322131393864</v>
      </c>
      <c r="BC688" s="45">
        <f t="shared" si="174"/>
        <v>6.1079603587075058</v>
      </c>
      <c r="BD688" s="45">
        <f t="shared" si="175"/>
        <v>88.516754385639672</v>
      </c>
      <c r="BE688" s="64">
        <f t="shared" si="176"/>
        <v>10547199302.246948</v>
      </c>
      <c r="BF688" s="65">
        <f t="shared" si="177"/>
        <v>10226589142.400166</v>
      </c>
      <c r="BG688" s="66">
        <f t="shared" si="178"/>
        <v>5750567702.7170944</v>
      </c>
    </row>
    <row r="689" spans="43:59" x14ac:dyDescent="0.25">
      <c r="AQ689" s="7">
        <v>674</v>
      </c>
      <c r="AR689" s="58">
        <f t="shared" si="179"/>
        <v>337</v>
      </c>
      <c r="AS689" s="58">
        <f t="shared" si="180"/>
        <v>-9749.9704540545026</v>
      </c>
      <c r="AT689" s="58">
        <f t="shared" si="181"/>
        <v>-92885.607396662657</v>
      </c>
      <c r="AU689" s="58">
        <f t="shared" si="182"/>
        <v>945.34452940137851</v>
      </c>
      <c r="AV689" s="58">
        <f t="shared" si="183"/>
        <v>-4427.8471910009166</v>
      </c>
      <c r="AW689" s="58">
        <f t="shared" si="169"/>
        <v>16.842390353976679</v>
      </c>
      <c r="AX689" s="58">
        <f t="shared" si="184"/>
        <v>145.54084205523699</v>
      </c>
      <c r="AY689" s="33">
        <f t="shared" si="170"/>
        <v>13.387984244297433</v>
      </c>
      <c r="AZ689" s="33">
        <f t="shared" si="171"/>
        <v>45.175202182346524</v>
      </c>
      <c r="BA689" s="39">
        <f t="shared" si="172"/>
        <v>-1.6540212305871378</v>
      </c>
      <c r="BB689" s="39">
        <f t="shared" si="173"/>
        <v>16.602389114404797</v>
      </c>
      <c r="BC689" s="45">
        <f t="shared" si="174"/>
        <v>5.1084273402663838</v>
      </c>
      <c r="BD689" s="45">
        <f t="shared" si="175"/>
        <v>83.763250758485668</v>
      </c>
      <c r="BE689" s="64">
        <f t="shared" si="176"/>
        <v>10962330914.414009</v>
      </c>
      <c r="BF689" s="65">
        <f t="shared" si="177"/>
        <v>10690511315.07296</v>
      </c>
      <c r="BG689" s="66">
        <f t="shared" si="178"/>
        <v>6088730058.8614635</v>
      </c>
    </row>
    <row r="690" spans="43:59" x14ac:dyDescent="0.25">
      <c r="AQ690" s="7">
        <v>675</v>
      </c>
      <c r="AR690" s="58">
        <f t="shared" si="179"/>
        <v>337.5</v>
      </c>
      <c r="AS690" s="58">
        <f t="shared" si="180"/>
        <v>-9275.1928905595651</v>
      </c>
      <c r="AT690" s="58">
        <f t="shared" si="181"/>
        <v>-95081.338386906209</v>
      </c>
      <c r="AU690" s="58">
        <f t="shared" si="182"/>
        <v>953.76572457836687</v>
      </c>
      <c r="AV690" s="58">
        <f t="shared" si="183"/>
        <v>-4355.0767699732978</v>
      </c>
      <c r="AW690" s="58">
        <f t="shared" si="169"/>
        <v>15.079182395907809</v>
      </c>
      <c r="AX690" s="58">
        <f t="shared" si="184"/>
        <v>139.01445073225489</v>
      </c>
      <c r="AY690" s="33">
        <f t="shared" si="170"/>
        <v>12.461989379429346</v>
      </c>
      <c r="AZ690" s="33">
        <f t="shared" si="171"/>
        <v>43.66726307437964</v>
      </c>
      <c r="BA690" s="39">
        <f t="shared" si="172"/>
        <v>-1.6236781972874719</v>
      </c>
      <c r="BB690" s="39">
        <f t="shared" si="173"/>
        <v>15.908750277701607</v>
      </c>
      <c r="BC690" s="45">
        <f t="shared" si="174"/>
        <v>4.240871213765935</v>
      </c>
      <c r="BD690" s="45">
        <f t="shared" si="175"/>
        <v>79.438437380173639</v>
      </c>
      <c r="BE690" s="64">
        <f t="shared" si="176"/>
        <v>11379967904.028425</v>
      </c>
      <c r="BF690" s="65">
        <f t="shared" si="177"/>
        <v>11157109164.718193</v>
      </c>
      <c r="BG690" s="66">
        <f t="shared" si="178"/>
        <v>6431298032.0896683</v>
      </c>
    </row>
    <row r="691" spans="43:59" x14ac:dyDescent="0.25">
      <c r="AQ691" s="7">
        <v>676</v>
      </c>
      <c r="AR691" s="58">
        <f t="shared" si="179"/>
        <v>338</v>
      </c>
      <c r="AS691" s="58">
        <f t="shared" si="180"/>
        <v>-8796.4251304708941</v>
      </c>
      <c r="AT691" s="58">
        <f t="shared" si="181"/>
        <v>-97241.499965551324</v>
      </c>
      <c r="AU691" s="58">
        <f t="shared" si="182"/>
        <v>961.30531577632075</v>
      </c>
      <c r="AV691" s="58">
        <f t="shared" si="183"/>
        <v>-4285.5695446071704</v>
      </c>
      <c r="AW691" s="58">
        <f t="shared" si="169"/>
        <v>13.504712050935254</v>
      </c>
      <c r="AX691" s="58">
        <f t="shared" si="184"/>
        <v>133.00403573561019</v>
      </c>
      <c r="AY691" s="33">
        <f t="shared" si="170"/>
        <v>11.614910978388265</v>
      </c>
      <c r="AZ691" s="33">
        <f t="shared" si="171"/>
        <v>42.247021716436301</v>
      </c>
      <c r="BA691" s="39">
        <f t="shared" si="172"/>
        <v>-1.5949591159203664</v>
      </c>
      <c r="BB691" s="39">
        <f t="shared" si="173"/>
        <v>15.26707412294188</v>
      </c>
      <c r="BC691" s="45">
        <f t="shared" si="174"/>
        <v>3.4847601884673547</v>
      </c>
      <c r="BD691" s="45">
        <f t="shared" si="175"/>
        <v>75.489939896232016</v>
      </c>
      <c r="BE691" s="64">
        <f t="shared" si="176"/>
        <v>11800015915.328403</v>
      </c>
      <c r="BF691" s="65">
        <f t="shared" si="177"/>
        <v>11626259404.718489</v>
      </c>
      <c r="BG691" s="66">
        <f t="shared" si="178"/>
        <v>6778077160.3550491</v>
      </c>
    </row>
    <row r="692" spans="43:59" x14ac:dyDescent="0.25">
      <c r="AQ692" s="7">
        <v>677</v>
      </c>
      <c r="AR692" s="58">
        <f t="shared" si="179"/>
        <v>338.5</v>
      </c>
      <c r="AS692" s="58">
        <f t="shared" si="180"/>
        <v>-8314.0843835763662</v>
      </c>
      <c r="AT692" s="58">
        <f t="shared" si="181"/>
        <v>-99367.659233387953</v>
      </c>
      <c r="AU692" s="58">
        <f t="shared" si="182"/>
        <v>968.05767180178839</v>
      </c>
      <c r="AV692" s="58">
        <f t="shared" si="183"/>
        <v>-4219.0675267393653</v>
      </c>
      <c r="AW692" s="58">
        <f t="shared" si="169"/>
        <v>12.093844857291261</v>
      </c>
      <c r="AX692" s="58">
        <f t="shared" si="184"/>
        <v>127.45269869045637</v>
      </c>
      <c r="AY692" s="33">
        <f t="shared" si="170"/>
        <v>10.838246856863659</v>
      </c>
      <c r="AZ692" s="33">
        <f t="shared" si="171"/>
        <v>40.907488163681997</v>
      </c>
      <c r="BA692" s="39">
        <f t="shared" si="172"/>
        <v>-1.5676901384050397</v>
      </c>
      <c r="BB692" s="39">
        <f t="shared" si="173"/>
        <v>14.671901327069248</v>
      </c>
      <c r="BC692" s="45">
        <f t="shared" si="174"/>
        <v>2.8232881388326412</v>
      </c>
      <c r="BD692" s="45">
        <f t="shared" si="175"/>
        <v>71.873309199705133</v>
      </c>
      <c r="BE692" s="64">
        <f t="shared" si="176"/>
        <v>12222383964.503813</v>
      </c>
      <c r="BF692" s="65">
        <f t="shared" si="177"/>
        <v>12097845509.984644</v>
      </c>
      <c r="BG692" s="66">
        <f t="shared" si="178"/>
        <v>7128885079.8225365</v>
      </c>
    </row>
    <row r="693" spans="43:59" x14ac:dyDescent="0.25">
      <c r="AQ693" s="7">
        <v>678</v>
      </c>
      <c r="AR693" s="58">
        <f t="shared" si="179"/>
        <v>339</v>
      </c>
      <c r="AS693" s="58">
        <f t="shared" si="180"/>
        <v>-7828.5438170683101</v>
      </c>
      <c r="AT693" s="58">
        <f t="shared" si="181"/>
        <v>-101461.26140942132</v>
      </c>
      <c r="AU693" s="58">
        <f t="shared" si="182"/>
        <v>974.10459423043403</v>
      </c>
      <c r="AV693" s="58">
        <f t="shared" si="183"/>
        <v>-4155.341177394137</v>
      </c>
      <c r="AW693" s="58">
        <f t="shared" si="169"/>
        <v>10.825479691128159</v>
      </c>
      <c r="AX693" s="58">
        <f t="shared" si="184"/>
        <v>122.31147686955265</v>
      </c>
      <c r="AY693" s="33">
        <f t="shared" si="170"/>
        <v>10.124601197138174</v>
      </c>
      <c r="AZ693" s="33">
        <f t="shared" si="171"/>
        <v>39.642365944813982</v>
      </c>
      <c r="BA693" s="39">
        <f t="shared" si="172"/>
        <v>-1.5417258977421595</v>
      </c>
      <c r="BB693" s="39">
        <f t="shared" si="173"/>
        <v>14.118500755143215</v>
      </c>
      <c r="BC693" s="45">
        <f t="shared" si="174"/>
        <v>2.2426043917321445</v>
      </c>
      <c r="BD693" s="45">
        <f t="shared" si="175"/>
        <v>68.550610169595458</v>
      </c>
      <c r="BE693" s="64">
        <f t="shared" si="176"/>
        <v>12646984338.910738</v>
      </c>
      <c r="BF693" s="65">
        <f t="shared" si="177"/>
        <v>12571757140.592381</v>
      </c>
      <c r="BG693" s="66">
        <f t="shared" si="178"/>
        <v>7483550384.6333637</v>
      </c>
    </row>
    <row r="694" spans="43:59" x14ac:dyDescent="0.25">
      <c r="AQ694" s="7">
        <v>679</v>
      </c>
      <c r="AR694" s="58">
        <f t="shared" si="179"/>
        <v>339.5</v>
      </c>
      <c r="AS694" s="58">
        <f t="shared" si="180"/>
        <v>-7340.1383349917023</v>
      </c>
      <c r="AT694" s="58">
        <f t="shared" si="181"/>
        <v>-103523.64306350971</v>
      </c>
      <c r="AU694" s="58">
        <f t="shared" si="182"/>
        <v>979.51733407599806</v>
      </c>
      <c r="AV694" s="58">
        <f t="shared" si="183"/>
        <v>-4094.1854389593609</v>
      </c>
      <c r="AW694" s="58">
        <f t="shared" si="169"/>
        <v>9.6817940887587213</v>
      </c>
      <c r="AX694" s="58">
        <f t="shared" si="184"/>
        <v>117.53802064954888</v>
      </c>
      <c r="AY694" s="33">
        <f t="shared" si="170"/>
        <v>9.4675164830258911</v>
      </c>
      <c r="AZ694" s="33">
        <f t="shared" si="171"/>
        <v>38.445971188231745</v>
      </c>
      <c r="BA694" s="39">
        <f t="shared" si="172"/>
        <v>-1.5169436591507792</v>
      </c>
      <c r="BB694" s="39">
        <f t="shared" si="173"/>
        <v>13.602752941990738</v>
      </c>
      <c r="BC694" s="45">
        <f t="shared" si="174"/>
        <v>1.7312212648836089</v>
      </c>
      <c r="BD694" s="45">
        <f t="shared" si="175"/>
        <v>65.489296519326402</v>
      </c>
      <c r="BE694" s="64">
        <f t="shared" si="176"/>
        <v>13073732483.27009</v>
      </c>
      <c r="BF694" s="65">
        <f t="shared" si="177"/>
        <v>13047889631.788301</v>
      </c>
      <c r="BG694" s="66">
        <f t="shared" si="178"/>
        <v>7841911628.6625681</v>
      </c>
    </row>
    <row r="695" spans="43:59" x14ac:dyDescent="0.25">
      <c r="AQ695" s="7">
        <v>680</v>
      </c>
      <c r="AR695" s="58">
        <f t="shared" si="179"/>
        <v>340</v>
      </c>
      <c r="AS695" s="58">
        <f t="shared" si="180"/>
        <v>-6849.1694436926091</v>
      </c>
      <c r="AT695" s="58">
        <f t="shared" si="181"/>
        <v>-105556.04353040819</v>
      </c>
      <c r="AU695" s="58">
        <f t="shared" si="182"/>
        <v>984.35823112037747</v>
      </c>
      <c r="AV695" s="58">
        <f t="shared" si="183"/>
        <v>-4035.4164286345863</v>
      </c>
      <c r="AW695" s="58">
        <f t="shared" si="169"/>
        <v>8.6476499604073656</v>
      </c>
      <c r="AX695" s="58">
        <f t="shared" si="184"/>
        <v>113.09552476923616</v>
      </c>
      <c r="AY695" s="33">
        <f t="shared" si="170"/>
        <v>8.861334507203857</v>
      </c>
      <c r="AZ695" s="33">
        <f t="shared" si="171"/>
        <v>37.313162400980573</v>
      </c>
      <c r="BA695" s="39">
        <f t="shared" si="172"/>
        <v>-1.493238843927946</v>
      </c>
      <c r="BB695" s="39">
        <f t="shared" si="173"/>
        <v>13.121055138793077</v>
      </c>
      <c r="BC695" s="45">
        <f t="shared" si="174"/>
        <v>1.2795542971314549</v>
      </c>
      <c r="BD695" s="45">
        <f t="shared" si="175"/>
        <v>62.661307229462523</v>
      </c>
      <c r="BE695" s="64">
        <f t="shared" si="176"/>
        <v>13502546878.565668</v>
      </c>
      <c r="BF695" s="65">
        <f t="shared" si="177"/>
        <v>13526143540.7223</v>
      </c>
      <c r="BG695" s="66">
        <f t="shared" si="178"/>
        <v>8203816447.5126705</v>
      </c>
    </row>
    <row r="696" spans="43:59" x14ac:dyDescent="0.25">
      <c r="AQ696" s="7">
        <v>681</v>
      </c>
      <c r="AR696" s="58">
        <f t="shared" si="179"/>
        <v>340.5</v>
      </c>
      <c r="AS696" s="58">
        <f t="shared" si="180"/>
        <v>-6355.9093718873692</v>
      </c>
      <c r="AT696" s="58">
        <f t="shared" si="181"/>
        <v>-107559.61480412932</v>
      </c>
      <c r="AU696" s="58">
        <f t="shared" si="182"/>
        <v>988.68205610058112</v>
      </c>
      <c r="AV696" s="58">
        <f t="shared" si="183"/>
        <v>-3978.8686662499681</v>
      </c>
      <c r="AW696" s="58">
        <f t="shared" si="169"/>
        <v>7.7101217556073598</v>
      </c>
      <c r="AX696" s="58">
        <f t="shared" si="184"/>
        <v>108.95185874307685</v>
      </c>
      <c r="AY696" s="33">
        <f t="shared" si="170"/>
        <v>8.3010808293467981</v>
      </c>
      <c r="AZ696" s="33">
        <f t="shared" si="171"/>
        <v>36.239279366371107</v>
      </c>
      <c r="BA696" s="39">
        <f t="shared" si="172"/>
        <v>-1.4705215719262841</v>
      </c>
      <c r="BB696" s="39">
        <f t="shared" si="173"/>
        <v>12.67024342396428</v>
      </c>
      <c r="BC696" s="45">
        <f t="shared" si="174"/>
        <v>0.87956249818684529</v>
      </c>
      <c r="BD696" s="45">
        <f t="shared" si="175"/>
        <v>60.042335952741475</v>
      </c>
      <c r="BE696" s="64">
        <f t="shared" si="176"/>
        <v>13933348917.693756</v>
      </c>
      <c r="BF696" s="65">
        <f t="shared" si="177"/>
        <v>14006424241.963413</v>
      </c>
      <c r="BG696" s="66">
        <f t="shared" si="178"/>
        <v>8569120782.9135685</v>
      </c>
    </row>
    <row r="697" spans="43:59" x14ac:dyDescent="0.25">
      <c r="AQ697" s="7">
        <v>682</v>
      </c>
      <c r="AR697" s="58">
        <f t="shared" si="179"/>
        <v>341</v>
      </c>
      <c r="AS697" s="58">
        <f t="shared" si="180"/>
        <v>-5860.6045786176282</v>
      </c>
      <c r="AT697" s="58">
        <f t="shared" si="181"/>
        <v>-109535.43015491142</v>
      </c>
      <c r="AU697" s="58">
        <f t="shared" si="182"/>
        <v>992.5371169783848</v>
      </c>
      <c r="AV697" s="58">
        <f t="shared" si="183"/>
        <v>-3924.3927368784298</v>
      </c>
      <c r="AW697" s="58">
        <f t="shared" si="169"/>
        <v>6.8581189716553173</v>
      </c>
      <c r="AX697" s="58">
        <f t="shared" si="184"/>
        <v>105.07885473489526</v>
      </c>
      <c r="AY697" s="33">
        <f t="shared" si="170"/>
        <v>7.7823682613799612</v>
      </c>
      <c r="AZ697" s="33">
        <f t="shared" si="171"/>
        <v>35.220089860065485</v>
      </c>
      <c r="BA697" s="39">
        <f t="shared" si="172"/>
        <v>-1.4487139670835083</v>
      </c>
      <c r="BB697" s="39">
        <f t="shared" si="173"/>
        <v>12.247528417295278</v>
      </c>
      <c r="BC697" s="45">
        <f t="shared" si="174"/>
        <v>0.52446467735886393</v>
      </c>
      <c r="BD697" s="45">
        <f t="shared" si="175"/>
        <v>57.611236457534503</v>
      </c>
      <c r="BE697" s="64">
        <f t="shared" si="176"/>
        <v>14366062780.716768</v>
      </c>
      <c r="BF697" s="65">
        <f t="shared" si="177"/>
        <v>14488641565.201914</v>
      </c>
      <c r="BG697" s="66">
        <f t="shared" si="178"/>
        <v>8937688194.8148727</v>
      </c>
    </row>
    <row r="698" spans="43:59" x14ac:dyDescent="0.25">
      <c r="AQ698" s="7">
        <v>683</v>
      </c>
      <c r="AR698" s="58">
        <f t="shared" si="179"/>
        <v>341.5</v>
      </c>
      <c r="AS698" s="58">
        <f t="shared" si="180"/>
        <v>-5363.4787552569787</v>
      </c>
      <c r="AT698" s="58">
        <f t="shared" si="181"/>
        <v>-111484.49166650877</v>
      </c>
      <c r="AU698" s="58">
        <f t="shared" si="182"/>
        <v>995.96617646421248</v>
      </c>
      <c r="AV698" s="58">
        <f t="shared" si="183"/>
        <v>-3871.8533095109819</v>
      </c>
      <c r="AW698" s="58">
        <f t="shared" si="169"/>
        <v>6.0820819718728254</v>
      </c>
      <c r="AX698" s="58">
        <f t="shared" si="184"/>
        <v>101.45172081822045</v>
      </c>
      <c r="AY698" s="33">
        <f t="shared" si="170"/>
        <v>7.3013158759251837</v>
      </c>
      <c r="AZ698" s="33">
        <f t="shared" si="171"/>
        <v>34.251743082108071</v>
      </c>
      <c r="BA698" s="39">
        <f t="shared" si="172"/>
        <v>-1.427748039715119</v>
      </c>
      <c r="BB698" s="39">
        <f t="shared" si="173"/>
        <v>11.850441913917431</v>
      </c>
      <c r="BC698" s="45">
        <f t="shared" si="174"/>
        <v>0.20851413566276139</v>
      </c>
      <c r="BD698" s="45">
        <f t="shared" si="175"/>
        <v>55.349535822194959</v>
      </c>
      <c r="BE698" s="64">
        <f t="shared" si="176"/>
        <v>14800615311.705866</v>
      </c>
      <c r="BF698" s="65">
        <f t="shared" si="177"/>
        <v>14972709469.617851</v>
      </c>
      <c r="BG698" s="66">
        <f t="shared" si="178"/>
        <v>9309389248.9501228</v>
      </c>
    </row>
    <row r="699" spans="43:59" x14ac:dyDescent="0.25">
      <c r="AQ699" s="7">
        <v>684</v>
      </c>
      <c r="AR699" s="58">
        <f t="shared" si="179"/>
        <v>342</v>
      </c>
      <c r="AS699" s="58">
        <f t="shared" si="180"/>
        <v>-4864.7354067783881</v>
      </c>
      <c r="AT699" s="58">
        <f t="shared" si="181"/>
        <v>-113407.73685616198</v>
      </c>
      <c r="AU699" s="58">
        <f t="shared" si="182"/>
        <v>999.00721745014891</v>
      </c>
      <c r="AV699" s="58">
        <f t="shared" si="183"/>
        <v>-3821.1274491018717</v>
      </c>
      <c r="AW699" s="58">
        <f t="shared" si="169"/>
        <v>5.3737352271914816</v>
      </c>
      <c r="AX699" s="58">
        <f t="shared" si="184"/>
        <v>98.048554759602666</v>
      </c>
      <c r="AY699" s="33">
        <f t="shared" si="170"/>
        <v>6.8544807453562049</v>
      </c>
      <c r="AZ699" s="33">
        <f t="shared" si="171"/>
        <v>33.330728869096603</v>
      </c>
      <c r="BA699" s="39">
        <f t="shared" si="172"/>
        <v>-1.4075640085011334</v>
      </c>
      <c r="BB699" s="39">
        <f t="shared" si="173"/>
        <v>11.47679234145048</v>
      </c>
      <c r="BC699" s="45">
        <f t="shared" si="174"/>
        <v>-7.3181509663589564E-2</v>
      </c>
      <c r="BD699" s="45">
        <f t="shared" si="175"/>
        <v>53.241033549055587</v>
      </c>
      <c r="BE699" s="64">
        <f t="shared" si="176"/>
        <v>15236935898.528008</v>
      </c>
      <c r="BF699" s="65">
        <f t="shared" si="177"/>
        <v>15458545750.266548</v>
      </c>
      <c r="BG699" s="66">
        <f t="shared" si="178"/>
        <v>9684100969.6618004</v>
      </c>
    </row>
    <row r="700" spans="43:59" x14ac:dyDescent="0.25">
      <c r="AQ700" s="7">
        <v>685</v>
      </c>
      <c r="AR700" s="58">
        <f t="shared" si="179"/>
        <v>342.5</v>
      </c>
      <c r="AS700" s="58">
        <f t="shared" si="180"/>
        <v>-4364.5600811499144</v>
      </c>
      <c r="AT700" s="58">
        <f t="shared" si="181"/>
        <v>-115306.04451136797</v>
      </c>
      <c r="AU700" s="58">
        <f t="shared" si="182"/>
        <v>1001.6940850637446</v>
      </c>
      <c r="AV700" s="58">
        <f t="shared" si="183"/>
        <v>-3772.1031717220703</v>
      </c>
      <c r="AW700" s="58">
        <f t="shared" si="169"/>
        <v>4.7258858763061147</v>
      </c>
      <c r="AX700" s="58">
        <f t="shared" si="184"/>
        <v>94.84993890846745</v>
      </c>
      <c r="AY700" s="33">
        <f t="shared" si="170"/>
        <v>6.4388001728077402</v>
      </c>
      <c r="AZ700" s="33">
        <f t="shared" si="171"/>
        <v>32.453841891173276</v>
      </c>
      <c r="BA700" s="39">
        <f t="shared" si="172"/>
        <v>-1.3881089604141956</v>
      </c>
      <c r="BB700" s="39">
        <f t="shared" si="173"/>
        <v>11.124627390278272</v>
      </c>
      <c r="BC700" s="45">
        <f t="shared" si="174"/>
        <v>-0.32480533608743023</v>
      </c>
      <c r="BD700" s="45">
        <f t="shared" si="175"/>
        <v>51.271469627015904</v>
      </c>
      <c r="BE700" s="64">
        <f t="shared" si="176"/>
        <v>15674956356.476055</v>
      </c>
      <c r="BF700" s="65">
        <f t="shared" si="177"/>
        <v>15946071772.540903</v>
      </c>
      <c r="BG700" s="66">
        <f t="shared" si="178"/>
        <v>10061706349.407001</v>
      </c>
    </row>
    <row r="701" spans="43:59" x14ac:dyDescent="0.25">
      <c r="AQ701" s="7">
        <v>686</v>
      </c>
      <c r="AR701" s="58">
        <f t="shared" si="179"/>
        <v>343</v>
      </c>
      <c r="AS701" s="58">
        <f t="shared" si="180"/>
        <v>-3863.1223028835038</v>
      </c>
      <c r="AT701" s="58">
        <f t="shared" si="181"/>
        <v>-117180.23985486545</v>
      </c>
      <c r="AU701" s="58">
        <f t="shared" si="182"/>
        <v>1004.0570280018977</v>
      </c>
      <c r="AV701" s="58">
        <f t="shared" si="183"/>
        <v>-3724.6782022678367</v>
      </c>
      <c r="AW701" s="58">
        <f t="shared" si="169"/>
        <v>4.1322583047923516</v>
      </c>
      <c r="AX701" s="58">
        <f t="shared" si="184"/>
        <v>91.838600924979716</v>
      </c>
      <c r="AY701" s="33">
        <f t="shared" si="170"/>
        <v>6.0515426106279788</v>
      </c>
      <c r="AZ701" s="33">
        <f t="shared" si="171"/>
        <v>31.618150156899791</v>
      </c>
      <c r="BA701" s="39">
        <f t="shared" si="172"/>
        <v>-1.369335772414819</v>
      </c>
      <c r="BB701" s="39">
        <f t="shared" si="173"/>
        <v>10.792202509453455</v>
      </c>
      <c r="BC701" s="45">
        <f t="shared" si="174"/>
        <v>-0.54994853342080863</v>
      </c>
      <c r="BD701" s="45">
        <f t="shared" si="175"/>
        <v>49.428248258626461</v>
      </c>
      <c r="BE701" s="64">
        <f t="shared" si="176"/>
        <v>16114610816.309153</v>
      </c>
      <c r="BF701" s="65">
        <f t="shared" si="177"/>
        <v>16435212231.3528</v>
      </c>
      <c r="BG701" s="66">
        <f t="shared" si="178"/>
        <v>10442093907.696033</v>
      </c>
    </row>
    <row r="702" spans="43:59" x14ac:dyDescent="0.25">
      <c r="AQ702" s="7">
        <v>687</v>
      </c>
      <c r="AR702" s="58">
        <f t="shared" si="179"/>
        <v>343.5</v>
      </c>
      <c r="AS702" s="58">
        <f t="shared" si="180"/>
        <v>-3360.5772565944562</v>
      </c>
      <c r="AT702" s="58">
        <f t="shared" si="181"/>
        <v>-119031.09913088374</v>
      </c>
      <c r="AU702" s="58">
        <f t="shared" si="182"/>
        <v>1006.1231571542939</v>
      </c>
      <c r="AV702" s="58">
        <f t="shared" si="183"/>
        <v>-3678.7589018053468</v>
      </c>
      <c r="AW702" s="58">
        <f t="shared" si="169"/>
        <v>3.5873575429675308</v>
      </c>
      <c r="AX702" s="58">
        <f t="shared" si="184"/>
        <v>88.99912825954128</v>
      </c>
      <c r="AY702" s="33">
        <f t="shared" si="170"/>
        <v>5.6902658040975833</v>
      </c>
      <c r="AZ702" s="33">
        <f t="shared" si="171"/>
        <v>30.820967248833789</v>
      </c>
      <c r="BA702" s="39">
        <f t="shared" si="172"/>
        <v>-1.3512022374295858</v>
      </c>
      <c r="BB702" s="39">
        <f t="shared" si="173"/>
        <v>10.477954225470063</v>
      </c>
      <c r="BC702" s="45">
        <f t="shared" si="174"/>
        <v>-0.75170602370046646</v>
      </c>
      <c r="BD702" s="45">
        <f t="shared" si="175"/>
        <v>47.700206785237427</v>
      </c>
      <c r="BE702" s="64">
        <f t="shared" si="176"/>
        <v>16555835617.030846</v>
      </c>
      <c r="BF702" s="65">
        <f t="shared" si="177"/>
        <v>16925894932.157707</v>
      </c>
      <c r="BG702" s="66">
        <f t="shared" si="178"/>
        <v>10825157293.311354</v>
      </c>
    </row>
    <row r="703" spans="43:59" x14ac:dyDescent="0.25">
      <c r="AQ703" s="7">
        <v>688</v>
      </c>
      <c r="AR703" s="58">
        <f t="shared" si="179"/>
        <v>344</v>
      </c>
      <c r="AS703" s="58">
        <f t="shared" si="180"/>
        <v>-2857.0672583244382</v>
      </c>
      <c r="AT703" s="58">
        <f t="shared" si="181"/>
        <v>-120859.35369075398</v>
      </c>
      <c r="AU703" s="58">
        <f t="shared" si="182"/>
        <v>1007.9168359257777</v>
      </c>
      <c r="AV703" s="58">
        <f t="shared" si="183"/>
        <v>-3634.2593376755763</v>
      </c>
      <c r="AW703" s="58">
        <f t="shared" si="169"/>
        <v>3.0863558667405644</v>
      </c>
      <c r="AX703" s="58">
        <f t="shared" si="184"/>
        <v>86.317726756192954</v>
      </c>
      <c r="AY703" s="33">
        <f t="shared" si="170"/>
        <v>5.352780969751378</v>
      </c>
      <c r="AZ703" s="33">
        <f t="shared" si="171"/>
        <v>30.059827796815142</v>
      </c>
      <c r="BA703" s="39">
        <f t="shared" si="172"/>
        <v>-1.333670350899705</v>
      </c>
      <c r="BB703" s="39">
        <f t="shared" si="173"/>
        <v>10.180477447186114</v>
      </c>
      <c r="BC703" s="45">
        <f t="shared" si="174"/>
        <v>-0.93275475211110914</v>
      </c>
      <c r="BD703" s="45">
        <f t="shared" si="175"/>
        <v>46.077421512191698</v>
      </c>
      <c r="BE703" s="64">
        <f t="shared" si="176"/>
        <v>16998569203.559645</v>
      </c>
      <c r="BF703" s="65">
        <f t="shared" si="177"/>
        <v>17418050591.347458</v>
      </c>
      <c r="BG703" s="66">
        <f t="shared" si="178"/>
        <v>11210794924.559494</v>
      </c>
    </row>
    <row r="704" spans="43:59" x14ac:dyDescent="0.25">
      <c r="AQ704" s="7">
        <v>689</v>
      </c>
      <c r="AR704" s="58">
        <f t="shared" si="179"/>
        <v>344.5</v>
      </c>
      <c r="AS704" s="58">
        <f t="shared" si="180"/>
        <v>-2352.7230458782069</v>
      </c>
      <c r="AT704" s="58">
        <f t="shared" si="181"/>
        <v>-122665.69364374725</v>
      </c>
      <c r="AU704" s="58">
        <f t="shared" si="182"/>
        <v>1009.460013859148</v>
      </c>
      <c r="AV704" s="58">
        <f t="shared" si="183"/>
        <v>-3591.1004742974796</v>
      </c>
      <c r="AW704" s="58">
        <f t="shared" si="169"/>
        <v>2.624998191065699</v>
      </c>
      <c r="AX704" s="58">
        <f t="shared" si="184"/>
        <v>83.782015664715288</v>
      </c>
      <c r="AY704" s="33">
        <f t="shared" si="170"/>
        <v>5.0371220341499665</v>
      </c>
      <c r="AZ704" s="33">
        <f t="shared" si="171"/>
        <v>29.332465767039324</v>
      </c>
      <c r="BA704" s="39">
        <f t="shared" si="172"/>
        <v>-1.3167057244162579</v>
      </c>
      <c r="BB704" s="39">
        <f t="shared" si="173"/>
        <v>9.8985060816182155</v>
      </c>
      <c r="BC704" s="45">
        <f t="shared" si="174"/>
        <v>-1.0954181186680096</v>
      </c>
      <c r="BD704" s="45">
        <f t="shared" si="175"/>
        <v>44.551043816057749</v>
      </c>
      <c r="BE704" s="64">
        <f t="shared" si="176"/>
        <v>17442752029.323597</v>
      </c>
      <c r="BF704" s="65">
        <f t="shared" si="177"/>
        <v>17911612653.872074</v>
      </c>
      <c r="BG704" s="66">
        <f t="shared" si="178"/>
        <v>11598909663.06106</v>
      </c>
    </row>
    <row r="705" spans="43:59" x14ac:dyDescent="0.25">
      <c r="AQ705" s="7">
        <v>690</v>
      </c>
      <c r="AR705" s="58">
        <f t="shared" si="179"/>
        <v>345</v>
      </c>
      <c r="AS705" s="58">
        <f t="shared" si="180"/>
        <v>-1847.6649141747496</v>
      </c>
      <c r="AT705" s="58">
        <f t="shared" si="181"/>
        <v>-124450.77112893789</v>
      </c>
      <c r="AU705" s="58">
        <f t="shared" si="182"/>
        <v>1010.7725129546809</v>
      </c>
      <c r="AV705" s="58">
        <f t="shared" si="183"/>
        <v>-3549.2094664651222</v>
      </c>
      <c r="AW705" s="58">
        <f t="shared" si="169"/>
        <v>2.1995227695211579</v>
      </c>
      <c r="AX705" s="58">
        <f t="shared" si="184"/>
        <v>81.380852843571546</v>
      </c>
      <c r="AY705" s="33">
        <f t="shared" si="170"/>
        <v>4.741519132513031</v>
      </c>
      <c r="AZ705" s="33">
        <f t="shared" si="171"/>
        <v>28.63679520513827</v>
      </c>
      <c r="BA705" s="39">
        <f t="shared" si="172"/>
        <v>-1.3002771006135332</v>
      </c>
      <c r="BB705" s="39">
        <f t="shared" si="173"/>
        <v>9.6308964126221248</v>
      </c>
      <c r="BC705" s="45">
        <f t="shared" si="174"/>
        <v>-1.24171926237834</v>
      </c>
      <c r="BD705" s="45">
        <f t="shared" si="175"/>
        <v>43.113161225811155</v>
      </c>
      <c r="BE705" s="64">
        <f t="shared" si="176"/>
        <v>17888326463.723412</v>
      </c>
      <c r="BF705" s="65">
        <f t="shared" si="177"/>
        <v>18406517126.234119</v>
      </c>
      <c r="BG705" s="66">
        <f t="shared" si="178"/>
        <v>11989408517.212469</v>
      </c>
    </row>
    <row r="706" spans="43:59" x14ac:dyDescent="0.25">
      <c r="AQ706" s="7">
        <v>691</v>
      </c>
      <c r="AR706" s="58">
        <f t="shared" si="179"/>
        <v>345.5</v>
      </c>
      <c r="AS706" s="58">
        <f t="shared" si="180"/>
        <v>-1342.0037173512189</v>
      </c>
      <c r="AT706" s="58">
        <f t="shared" si="181"/>
        <v>-126215.20325556501</v>
      </c>
      <c r="AU706" s="58">
        <f t="shared" si="182"/>
        <v>1011.8722743394414</v>
      </c>
      <c r="AV706" s="58">
        <f t="shared" si="183"/>
        <v>-3508.5190400433366</v>
      </c>
      <c r="AW706" s="58">
        <f t="shared" si="169"/>
        <v>1.8065944267487613</v>
      </c>
      <c r="AX706" s="58">
        <f t="shared" si="184"/>
        <v>79.104185115333465</v>
      </c>
      <c r="AY706" s="33">
        <f t="shared" si="170"/>
        <v>4.4643757064418361</v>
      </c>
      <c r="AZ706" s="33">
        <f t="shared" si="171"/>
        <v>27.970893122408551</v>
      </c>
      <c r="BA706" s="39">
        <f t="shared" si="172"/>
        <v>-1.2843559492630414</v>
      </c>
      <c r="BB706" s="39">
        <f t="shared" si="173"/>
        <v>9.3766127954508693</v>
      </c>
      <c r="BC706" s="45">
        <f t="shared" si="174"/>
        <v>-1.3734253304300337</v>
      </c>
      <c r="BD706" s="45">
        <f t="shared" si="175"/>
        <v>41.756679197474043</v>
      </c>
      <c r="BE706" s="64">
        <f t="shared" si="176"/>
        <v>18335236704.348499</v>
      </c>
      <c r="BF706" s="65">
        <f t="shared" si="177"/>
        <v>18902702423.238228</v>
      </c>
      <c r="BG706" s="66">
        <f t="shared" si="178"/>
        <v>12382202371.980511</v>
      </c>
    </row>
    <row r="707" spans="43:59" x14ac:dyDescent="0.25">
      <c r="AQ707" s="7">
        <v>692</v>
      </c>
      <c r="AR707" s="58">
        <f t="shared" si="179"/>
        <v>346</v>
      </c>
      <c r="AS707" s="58">
        <f t="shared" si="180"/>
        <v>-835.84175587815457</v>
      </c>
      <c r="AT707" s="58">
        <f t="shared" si="181"/>
        <v>-127959.57475244727</v>
      </c>
      <c r="AU707" s="58">
        <f t="shared" si="182"/>
        <v>1012.7755715528158</v>
      </c>
      <c r="AV707" s="58">
        <f t="shared" si="183"/>
        <v>-3468.9669474856701</v>
      </c>
      <c r="AW707" s="58">
        <f t="shared" si="169"/>
        <v>1.4432481047991192</v>
      </c>
      <c r="AX707" s="58">
        <f t="shared" si="184"/>
        <v>76.942919670866317</v>
      </c>
      <c r="AY707" s="33">
        <f t="shared" si="170"/>
        <v>4.2042486531278511</v>
      </c>
      <c r="AZ707" s="33">
        <f t="shared" si="171"/>
        <v>27.33298425755131</v>
      </c>
      <c r="BA707" s="39">
        <f t="shared" si="172"/>
        <v>-1.2689161288910014</v>
      </c>
      <c r="BB707" s="39">
        <f t="shared" si="173"/>
        <v>9.134715300736957</v>
      </c>
      <c r="BC707" s="45">
        <f t="shared" si="174"/>
        <v>-1.4920844194377305</v>
      </c>
      <c r="BD707" s="45">
        <f t="shared" si="175"/>
        <v>40.47522011257805</v>
      </c>
      <c r="BE707" s="64">
        <f t="shared" si="176"/>
        <v>18783428693.789841</v>
      </c>
      <c r="BF707" s="65">
        <f t="shared" si="177"/>
        <v>19400109227.081825</v>
      </c>
      <c r="BG707" s="66">
        <f t="shared" si="178"/>
        <v>12777205742.135811</v>
      </c>
    </row>
    <row r="708" spans="43:59" x14ac:dyDescent="0.25">
      <c r="AQ708" s="7">
        <v>693</v>
      </c>
      <c r="AR708" s="58">
        <f t="shared" si="179"/>
        <v>346.5</v>
      </c>
      <c r="AS708" s="58">
        <f t="shared" si="180"/>
        <v>-329.27356408864676</v>
      </c>
      <c r="AT708" s="58">
        <f t="shared" si="181"/>
        <v>-129684.44036123125</v>
      </c>
      <c r="AU708" s="58">
        <f t="shared" si="182"/>
        <v>1013.4971956052153</v>
      </c>
      <c r="AV708" s="58">
        <f t="shared" si="183"/>
        <v>-3430.495487650237</v>
      </c>
      <c r="AW708" s="58">
        <f t="shared" si="169"/>
        <v>1.1068409380016149</v>
      </c>
      <c r="AX708" s="58">
        <f t="shared" si="184"/>
        <v>74.888813163256813</v>
      </c>
      <c r="AY708" s="33">
        <f t="shared" si="170"/>
        <v>3.9598310704558024</v>
      </c>
      <c r="AZ708" s="33">
        <f t="shared" si="171"/>
        <v>26.721427483031029</v>
      </c>
      <c r="BA708" s="39">
        <f t="shared" si="172"/>
        <v>-1.2539336015898208</v>
      </c>
      <c r="BB708" s="39">
        <f t="shared" si="173"/>
        <v>8.9043490060667008</v>
      </c>
      <c r="BC708" s="45">
        <f t="shared" si="174"/>
        <v>-1.5990565308643669</v>
      </c>
      <c r="BD708" s="45">
        <f t="shared" si="175"/>
        <v>39.263036674159082</v>
      </c>
      <c r="BE708" s="64">
        <f t="shared" si="176"/>
        <v>19232850040.867767</v>
      </c>
      <c r="BF708" s="65">
        <f t="shared" si="177"/>
        <v>19898680357.546829</v>
      </c>
      <c r="BG708" s="66">
        <f t="shared" si="178"/>
        <v>13174336546.407928</v>
      </c>
    </row>
    <row r="709" spans="43:59" x14ac:dyDescent="0.25">
      <c r="AQ709" s="7">
        <v>694</v>
      </c>
      <c r="AR709" s="58">
        <f t="shared" si="179"/>
        <v>347</v>
      </c>
      <c r="AS709" s="58">
        <f t="shared" si="180"/>
        <v>177.6133888312111</v>
      </c>
      <c r="AT709" s="58">
        <f t="shared" si="181"/>
        <v>-131390.32700341096</v>
      </c>
      <c r="AU709" s="58">
        <f t="shared" si="182"/>
        <v>1014.0506160742161</v>
      </c>
      <c r="AV709" s="58">
        <f t="shared" si="183"/>
        <v>-3393.0510810686087</v>
      </c>
      <c r="AW709" s="58">
        <f t="shared" si="169"/>
        <v>0.79501141218744298</v>
      </c>
      <c r="AX709" s="58">
        <f t="shared" si="184"/>
        <v>72.934375729087833</v>
      </c>
      <c r="AY709" s="33">
        <f t="shared" si="170"/>
        <v>3.7299372175403818</v>
      </c>
      <c r="AZ709" s="33">
        <f t="shared" si="171"/>
        <v>26.134703656444849</v>
      </c>
      <c r="BA709" s="39">
        <f t="shared" si="172"/>
        <v>-1.2393861912681612</v>
      </c>
      <c r="BB709" s="39">
        <f t="shared" si="173"/>
        <v>8.6847346854170233</v>
      </c>
      <c r="BC709" s="45">
        <f t="shared" si="174"/>
        <v>-1.6955396140847778</v>
      </c>
      <c r="BD709" s="45">
        <f t="shared" si="175"/>
        <v>38.114937387225972</v>
      </c>
      <c r="BE709" s="64">
        <f t="shared" si="176"/>
        <v>19683449946.077068</v>
      </c>
      <c r="BF709" s="65">
        <f t="shared" si="177"/>
        <v>20398360652.200623</v>
      </c>
      <c r="BG709" s="66">
        <f t="shared" si="178"/>
        <v>13573515900.365137</v>
      </c>
    </row>
    <row r="710" spans="43:59" x14ac:dyDescent="0.25">
      <c r="AQ710" s="7">
        <v>695</v>
      </c>
      <c r="AR710" s="58">
        <f t="shared" si="179"/>
        <v>347.5</v>
      </c>
      <c r="AS710" s="58">
        <f t="shared" si="180"/>
        <v>684.73807329484259</v>
      </c>
      <c r="AT710" s="58">
        <f t="shared" si="181"/>
        <v>-133077.7357469791</v>
      </c>
      <c r="AU710" s="58">
        <f t="shared" si="182"/>
        <v>1014.4481217803099</v>
      </c>
      <c r="AV710" s="58">
        <f t="shared" si="183"/>
        <v>-3356.5838932040647</v>
      </c>
      <c r="AW710" s="58">
        <f t="shared" si="169"/>
        <v>0.50564443418039695</v>
      </c>
      <c r="AX710" s="58">
        <f t="shared" si="184"/>
        <v>71.072787655037814</v>
      </c>
      <c r="AY710" s="33">
        <f t="shared" si="170"/>
        <v>3.5134893718387832</v>
      </c>
      <c r="AZ710" s="33">
        <f t="shared" si="171"/>
        <v>25.5714047440011</v>
      </c>
      <c r="BA710" s="39">
        <f t="shared" si="172"/>
        <v>-1.2252533775760375</v>
      </c>
      <c r="BB710" s="39">
        <f t="shared" si="173"/>
        <v>8.4751606889452678</v>
      </c>
      <c r="BC710" s="45">
        <f t="shared" si="174"/>
        <v>-1.7825915600823488</v>
      </c>
      <c r="BD710" s="45">
        <f t="shared" si="175"/>
        <v>37.026222222091448</v>
      </c>
      <c r="BE710" s="64">
        <f t="shared" si="176"/>
        <v>20135179131.044712</v>
      </c>
      <c r="BF710" s="65">
        <f t="shared" si="177"/>
        <v>20899096855.643192</v>
      </c>
      <c r="BG710" s="66">
        <f t="shared" si="178"/>
        <v>13974667926.095394</v>
      </c>
    </row>
    <row r="711" spans="43:59" x14ac:dyDescent="0.25">
      <c r="AQ711" s="7">
        <v>696</v>
      </c>
      <c r="AR711" s="58">
        <f t="shared" si="179"/>
        <v>348</v>
      </c>
      <c r="AS711" s="58">
        <f t="shared" si="180"/>
        <v>1192.0253397392701</v>
      </c>
      <c r="AT711" s="58">
        <f t="shared" si="181"/>
        <v>-134747.14359512425</v>
      </c>
      <c r="AU711" s="58">
        <f t="shared" si="182"/>
        <v>1014.7009439974</v>
      </c>
      <c r="AV711" s="58">
        <f t="shared" si="183"/>
        <v>-3321.0474993765456</v>
      </c>
      <c r="AW711" s="58">
        <f t="shared" si="169"/>
        <v>0.23684135243808013</v>
      </c>
      <c r="AX711" s="58">
        <f t="shared" si="184"/>
        <v>69.297826796534665</v>
      </c>
      <c r="AY711" s="33">
        <f t="shared" si="170"/>
        <v>3.309506314689397</v>
      </c>
      <c r="AZ711" s="33">
        <f t="shared" si="171"/>
        <v>25.030224066032794</v>
      </c>
      <c r="BA711" s="39">
        <f t="shared" si="172"/>
        <v>-1.2115161192915778</v>
      </c>
      <c r="BB711" s="39">
        <f t="shared" si="173"/>
        <v>8.274975839995065</v>
      </c>
      <c r="BC711" s="45">
        <f t="shared" si="174"/>
        <v>-1.8611488429597389</v>
      </c>
      <c r="BD711" s="45">
        <f t="shared" si="175"/>
        <v>35.992626890506806</v>
      </c>
      <c r="BE711" s="64">
        <f t="shared" si="176"/>
        <v>20587989771.792908</v>
      </c>
      <c r="BF711" s="65">
        <f t="shared" si="177"/>
        <v>21400837516.94767</v>
      </c>
      <c r="BG711" s="66">
        <f t="shared" si="178"/>
        <v>14377719576.999279</v>
      </c>
    </row>
    <row r="712" spans="43:59" x14ac:dyDescent="0.25">
      <c r="AQ712" s="7">
        <v>697</v>
      </c>
      <c r="AR712" s="58">
        <f t="shared" si="179"/>
        <v>348.5</v>
      </c>
      <c r="AS712" s="58">
        <f t="shared" si="180"/>
        <v>1699.4054169070248</v>
      </c>
      <c r="AT712" s="58">
        <f t="shared" si="181"/>
        <v>-136399.00511646294</v>
      </c>
      <c r="AU712" s="58">
        <f t="shared" si="182"/>
        <v>1014.819364673619</v>
      </c>
      <c r="AV712" s="58">
        <f t="shared" si="183"/>
        <v>-3286.3985859782783</v>
      </c>
      <c r="AW712" s="58">
        <f t="shared" si="169"/>
        <v>-1.3105858268020132E-2</v>
      </c>
      <c r="AX712" s="58">
        <f t="shared" si="184"/>
        <v>67.603805171179147</v>
      </c>
      <c r="AY712" s="33">
        <f t="shared" si="170"/>
        <v>3.1170932190258034</v>
      </c>
      <c r="AZ712" s="33">
        <f t="shared" si="171"/>
        <v>24.509947534025827</v>
      </c>
      <c r="BA712" s="39">
        <f t="shared" si="172"/>
        <v>-1.1981567021698889</v>
      </c>
      <c r="BB712" s="39">
        <f t="shared" si="173"/>
        <v>8.0835832042948308</v>
      </c>
      <c r="BC712" s="45">
        <f t="shared" si="174"/>
        <v>-1.9320423751239346</v>
      </c>
      <c r="BD712" s="45">
        <f t="shared" si="175"/>
        <v>35.010274432858495</v>
      </c>
      <c r="BE712" s="64">
        <f t="shared" si="176"/>
        <v>21041835435.602558</v>
      </c>
      <c r="BF712" s="65">
        <f t="shared" si="177"/>
        <v>21903532894.537434</v>
      </c>
      <c r="BG712" s="66">
        <f t="shared" si="178"/>
        <v>14782600476.207077</v>
      </c>
    </row>
    <row r="713" spans="43:59" x14ac:dyDescent="0.25">
      <c r="AQ713" s="7">
        <v>698</v>
      </c>
      <c r="AR713" s="58">
        <f t="shared" si="179"/>
        <v>349</v>
      </c>
      <c r="AS713" s="58">
        <f t="shared" si="180"/>
        <v>2206.8134610115508</v>
      </c>
      <c r="AT713" s="58">
        <f t="shared" si="181"/>
        <v>-138033.75393380568</v>
      </c>
      <c r="AU713" s="58">
        <f t="shared" si="182"/>
        <v>1014.812811744485</v>
      </c>
      <c r="AV713" s="58">
        <f t="shared" si="183"/>
        <v>-3252.5966833926886</v>
      </c>
      <c r="AW713" s="58">
        <f t="shared" si="169"/>
        <v>-0.24573689692348433</v>
      </c>
      <c r="AX713" s="58">
        <f t="shared" si="184"/>
        <v>65.985513407764032</v>
      </c>
      <c r="AY713" s="33">
        <f t="shared" si="170"/>
        <v>2.9354327477626496</v>
      </c>
      <c r="AZ713" s="33">
        <f t="shared" si="171"/>
        <v>24.00944576543575</v>
      </c>
      <c r="BA713" s="39">
        <f t="shared" si="172"/>
        <v>-1.1851586072090472</v>
      </c>
      <c r="BB713" s="39">
        <f t="shared" si="173"/>
        <v>7.9004346094112794</v>
      </c>
      <c r="BC713" s="45">
        <f t="shared" si="174"/>
        <v>-1.9960110374770867</v>
      </c>
      <c r="BD713" s="45">
        <f t="shared" si="175"/>
        <v>34.075633032917004</v>
      </c>
      <c r="BE713" s="64">
        <f t="shared" si="176"/>
        <v>21496671021.276741</v>
      </c>
      <c r="BF713" s="65">
        <f t="shared" si="177"/>
        <v>22407134867.826691</v>
      </c>
      <c r="BG713" s="66">
        <f t="shared" si="178"/>
        <v>15189242767.306063</v>
      </c>
    </row>
    <row r="714" spans="43:59" x14ac:dyDescent="0.25">
      <c r="AQ714" s="7">
        <v>699</v>
      </c>
      <c r="AR714" s="58">
        <f t="shared" si="179"/>
        <v>349.5</v>
      </c>
      <c r="AS714" s="58">
        <f t="shared" si="180"/>
        <v>2714.1891497716779</v>
      </c>
      <c r="AT714" s="58">
        <f t="shared" si="181"/>
        <v>-139651.80408632607</v>
      </c>
      <c r="AU714" s="58">
        <f t="shared" si="182"/>
        <v>1014.6899432960232</v>
      </c>
      <c r="AV714" s="58">
        <f t="shared" si="183"/>
        <v>-3219.6039266888065</v>
      </c>
      <c r="AW714" s="58">
        <f t="shared" si="169"/>
        <v>-0.46244245811431006</v>
      </c>
      <c r="AX714" s="58">
        <f t="shared" si="184"/>
        <v>64.438171943353836</v>
      </c>
      <c r="AY714" s="33">
        <f t="shared" si="170"/>
        <v>2.7637772002637351</v>
      </c>
      <c r="AZ714" s="33">
        <f t="shared" si="171"/>
        <v>23.527666976992982</v>
      </c>
      <c r="BA714" s="39">
        <f t="shared" si="172"/>
        <v>-1.1725063960446425</v>
      </c>
      <c r="BB714" s="39">
        <f t="shared" si="173"/>
        <v>7.7250258115685755</v>
      </c>
      <c r="BC714" s="45">
        <f t="shared" si="174"/>
        <v>-2.0537132623334027</v>
      </c>
      <c r="BD714" s="45">
        <f t="shared" si="175"/>
        <v>33.185479154792283</v>
      </c>
      <c r="BE714" s="64">
        <f t="shared" si="176"/>
        <v>21952452702.610359</v>
      </c>
      <c r="BF714" s="65">
        <f t="shared" si="177"/>
        <v>22911596855.023724</v>
      </c>
      <c r="BG714" s="66">
        <f t="shared" si="178"/>
        <v>15597580976.214272</v>
      </c>
    </row>
    <row r="715" spans="43:59" x14ac:dyDescent="0.25">
      <c r="AQ715" s="7">
        <v>700</v>
      </c>
      <c r="AR715" s="58">
        <f t="shared" si="179"/>
        <v>350</v>
      </c>
      <c r="AS715" s="58">
        <f t="shared" si="180"/>
        <v>3221.4763161124256</v>
      </c>
      <c r="AT715" s="58">
        <f t="shared" si="181"/>
        <v>-141253.55127817753</v>
      </c>
      <c r="AU715" s="58">
        <f t="shared" si="182"/>
        <v>1014.4587220669661</v>
      </c>
      <c r="AV715" s="58">
        <f t="shared" si="183"/>
        <v>-3187.3848407171295</v>
      </c>
      <c r="AW715" s="58">
        <f t="shared" si="169"/>
        <v>-0.66448102193207315</v>
      </c>
      <c r="AX715" s="58">
        <f t="shared" si="184"/>
        <v>62.957388035230096</v>
      </c>
      <c r="AY715" s="33">
        <f t="shared" si="170"/>
        <v>2.6014415684475205</v>
      </c>
      <c r="AZ715" s="33">
        <f t="shared" si="171"/>
        <v>23.063630569646111</v>
      </c>
      <c r="BA715" s="39">
        <f t="shared" si="172"/>
        <v>-1.1601856107848987</v>
      </c>
      <c r="BB715" s="39">
        <f t="shared" si="173"/>
        <v>7.5568922227092648</v>
      </c>
      <c r="BC715" s="45">
        <f t="shared" si="174"/>
        <v>-2.105736979594695</v>
      </c>
      <c r="BD715" s="45">
        <f t="shared" si="175"/>
        <v>32.336865242874715</v>
      </c>
      <c r="BE715" s="64">
        <f t="shared" si="176"/>
        <v>22409137874.880169</v>
      </c>
      <c r="BF715" s="65">
        <f t="shared" si="177"/>
        <v>23416873736.560051</v>
      </c>
      <c r="BG715" s="66">
        <f t="shared" si="178"/>
        <v>16007551883.167801</v>
      </c>
    </row>
    <row r="716" spans="43:59" x14ac:dyDescent="0.25">
      <c r="AQ716" s="7">
        <v>701</v>
      </c>
      <c r="AR716" s="58">
        <f t="shared" si="179"/>
        <v>350.5</v>
      </c>
      <c r="AS716" s="58">
        <f t="shared" si="180"/>
        <v>3728.6226170181671</v>
      </c>
      <c r="AT716" s="58">
        <f t="shared" si="181"/>
        <v>-142839.37402503169</v>
      </c>
      <c r="AU716" s="58">
        <f t="shared" si="182"/>
        <v>1014.126481556</v>
      </c>
      <c r="AV716" s="58">
        <f t="shared" si="183"/>
        <v>-3155.9061466995145</v>
      </c>
      <c r="AW716" s="58">
        <f t="shared" si="169"/>
        <v>-0.85299348425451571</v>
      </c>
      <c r="AX716" s="58">
        <f t="shared" si="184"/>
        <v>61.539117798641044</v>
      </c>
      <c r="AY716" s="33">
        <f t="shared" si="170"/>
        <v>2.4477973843093053</v>
      </c>
      <c r="AZ716" s="33">
        <f t="shared" si="171"/>
        <v>22.61642132903026</v>
      </c>
      <c r="BA716" s="39">
        <f t="shared" si="172"/>
        <v>-1.148182686079227</v>
      </c>
      <c r="BB716" s="39">
        <f t="shared" si="173"/>
        <v>7.395605123782822</v>
      </c>
      <c r="BC716" s="45">
        <f t="shared" si="174"/>
        <v>-2.152608182484594</v>
      </c>
      <c r="BD716" s="45">
        <f t="shared" si="175"/>
        <v>31.527091345827959</v>
      </c>
      <c r="BE716" s="64">
        <f t="shared" si="176"/>
        <v>22866685104.177784</v>
      </c>
      <c r="BF716" s="65">
        <f t="shared" si="177"/>
        <v>23922921783.664398</v>
      </c>
      <c r="BG716" s="66">
        <f t="shared" si="178"/>
        <v>16419094403.902269</v>
      </c>
    </row>
    <row r="717" spans="43:59" x14ac:dyDescent="0.25">
      <c r="AQ717" s="7">
        <v>702</v>
      </c>
      <c r="AR717" s="58">
        <f t="shared" si="179"/>
        <v>351</v>
      </c>
      <c r="AS717" s="58">
        <f t="shared" si="180"/>
        <v>4235.579233610636</v>
      </c>
      <c r="AT717" s="58">
        <f t="shared" si="181"/>
        <v>-144409.63470865661</v>
      </c>
      <c r="AU717" s="58">
        <f t="shared" si="182"/>
        <v>1013.6999848138728</v>
      </c>
      <c r="AV717" s="58">
        <f t="shared" si="183"/>
        <v>-3125.1365878001939</v>
      </c>
      <c r="AW717" s="58">
        <f t="shared" si="169"/>
        <v>-1.029015939144462</v>
      </c>
      <c r="AX717" s="58">
        <f t="shared" si="184"/>
        <v>60.179632600926823</v>
      </c>
      <c r="AY717" s="33">
        <f t="shared" si="170"/>
        <v>2.3022672576333569</v>
      </c>
      <c r="AZ717" s="33">
        <f t="shared" si="171"/>
        <v>22.185184174634696</v>
      </c>
      <c r="BA717" s="39">
        <f t="shared" si="172"/>
        <v>-1.1364848715988929</v>
      </c>
      <c r="BB717" s="39">
        <f t="shared" si="173"/>
        <v>7.2407683011814603</v>
      </c>
      <c r="BC717" s="45">
        <f t="shared" si="174"/>
        <v>-2.194798325178926</v>
      </c>
      <c r="BD717" s="45">
        <f t="shared" si="175"/>
        <v>30.753680125110662</v>
      </c>
      <c r="BE717" s="64">
        <f t="shared" si="176"/>
        <v>23325054079.417259</v>
      </c>
      <c r="BF717" s="65">
        <f t="shared" si="177"/>
        <v>24429698591.649391</v>
      </c>
      <c r="BG717" s="66">
        <f t="shared" si="178"/>
        <v>16832149479.208242</v>
      </c>
    </row>
    <row r="718" spans="43:59" x14ac:dyDescent="0.25">
      <c r="AQ718" s="7">
        <v>703</v>
      </c>
      <c r="AR718" s="58">
        <f t="shared" si="179"/>
        <v>351.5</v>
      </c>
      <c r="AS718" s="58">
        <f t="shared" si="180"/>
        <v>4742.3005990251795</v>
      </c>
      <c r="AT718" s="58">
        <f t="shared" si="181"/>
        <v>-145964.68054848158</v>
      </c>
      <c r="AU718" s="58">
        <f t="shared" si="182"/>
        <v>1013.1854768443005</v>
      </c>
      <c r="AV718" s="58">
        <f t="shared" si="183"/>
        <v>-3095.0467714997303</v>
      </c>
      <c r="AW718" s="58">
        <f t="shared" si="169"/>
        <v>-1.193490875313993</v>
      </c>
      <c r="AX718" s="58">
        <f t="shared" si="184"/>
        <v>58.875489242264258</v>
      </c>
      <c r="AY718" s="33">
        <f t="shared" si="170"/>
        <v>2.1643200169921464</v>
      </c>
      <c r="AZ718" s="33">
        <f t="shared" si="171"/>
        <v>21.7691193989025</v>
      </c>
      <c r="BA718" s="39">
        <f t="shared" si="172"/>
        <v>-1.1250801634198222</v>
      </c>
      <c r="BB718" s="39">
        <f t="shared" si="173"/>
        <v>7.0920150523965191</v>
      </c>
      <c r="BC718" s="45">
        <f t="shared" si="174"/>
        <v>-2.2327307288863172</v>
      </c>
      <c r="BD718" s="45">
        <f t="shared" si="175"/>
        <v>30.014354790965239</v>
      </c>
      <c r="BE718" s="64">
        <f t="shared" si="176"/>
        <v>23784205566.858009</v>
      </c>
      <c r="BF718" s="65">
        <f t="shared" si="177"/>
        <v>24937163017.52243</v>
      </c>
      <c r="BG718" s="66">
        <f t="shared" si="178"/>
        <v>17246659972.127598</v>
      </c>
    </row>
    <row r="719" spans="43:59" x14ac:dyDescent="0.25">
      <c r="AQ719" s="7">
        <v>704</v>
      </c>
      <c r="AR719" s="58">
        <f t="shared" si="179"/>
        <v>352</v>
      </c>
      <c r="AS719" s="58">
        <f t="shared" si="180"/>
        <v>5248.7441510879153</v>
      </c>
      <c r="AT719" s="58">
        <f t="shared" si="181"/>
        <v>-147504.84449807616</v>
      </c>
      <c r="AU719" s="58">
        <f t="shared" si="182"/>
        <v>1012.5887314066435</v>
      </c>
      <c r="AV719" s="58">
        <f t="shared" si="183"/>
        <v>-3065.6090268785983</v>
      </c>
      <c r="AW719" s="58">
        <f t="shared" si="169"/>
        <v>-1.3472770075062006</v>
      </c>
      <c r="AX719" s="58">
        <f t="shared" si="184"/>
        <v>57.623503436596394</v>
      </c>
      <c r="AY719" s="33">
        <f t="shared" si="170"/>
        <v>2.0334663792359282</v>
      </c>
      <c r="AZ719" s="33">
        <f t="shared" si="171"/>
        <v>21.367478344481221</v>
      </c>
      <c r="BA719" s="39">
        <f t="shared" si="172"/>
        <v>-1.1139572430505078</v>
      </c>
      <c r="BB719" s="39">
        <f t="shared" si="173"/>
        <v>6.9490055146610503</v>
      </c>
      <c r="BC719" s="45">
        <f t="shared" si="174"/>
        <v>-2.266786143691621</v>
      </c>
      <c r="BD719" s="45">
        <f t="shared" si="175"/>
        <v>29.307019577454124</v>
      </c>
      <c r="BE719" s="64">
        <f t="shared" si="176"/>
        <v>24244101366.992832</v>
      </c>
      <c r="BF719" s="65">
        <f t="shared" si="177"/>
        <v>25445275121.570248</v>
      </c>
      <c r="BG719" s="66">
        <f t="shared" si="178"/>
        <v>17662570572.133801</v>
      </c>
    </row>
    <row r="720" spans="43:59" x14ac:dyDescent="0.25">
      <c r="AQ720" s="7">
        <v>705</v>
      </c>
      <c r="AR720" s="58">
        <f t="shared" si="179"/>
        <v>352.5</v>
      </c>
      <c r="AS720" s="58">
        <f t="shared" si="180"/>
        <v>5754.8701071652986</v>
      </c>
      <c r="AT720" s="58">
        <f t="shared" si="181"/>
        <v>-149030.44607358589</v>
      </c>
      <c r="AU720" s="58">
        <f t="shared" si="182"/>
        <v>1011.9150929028905</v>
      </c>
      <c r="AV720" s="58">
        <f t="shared" si="183"/>
        <v>-3036.7972751603002</v>
      </c>
      <c r="AW720" s="58">
        <f t="shared" ref="AW720:AW783" si="185">(AY720+BA720+BC720)</f>
        <v>-1.4911579296037321</v>
      </c>
      <c r="AX720" s="58">
        <f t="shared" si="184"/>
        <v>56.42072617620488</v>
      </c>
      <c r="AY720" s="33">
        <f t="shared" ref="AY720:AY783" si="186">$H$27*(($H$23-AS720)/(BE720+$H$28^2)^(3/2))</f>
        <v>1.9092550829379622</v>
      </c>
      <c r="AZ720" s="33">
        <f t="shared" ref="AZ720:AZ783" si="187">$H$27*(($I$23-AT720)/(BE720+$H$28^2)^(3/2))</f>
        <v>20.979559473926962</v>
      </c>
      <c r="BA720" s="39">
        <f t="shared" ref="BA720:BA783" si="188">$H$35*(($H$31-AS720)/(BF720+$H$36^2)^(3/2))</f>
        <v>-1.1031054230531829</v>
      </c>
      <c r="BB720" s="39">
        <f t="shared" ref="BB720:BB783" si="189">$H$35*(($I$31-AT720)/(BF720+$H$36^2)^(3/2))</f>
        <v>6.8114242768218611</v>
      </c>
      <c r="BC720" s="45">
        <f t="shared" ref="BC720:BC783" si="190">$H$43*(($H$39-AS720)/(BG720+$H$44^2)^(3/2))</f>
        <v>-2.2973075894885113</v>
      </c>
      <c r="BD720" s="45">
        <f t="shared" ref="BD720:BD783" si="191">$H$43*(($I$39-AT720)/(BG720+$H$44^2)^(3/2))</f>
        <v>28.629742425456058</v>
      </c>
      <c r="BE720" s="64">
        <f t="shared" ref="BE720:BE783" si="192">($H$23-AS720)^2+($I$23-AT720)^2</f>
        <v>24704704273.659515</v>
      </c>
      <c r="BF720" s="65">
        <f t="shared" ref="BF720:BF783" si="193">($H$31-AS720)^2+($I$31-AT720)^2</f>
        <v>25953996112.600666</v>
      </c>
      <c r="BG720" s="66">
        <f t="shared" ref="BG720:BG783" si="194">($H$39-AS720)^2+($I$39-AT720)^2</f>
        <v>18079827705.706413</v>
      </c>
    </row>
    <row r="721" spans="43:59" x14ac:dyDescent="0.25">
      <c r="AQ721" s="7">
        <v>706</v>
      </c>
      <c r="AR721" s="58">
        <f t="shared" ref="AR721:AR784" si="195">AR720+$H$9</f>
        <v>353</v>
      </c>
      <c r="AS721" s="58">
        <f t="shared" ref="AS721:AS784" si="196">AS720+(AU720*$H$9)+(AW720*$H$9^2)*(1/2)</f>
        <v>6260.6412588755438</v>
      </c>
      <c r="AT721" s="58">
        <f t="shared" ref="AT721:AT784" si="197">AT720+(AV720*$H$9)+(AX720*$H$9^2)*(1/2)</f>
        <v>-150541.79212039404</v>
      </c>
      <c r="AU721" s="58">
        <f t="shared" ref="AU721:AU784" si="198">AU720+AW720*$H$9</f>
        <v>1011.1695139380886</v>
      </c>
      <c r="AV721" s="58">
        <f t="shared" ref="AV721:AV784" si="199">AV720+AX720*$H$9</f>
        <v>-3008.5869120721977</v>
      </c>
      <c r="AW721" s="58">
        <f t="shared" si="185"/>
        <v>-1.6258497479730833</v>
      </c>
      <c r="AX721" s="58">
        <f t="shared" ref="AX721:AX784" si="200">(AZ721+BB721+BD721)</f>
        <v>55.264422622218447</v>
      </c>
      <c r="AY721" s="33">
        <f t="shared" si="186"/>
        <v>1.7912694299824654</v>
      </c>
      <c r="AZ721" s="33">
        <f t="shared" si="187"/>
        <v>20.604704791465139</v>
      </c>
      <c r="BA721" s="39">
        <f t="shared" si="188"/>
        <v>-1.0925145983749134</v>
      </c>
      <c r="BB721" s="39">
        <f t="shared" si="189"/>
        <v>6.6789782401647004</v>
      </c>
      <c r="BC721" s="45">
        <f t="shared" si="190"/>
        <v>-2.3246045795806354</v>
      </c>
      <c r="BD721" s="45">
        <f t="shared" si="191"/>
        <v>27.980739590588605</v>
      </c>
      <c r="BE721" s="64">
        <f t="shared" si="192"/>
        <v>25165978035.243156</v>
      </c>
      <c r="BF721" s="65">
        <f t="shared" si="193"/>
        <v>26463288296.555172</v>
      </c>
      <c r="BG721" s="66">
        <f t="shared" si="194"/>
        <v>18498379452.769199</v>
      </c>
    </row>
    <row r="722" spans="43:59" x14ac:dyDescent="0.25">
      <c r="AQ722" s="7">
        <v>707</v>
      </c>
      <c r="AR722" s="58">
        <f t="shared" si="195"/>
        <v>353.5</v>
      </c>
      <c r="AS722" s="58">
        <f t="shared" si="196"/>
        <v>6766.0227846260914</v>
      </c>
      <c r="AT722" s="58">
        <f t="shared" si="197"/>
        <v>-152039.17752360235</v>
      </c>
      <c r="AU722" s="58">
        <f t="shared" si="198"/>
        <v>1010.3565890641021</v>
      </c>
      <c r="AV722" s="58">
        <f t="shared" si="199"/>
        <v>-2980.9547007610886</v>
      </c>
      <c r="AW722" s="58">
        <f t="shared" si="185"/>
        <v>-1.7520078299449255</v>
      </c>
      <c r="AX722" s="58">
        <f t="shared" si="200"/>
        <v>54.152053213002645</v>
      </c>
      <c r="AY722" s="33">
        <f t="shared" si="186"/>
        <v>1.6791241869138551</v>
      </c>
      <c r="AZ722" s="33">
        <f t="shared" si="187"/>
        <v>20.242296581032402</v>
      </c>
      <c r="BA722" s="39">
        <f t="shared" si="188"/>
        <v>-1.0821752026434297</v>
      </c>
      <c r="BB722" s="39">
        <f t="shared" si="189"/>
        <v>6.5513946985616265</v>
      </c>
      <c r="BC722" s="45">
        <f t="shared" si="190"/>
        <v>-2.348956814215351</v>
      </c>
      <c r="BD722" s="45">
        <f t="shared" si="191"/>
        <v>27.358361933408613</v>
      </c>
      <c r="BE722" s="64">
        <f t="shared" si="192"/>
        <v>25627887317.84454</v>
      </c>
      <c r="BF722" s="65">
        <f t="shared" si="193"/>
        <v>26973115028.232639</v>
      </c>
      <c r="BG722" s="66">
        <f t="shared" si="194"/>
        <v>18918175468.513741</v>
      </c>
    </row>
    <row r="723" spans="43:59" x14ac:dyDescent="0.25">
      <c r="AQ723" s="7">
        <v>708</v>
      </c>
      <c r="AR723" s="58">
        <f t="shared" si="195"/>
        <v>354</v>
      </c>
      <c r="AS723" s="58">
        <f t="shared" si="196"/>
        <v>7270.9820781793997</v>
      </c>
      <c r="AT723" s="58">
        <f t="shared" si="197"/>
        <v>-153522.88586733126</v>
      </c>
      <c r="AU723" s="58">
        <f t="shared" si="198"/>
        <v>1009.4805851491296</v>
      </c>
      <c r="AV723" s="58">
        <f t="shared" si="199"/>
        <v>-2953.8786741545873</v>
      </c>
      <c r="AW723" s="58">
        <f t="shared" si="185"/>
        <v>-1.8702327825713871</v>
      </c>
      <c r="AX723" s="58">
        <f t="shared" si="200"/>
        <v>53.081256724457191</v>
      </c>
      <c r="AY723" s="33">
        <f t="shared" si="186"/>
        <v>1.5724628040155884</v>
      </c>
      <c r="AZ723" s="33">
        <f t="shared" si="187"/>
        <v>19.891754428876698</v>
      </c>
      <c r="BA723" s="39">
        <f t="shared" si="188"/>
        <v>-1.0720781687964753</v>
      </c>
      <c r="BB723" s="39">
        <f t="shared" si="189"/>
        <v>6.4284196122601509</v>
      </c>
      <c r="BC723" s="45">
        <f t="shared" si="190"/>
        <v>-2.3706174177905002</v>
      </c>
      <c r="BD723" s="45">
        <f t="shared" si="191"/>
        <v>26.761082683320343</v>
      </c>
      <c r="BE723" s="64">
        <f t="shared" si="192"/>
        <v>26090397670.297619</v>
      </c>
      <c r="BF723" s="65">
        <f t="shared" si="193"/>
        <v>27483440665.888626</v>
      </c>
      <c r="BG723" s="66">
        <f t="shared" si="194"/>
        <v>19339166910.176682</v>
      </c>
    </row>
    <row r="724" spans="43:59" x14ac:dyDescent="0.25">
      <c r="AQ724" s="7">
        <v>709</v>
      </c>
      <c r="AR724" s="58">
        <f t="shared" si="195"/>
        <v>354.5</v>
      </c>
      <c r="AS724" s="58">
        <f t="shared" si="196"/>
        <v>7775.4885916561425</v>
      </c>
      <c r="AT724" s="58">
        <f t="shared" si="197"/>
        <v>-154993.190047318</v>
      </c>
      <c r="AU724" s="58">
        <f t="shared" si="198"/>
        <v>1008.545468757844</v>
      </c>
      <c r="AV724" s="58">
        <f t="shared" si="199"/>
        <v>-2927.3380457923586</v>
      </c>
      <c r="AW724" s="58">
        <f t="shared" si="185"/>
        <v>-1.9810757602092117</v>
      </c>
      <c r="AX724" s="58">
        <f t="shared" si="200"/>
        <v>52.049835051952947</v>
      </c>
      <c r="AY724" s="33">
        <f t="shared" si="186"/>
        <v>1.4709549155237165</v>
      </c>
      <c r="AZ724" s="33">
        <f t="shared" si="187"/>
        <v>19.552532502533257</v>
      </c>
      <c r="BA724" s="39">
        <f t="shared" si="188"/>
        <v>-1.0622148935077564</v>
      </c>
      <c r="BB724" s="39">
        <f t="shared" si="189"/>
        <v>6.3098160530023986</v>
      </c>
      <c r="BC724" s="45">
        <f t="shared" si="190"/>
        <v>-2.3898157822251718</v>
      </c>
      <c r="BD724" s="45">
        <f t="shared" si="191"/>
        <v>26.187486496417293</v>
      </c>
      <c r="BE724" s="64">
        <f t="shared" si="192"/>
        <v>26553475490.926537</v>
      </c>
      <c r="BF724" s="65">
        <f t="shared" si="193"/>
        <v>27994230528.495617</v>
      </c>
      <c r="BG724" s="66">
        <f t="shared" si="194"/>
        <v>19761306368.380032</v>
      </c>
    </row>
    <row r="725" spans="43:59" x14ac:dyDescent="0.25">
      <c r="AQ725" s="7">
        <v>710</v>
      </c>
      <c r="AR725" s="58">
        <f t="shared" si="195"/>
        <v>355</v>
      </c>
      <c r="AS725" s="58">
        <f t="shared" si="196"/>
        <v>8279.5136915650382</v>
      </c>
      <c r="AT725" s="58">
        <f t="shared" si="197"/>
        <v>-156450.3528408327</v>
      </c>
      <c r="AU725" s="58">
        <f t="shared" si="198"/>
        <v>1007.5549308777394</v>
      </c>
      <c r="AV725" s="58">
        <f t="shared" si="199"/>
        <v>-2901.3131282663821</v>
      </c>
      <c r="AW725" s="58">
        <f t="shared" si="185"/>
        <v>-2.0850431855059255</v>
      </c>
      <c r="AX725" s="58">
        <f t="shared" si="200"/>
        <v>51.055739514079278</v>
      </c>
      <c r="AY725" s="33">
        <f t="shared" si="186"/>
        <v>1.3742940890471813</v>
      </c>
      <c r="AZ725" s="33">
        <f t="shared" si="187"/>
        <v>19.224117061098514</v>
      </c>
      <c r="BA725" s="39">
        <f t="shared" si="188"/>
        <v>-1.0525772049513591</v>
      </c>
      <c r="BB725" s="39">
        <f t="shared" si="189"/>
        <v>6.1953628010452269</v>
      </c>
      <c r="BC725" s="45">
        <f t="shared" si="190"/>
        <v>-2.4067600696017477</v>
      </c>
      <c r="BD725" s="45">
        <f t="shared" si="191"/>
        <v>25.636259651935536</v>
      </c>
      <c r="BE725" s="64">
        <f t="shared" si="192"/>
        <v>27017087995.939747</v>
      </c>
      <c r="BF725" s="65">
        <f t="shared" si="193"/>
        <v>28505450855.469116</v>
      </c>
      <c r="BG725" s="66">
        <f t="shared" si="194"/>
        <v>20184547802.680531</v>
      </c>
    </row>
    <row r="726" spans="43:59" x14ac:dyDescent="0.25">
      <c r="AQ726" s="7">
        <v>711</v>
      </c>
      <c r="AR726" s="58">
        <f t="shared" si="195"/>
        <v>355.5</v>
      </c>
      <c r="AS726" s="58">
        <f t="shared" si="196"/>
        <v>8783.0305266057203</v>
      </c>
      <c r="AT726" s="58">
        <f t="shared" si="197"/>
        <v>-157894.62743752662</v>
      </c>
      <c r="AU726" s="58">
        <f t="shared" si="198"/>
        <v>1006.5124092849863</v>
      </c>
      <c r="AV726" s="58">
        <f t="shared" si="199"/>
        <v>-2875.7852585093424</v>
      </c>
      <c r="AW726" s="58">
        <f t="shared" si="185"/>
        <v>-2.1826009565601803</v>
      </c>
      <c r="AX726" s="58">
        <f t="shared" si="200"/>
        <v>50.097058504362877</v>
      </c>
      <c r="AY726" s="33">
        <f t="shared" si="186"/>
        <v>1.2821957962834833</v>
      </c>
      <c r="AZ726" s="33">
        <f t="shared" si="187"/>
        <v>18.906024174468687</v>
      </c>
      <c r="BA726" s="39">
        <f t="shared" si="188"/>
        <v>-1.043157333511596</v>
      </c>
      <c r="BB726" s="39">
        <f t="shared" si="189"/>
        <v>6.0848530771199112</v>
      </c>
      <c r="BC726" s="45">
        <f t="shared" si="190"/>
        <v>-2.4216394193320676</v>
      </c>
      <c r="BD726" s="45">
        <f t="shared" si="191"/>
        <v>25.106181252774277</v>
      </c>
      <c r="BE726" s="64">
        <f t="shared" si="192"/>
        <v>27481203189.365295</v>
      </c>
      <c r="BF726" s="65">
        <f t="shared" si="193"/>
        <v>29017068768.681385</v>
      </c>
      <c r="BG726" s="66">
        <f t="shared" si="194"/>
        <v>20608846481.006882</v>
      </c>
    </row>
    <row r="727" spans="43:59" x14ac:dyDescent="0.25">
      <c r="AQ727" s="7">
        <v>712</v>
      </c>
      <c r="AR727" s="58">
        <f t="shared" si="195"/>
        <v>356</v>
      </c>
      <c r="AS727" s="58">
        <f t="shared" si="196"/>
        <v>9286.0139061286445</v>
      </c>
      <c r="AT727" s="58">
        <f t="shared" si="197"/>
        <v>-159326.25793446825</v>
      </c>
      <c r="AU727" s="58">
        <f t="shared" si="198"/>
        <v>1005.4211088067062</v>
      </c>
      <c r="AV727" s="58">
        <f t="shared" si="199"/>
        <v>-2850.7367292571607</v>
      </c>
      <c r="AW727" s="58">
        <f t="shared" si="185"/>
        <v>-2.2741782030299946</v>
      </c>
      <c r="AX727" s="58">
        <f t="shared" si="200"/>
        <v>49.172006339376765</v>
      </c>
      <c r="AY727" s="33">
        <f t="shared" si="186"/>
        <v>1.1943955805800996</v>
      </c>
      <c r="AZ727" s="33">
        <f t="shared" si="187"/>
        <v>18.597797631604543</v>
      </c>
      <c r="BA727" s="39">
        <f t="shared" si="188"/>
        <v>-1.0339478851007331</v>
      </c>
      <c r="BB727" s="39">
        <f t="shared" si="189"/>
        <v>5.9780933944966499</v>
      </c>
      <c r="BC727" s="45">
        <f t="shared" si="190"/>
        <v>-2.4346258985093612</v>
      </c>
      <c r="BD727" s="45">
        <f t="shared" si="191"/>
        <v>24.596115313275572</v>
      </c>
      <c r="BE727" s="64">
        <f t="shared" si="192"/>
        <v>27945789834.437397</v>
      </c>
      <c r="BF727" s="65">
        <f t="shared" si="193"/>
        <v>29529052236.600029</v>
      </c>
      <c r="BG727" s="66">
        <f t="shared" si="194"/>
        <v>21034158922.692757</v>
      </c>
    </row>
    <row r="728" spans="43:59" x14ac:dyDescent="0.25">
      <c r="AQ728" s="7">
        <v>713</v>
      </c>
      <c r="AR728" s="58">
        <f t="shared" si="195"/>
        <v>356.5</v>
      </c>
      <c r="AS728" s="58">
        <f t="shared" si="196"/>
        <v>9788.4401882566181</v>
      </c>
      <c r="AT728" s="58">
        <f t="shared" si="197"/>
        <v>-160745.47979830441</v>
      </c>
      <c r="AU728" s="58">
        <f t="shared" si="198"/>
        <v>1004.2840197051912</v>
      </c>
      <c r="AV728" s="58">
        <f t="shared" si="199"/>
        <v>-2826.1507260874723</v>
      </c>
      <c r="AW728" s="58">
        <f t="shared" si="185"/>
        <v>-2.3601706454663769</v>
      </c>
      <c r="AX728" s="58">
        <f t="shared" si="200"/>
        <v>48.278913170760696</v>
      </c>
      <c r="AY728" s="33">
        <f t="shared" si="186"/>
        <v>1.1106473998846558</v>
      </c>
      <c r="AZ728" s="33">
        <f t="shared" si="187"/>
        <v>18.299007020008926</v>
      </c>
      <c r="BA728" s="39">
        <f t="shared" si="188"/>
        <v>-1.0249418167926194</v>
      </c>
      <c r="BB728" s="39">
        <f t="shared" si="189"/>
        <v>5.8749025181450376</v>
      </c>
      <c r="BC728" s="45">
        <f t="shared" si="190"/>
        <v>-2.4458762285584132</v>
      </c>
      <c r="BD728" s="45">
        <f t="shared" si="191"/>
        <v>24.105003632606731</v>
      </c>
      <c r="BE728" s="64">
        <f t="shared" si="192"/>
        <v>28410817426.350468</v>
      </c>
      <c r="BF728" s="65">
        <f t="shared" si="193"/>
        <v>30041370040.402523</v>
      </c>
      <c r="BG728" s="66">
        <f t="shared" si="194"/>
        <v>21460442844.839603</v>
      </c>
    </row>
    <row r="729" spans="43:59" x14ac:dyDescent="0.25">
      <c r="AQ729" s="7">
        <v>714</v>
      </c>
      <c r="AR729" s="58">
        <f t="shared" si="195"/>
        <v>357</v>
      </c>
      <c r="AS729" s="58">
        <f t="shared" si="196"/>
        <v>10290.287176778531</v>
      </c>
      <c r="AT729" s="58">
        <f t="shared" si="197"/>
        <v>-162152.52029720179</v>
      </c>
      <c r="AU729" s="58">
        <f t="shared" si="198"/>
        <v>1003.1039343824581</v>
      </c>
      <c r="AV729" s="58">
        <f t="shared" si="199"/>
        <v>-2802.0112695020921</v>
      </c>
      <c r="AW729" s="58">
        <f t="shared" si="185"/>
        <v>-2.4409436049152005</v>
      </c>
      <c r="AX729" s="58">
        <f t="shared" si="200"/>
        <v>47.416215845135241</v>
      </c>
      <c r="AY729" s="33">
        <f t="shared" si="186"/>
        <v>1.0307221262183197</v>
      </c>
      <c r="AZ729" s="33">
        <f t="shared" si="187"/>
        <v>18.009245960480655</v>
      </c>
      <c r="BA729" s="39">
        <f t="shared" si="188"/>
        <v>-1.0161324145197308</v>
      </c>
      <c r="BB729" s="39">
        <f t="shared" si="189"/>
        <v>5.7751105195648051</v>
      </c>
      <c r="BC729" s="45">
        <f t="shared" si="190"/>
        <v>-2.4555333166137894</v>
      </c>
      <c r="BD729" s="45">
        <f t="shared" si="191"/>
        <v>23.631859365089777</v>
      </c>
      <c r="BE729" s="64">
        <f t="shared" si="192"/>
        <v>28876256166.301895</v>
      </c>
      <c r="BF729" s="65">
        <f t="shared" si="193"/>
        <v>30553991741.930187</v>
      </c>
      <c r="BG729" s="66">
        <f t="shared" si="194"/>
        <v>21887657111.766739</v>
      </c>
    </row>
    <row r="730" spans="43:59" x14ac:dyDescent="0.25">
      <c r="AQ730" s="7">
        <v>715</v>
      </c>
      <c r="AR730" s="58">
        <f t="shared" si="195"/>
        <v>357.5</v>
      </c>
      <c r="AS730" s="58">
        <f t="shared" si="196"/>
        <v>10791.534026019146</v>
      </c>
      <c r="AT730" s="58">
        <f t="shared" si="197"/>
        <v>-163547.5989049722</v>
      </c>
      <c r="AU730" s="58">
        <f t="shared" si="198"/>
        <v>1001.8834625800005</v>
      </c>
      <c r="AV730" s="58">
        <f t="shared" si="199"/>
        <v>-2778.3031615795244</v>
      </c>
      <c r="AW730" s="58">
        <f t="shared" si="185"/>
        <v>-2.5168347036519201</v>
      </c>
      <c r="AX730" s="58">
        <f t="shared" si="200"/>
        <v>46.582449610074924</v>
      </c>
      <c r="AY730" s="33">
        <f t="shared" si="186"/>
        <v>0.95440618505480768</v>
      </c>
      <c r="AZ730" s="33">
        <f t="shared" si="187"/>
        <v>17.728130482856781</v>
      </c>
      <c r="BA730" s="39">
        <f t="shared" si="188"/>
        <v>-1.0075132726138987</v>
      </c>
      <c r="BB730" s="39">
        <f t="shared" si="189"/>
        <v>5.6785579172275593</v>
      </c>
      <c r="BC730" s="45">
        <f t="shared" si="190"/>
        <v>-2.4637276160928292</v>
      </c>
      <c r="BD730" s="45">
        <f t="shared" si="191"/>
        <v>23.175761209990583</v>
      </c>
      <c r="BE730" s="64">
        <f t="shared" si="192"/>
        <v>29342076936.75021</v>
      </c>
      <c r="BF730" s="65">
        <f t="shared" si="193"/>
        <v>31066887653.356602</v>
      </c>
      <c r="BG730" s="66">
        <f t="shared" si="194"/>
        <v>22315761687.327419</v>
      </c>
    </row>
    <row r="731" spans="43:59" x14ac:dyDescent="0.25">
      <c r="AQ731" s="7">
        <v>716</v>
      </c>
      <c r="AR731" s="58">
        <f t="shared" si="195"/>
        <v>358</v>
      </c>
      <c r="AS731" s="58">
        <f t="shared" si="196"/>
        <v>11292.16115297119</v>
      </c>
      <c r="AT731" s="58">
        <f t="shared" si="197"/>
        <v>-164930.9276795607</v>
      </c>
      <c r="AU731" s="58">
        <f t="shared" si="198"/>
        <v>1000.6250452281745</v>
      </c>
      <c r="AV731" s="58">
        <f t="shared" si="199"/>
        <v>-2755.0119367744869</v>
      </c>
      <c r="AW731" s="58">
        <f t="shared" si="185"/>
        <v>-2.588156292622918</v>
      </c>
      <c r="AX731" s="58">
        <f t="shared" si="200"/>
        <v>45.776240576578061</v>
      </c>
      <c r="AY731" s="33">
        <f t="shared" si="186"/>
        <v>0.88150031994279421</v>
      </c>
      <c r="AZ731" s="33">
        <f t="shared" si="187"/>
        <v>17.455297529929435</v>
      </c>
      <c r="BA731" s="39">
        <f t="shared" si="188"/>
        <v>-0.9990782749991014</v>
      </c>
      <c r="BB731" s="39">
        <f t="shared" si="189"/>
        <v>5.5850948937572404</v>
      </c>
      <c r="BC731" s="45">
        <f t="shared" si="190"/>
        <v>-2.4705783375666108</v>
      </c>
      <c r="BD731" s="45">
        <f t="shared" si="191"/>
        <v>22.735848152891389</v>
      </c>
      <c r="BE731" s="64">
        <f t="shared" si="192"/>
        <v>29808251277.819714</v>
      </c>
      <c r="BF731" s="65">
        <f t="shared" si="193"/>
        <v>31580028808.455215</v>
      </c>
      <c r="BG731" s="66">
        <f t="shared" si="194"/>
        <v>22744717589.888042</v>
      </c>
    </row>
    <row r="732" spans="43:59" x14ac:dyDescent="0.25">
      <c r="AQ732" s="7">
        <v>717</v>
      </c>
      <c r="AR732" s="58">
        <f t="shared" si="195"/>
        <v>358.5</v>
      </c>
      <c r="AS732" s="58">
        <f t="shared" si="196"/>
        <v>11792.1501560487</v>
      </c>
      <c r="AT732" s="58">
        <f t="shared" si="197"/>
        <v>-166302.71161787587</v>
      </c>
      <c r="AU732" s="58">
        <f t="shared" si="198"/>
        <v>999.33096708186304</v>
      </c>
      <c r="AV732" s="58">
        <f t="shared" si="199"/>
        <v>-2732.1238164861979</v>
      </c>
      <c r="AW732" s="58">
        <f t="shared" si="185"/>
        <v>-2.6551976366293619</v>
      </c>
      <c r="AX732" s="58">
        <f t="shared" si="200"/>
        <v>44.996298859116898</v>
      </c>
      <c r="AY732" s="33">
        <f t="shared" si="186"/>
        <v>0.81181846941225932</v>
      </c>
      <c r="AZ732" s="33">
        <f t="shared" si="187"/>
        <v>17.190403578021577</v>
      </c>
      <c r="BA732" s="39">
        <f t="shared" si="188"/>
        <v>-0.99082157786875824</v>
      </c>
      <c r="BB732" s="39">
        <f t="shared" si="189"/>
        <v>5.4945805820097808</v>
      </c>
      <c r="BC732" s="45">
        <f t="shared" si="190"/>
        <v>-2.4761945281728632</v>
      </c>
      <c r="BD732" s="45">
        <f t="shared" si="191"/>
        <v>22.311314699085539</v>
      </c>
      <c r="BE732" s="64">
        <f t="shared" si="192"/>
        <v>30274751364.787376</v>
      </c>
      <c r="BF732" s="65">
        <f t="shared" si="193"/>
        <v>32093386935.360649</v>
      </c>
      <c r="BG732" s="66">
        <f t="shared" si="194"/>
        <v>23174486849.785397</v>
      </c>
    </row>
    <row r="733" spans="43:59" x14ac:dyDescent="0.25">
      <c r="AQ733" s="7">
        <v>718</v>
      </c>
      <c r="AR733" s="58">
        <f t="shared" si="195"/>
        <v>359</v>
      </c>
      <c r="AS733" s="58">
        <f t="shared" si="196"/>
        <v>12291.483739885052</v>
      </c>
      <c r="AT733" s="58">
        <f t="shared" si="197"/>
        <v>-167663.14898876159</v>
      </c>
      <c r="AU733" s="58">
        <f t="shared" si="198"/>
        <v>998.0033682635484</v>
      </c>
      <c r="AV733" s="58">
        <f t="shared" si="199"/>
        <v>-2709.6256670566395</v>
      </c>
      <c r="AW733" s="58">
        <f t="shared" si="185"/>
        <v>-2.7182268843838928</v>
      </c>
      <c r="AX733" s="58">
        <f t="shared" si="200"/>
        <v>44.241412323582466</v>
      </c>
      <c r="AY733" s="33">
        <f t="shared" si="186"/>
        <v>0.7451867446915692</v>
      </c>
      <c r="AZ733" s="33">
        <f t="shared" si="187"/>
        <v>16.933123363861618</v>
      </c>
      <c r="BA733" s="39">
        <f t="shared" si="188"/>
        <v>-0.98273759370041858</v>
      </c>
      <c r="BB733" s="39">
        <f t="shared" si="189"/>
        <v>5.4068824131113162</v>
      </c>
      <c r="BC733" s="45">
        <f t="shared" si="190"/>
        <v>-2.4806760353750437</v>
      </c>
      <c r="BD733" s="45">
        <f t="shared" si="191"/>
        <v>21.901406546609529</v>
      </c>
      <c r="BE733" s="64">
        <f t="shared" si="192"/>
        <v>30741549986.591549</v>
      </c>
      <c r="BF733" s="65">
        <f t="shared" si="193"/>
        <v>32606934430.726158</v>
      </c>
      <c r="BG733" s="66">
        <f t="shared" si="194"/>
        <v>23605032469.091526</v>
      </c>
    </row>
    <row r="734" spans="43:59" x14ac:dyDescent="0.25">
      <c r="AQ734" s="7">
        <v>719</v>
      </c>
      <c r="AR734" s="58">
        <f t="shared" si="195"/>
        <v>359.5</v>
      </c>
      <c r="AS734" s="58">
        <f t="shared" si="196"/>
        <v>12790.145645656277</v>
      </c>
      <c r="AT734" s="58">
        <f t="shared" si="197"/>
        <v>-169012.43164574946</v>
      </c>
      <c r="AU734" s="58">
        <f t="shared" si="198"/>
        <v>996.64425482135641</v>
      </c>
      <c r="AV734" s="58">
        <f t="shared" si="199"/>
        <v>-2687.5049608948484</v>
      </c>
      <c r="AW734" s="58">
        <f t="shared" si="185"/>
        <v>-2.7774928472044285</v>
      </c>
      <c r="AX734" s="58">
        <f t="shared" si="200"/>
        <v>43.510440881487668</v>
      </c>
      <c r="AY734" s="33">
        <f t="shared" si="186"/>
        <v>0.68144249806163271</v>
      </c>
      <c r="AZ734" s="33">
        <f t="shared" si="187"/>
        <v>16.683148708426508</v>
      </c>
      <c r="BA734" s="39">
        <f t="shared" si="188"/>
        <v>-0.97482097647816512</v>
      </c>
      <c r="BB734" s="39">
        <f t="shared" si="189"/>
        <v>5.3218755202984909</v>
      </c>
      <c r="BC734" s="45">
        <f t="shared" si="190"/>
        <v>-2.4841143687878962</v>
      </c>
      <c r="BD734" s="45">
        <f t="shared" si="191"/>
        <v>21.505416652762673</v>
      </c>
      <c r="BE734" s="64">
        <f t="shared" si="192"/>
        <v>31208620525.306221</v>
      </c>
      <c r="BF734" s="65">
        <f t="shared" si="193"/>
        <v>33120644335.187473</v>
      </c>
      <c r="BG734" s="66">
        <f t="shared" si="194"/>
        <v>24036318383.530312</v>
      </c>
    </row>
    <row r="735" spans="43:59" x14ac:dyDescent="0.25">
      <c r="AQ735" s="7">
        <v>720</v>
      </c>
      <c r="AR735" s="58">
        <f t="shared" si="195"/>
        <v>360</v>
      </c>
      <c r="AS735" s="58">
        <f t="shared" si="196"/>
        <v>13288.120586461055</v>
      </c>
      <c r="AT735" s="58">
        <f t="shared" si="197"/>
        <v>-170350.7453210867</v>
      </c>
      <c r="AU735" s="58">
        <f t="shared" si="198"/>
        <v>995.25550839775417</v>
      </c>
      <c r="AV735" s="58">
        <f t="shared" si="199"/>
        <v>-2665.7497404541045</v>
      </c>
      <c r="AW735" s="58">
        <f t="shared" si="185"/>
        <v>-2.8332266072014995</v>
      </c>
      <c r="AX735" s="58">
        <f t="shared" si="200"/>
        <v>42.802311275812045</v>
      </c>
      <c r="AY735" s="33">
        <f t="shared" si="186"/>
        <v>0.62043347281161287</v>
      </c>
      <c r="AZ735" s="33">
        <f t="shared" si="187"/>
        <v>16.440187429338007</v>
      </c>
      <c r="BA735" s="39">
        <f t="shared" si="188"/>
        <v>-0.96706660800854161</v>
      </c>
      <c r="BB735" s="39">
        <f t="shared" si="189"/>
        <v>5.2394421930931188</v>
      </c>
      <c r="BC735" s="45">
        <f t="shared" si="190"/>
        <v>-2.4865934720045706</v>
      </c>
      <c r="BD735" s="45">
        <f t="shared" si="191"/>
        <v>21.122681653380923</v>
      </c>
      <c r="BE735" s="64">
        <f t="shared" si="192"/>
        <v>31675936936.527927</v>
      </c>
      <c r="BF735" s="65">
        <f t="shared" si="193"/>
        <v>33634490310.050247</v>
      </c>
      <c r="BG735" s="66">
        <f t="shared" si="194"/>
        <v>24468309426.402081</v>
      </c>
    </row>
    <row r="736" spans="43:59" x14ac:dyDescent="0.25">
      <c r="AQ736" s="7">
        <v>721</v>
      </c>
      <c r="AR736" s="58">
        <f t="shared" si="195"/>
        <v>360.5</v>
      </c>
      <c r="AS736" s="58">
        <f t="shared" si="196"/>
        <v>13785.394187334032</v>
      </c>
      <c r="AT736" s="58">
        <f t="shared" si="197"/>
        <v>-171678.26990240425</v>
      </c>
      <c r="AU736" s="58">
        <f t="shared" si="198"/>
        <v>993.83889509415337</v>
      </c>
      <c r="AV736" s="58">
        <f t="shared" si="199"/>
        <v>-2644.3485848161986</v>
      </c>
      <c r="AW736" s="58">
        <f t="shared" si="185"/>
        <v>-2.8856429732963123</v>
      </c>
      <c r="AX736" s="58">
        <f t="shared" si="200"/>
        <v>42.116012309994517</v>
      </c>
      <c r="AY736" s="33">
        <f t="shared" si="186"/>
        <v>0.5620170267592286</v>
      </c>
      <c r="AZ736" s="33">
        <f t="shared" si="187"/>
        <v>16.203962334211603</v>
      </c>
      <c r="BA736" s="39">
        <f t="shared" si="188"/>
        <v>-0.95946958522866488</v>
      </c>
      <c r="BB736" s="39">
        <f t="shared" si="189"/>
        <v>5.1594713769440332</v>
      </c>
      <c r="BC736" s="45">
        <f t="shared" si="190"/>
        <v>-2.4881904148268759</v>
      </c>
      <c r="BD736" s="45">
        <f t="shared" si="191"/>
        <v>20.752578598838877</v>
      </c>
      <c r="BE736" s="64">
        <f t="shared" si="192"/>
        <v>32143473730.625648</v>
      </c>
      <c r="BF736" s="65">
        <f t="shared" si="193"/>
        <v>34148446615.12439</v>
      </c>
      <c r="BG736" s="66">
        <f t="shared" si="194"/>
        <v>24900971294.384155</v>
      </c>
    </row>
    <row r="737" spans="43:59" x14ac:dyDescent="0.25">
      <c r="AQ737" s="7">
        <v>722</v>
      </c>
      <c r="AR737" s="58">
        <f t="shared" si="195"/>
        <v>361</v>
      </c>
      <c r="AS737" s="58">
        <f t="shared" si="196"/>
        <v>14281.952929509445</v>
      </c>
      <c r="AT737" s="58">
        <f t="shared" si="197"/>
        <v>-172995.17969327362</v>
      </c>
      <c r="AU737" s="58">
        <f t="shared" si="198"/>
        <v>992.39607360750517</v>
      </c>
      <c r="AV737" s="58">
        <f t="shared" si="199"/>
        <v>-2623.2905786612014</v>
      </c>
      <c r="AW737" s="58">
        <f t="shared" si="185"/>
        <v>-2.9349418012222475</v>
      </c>
      <c r="AX737" s="58">
        <f t="shared" si="200"/>
        <v>41.450590476962986</v>
      </c>
      <c r="AY737" s="33">
        <f t="shared" si="186"/>
        <v>0.50605942217649902</v>
      </c>
      <c r="AZ737" s="33">
        <f t="shared" si="187"/>
        <v>15.974210288091449</v>
      </c>
      <c r="BA737" s="39">
        <f t="shared" si="188"/>
        <v>-0.95202520841652194</v>
      </c>
      <c r="BB737" s="39">
        <f t="shared" si="189"/>
        <v>5.0818582139976298</v>
      </c>
      <c r="BC737" s="45">
        <f t="shared" si="190"/>
        <v>-2.4889760149822244</v>
      </c>
      <c r="BD737" s="45">
        <f t="shared" si="191"/>
        <v>20.394521974873904</v>
      </c>
      <c r="BE737" s="64">
        <f t="shared" si="192"/>
        <v>32611205954.80748</v>
      </c>
      <c r="BF737" s="65">
        <f t="shared" si="193"/>
        <v>34662488087.634598</v>
      </c>
      <c r="BG737" s="66">
        <f t="shared" si="194"/>
        <v>25334270515.08564</v>
      </c>
    </row>
    <row r="738" spans="43:59" x14ac:dyDescent="0.25">
      <c r="AQ738" s="7">
        <v>723</v>
      </c>
      <c r="AR738" s="58">
        <f t="shared" si="195"/>
        <v>361.5</v>
      </c>
      <c r="AS738" s="58">
        <f t="shared" si="196"/>
        <v>14777.784098588045</v>
      </c>
      <c r="AT738" s="58">
        <f t="shared" si="197"/>
        <v>-174301.64365879461</v>
      </c>
      <c r="AU738" s="58">
        <f t="shared" si="198"/>
        <v>990.92860270689403</v>
      </c>
      <c r="AV738" s="58">
        <f t="shared" si="199"/>
        <v>-2602.5652834227199</v>
      </c>
      <c r="AW738" s="58">
        <f t="shared" si="185"/>
        <v>-2.9813091917628247</v>
      </c>
      <c r="AX738" s="58">
        <f t="shared" si="200"/>
        <v>40.805145949792028</v>
      </c>
      <c r="AY738" s="33">
        <f t="shared" si="186"/>
        <v>0.45243517573413056</v>
      </c>
      <c r="AZ738" s="33">
        <f t="shared" si="187"/>
        <v>15.750681348751066</v>
      </c>
      <c r="BA738" s="39">
        <f t="shared" si="188"/>
        <v>-0.94472897022361335</v>
      </c>
      <c r="BB738" s="39">
        <f t="shared" si="189"/>
        <v>5.0065036211252263</v>
      </c>
      <c r="BC738" s="45">
        <f t="shared" si="190"/>
        <v>-2.489015397273342</v>
      </c>
      <c r="BD738" s="45">
        <f t="shared" si="191"/>
        <v>20.047960979915736</v>
      </c>
      <c r="BE738" s="64">
        <f t="shared" si="192"/>
        <v>33079109175.960293</v>
      </c>
      <c r="BF738" s="65">
        <f t="shared" si="193"/>
        <v>35176590122.141312</v>
      </c>
      <c r="BG738" s="66">
        <f t="shared" si="194"/>
        <v>25768174416.243938</v>
      </c>
    </row>
    <row r="739" spans="43:59" x14ac:dyDescent="0.25">
      <c r="AQ739" s="7">
        <v>724</v>
      </c>
      <c r="AR739" s="58">
        <f t="shared" si="195"/>
        <v>362</v>
      </c>
      <c r="AS739" s="58">
        <f t="shared" si="196"/>
        <v>15272.875736292523</v>
      </c>
      <c r="AT739" s="58">
        <f t="shared" si="197"/>
        <v>-175597.82565726223</v>
      </c>
      <c r="AU739" s="58">
        <f t="shared" si="198"/>
        <v>989.43794811101259</v>
      </c>
      <c r="AV739" s="58">
        <f t="shared" si="199"/>
        <v>-2582.1627104478239</v>
      </c>
      <c r="AW739" s="58">
        <f t="shared" si="185"/>
        <v>-3.0249185798244391</v>
      </c>
      <c r="AX739" s="58">
        <f t="shared" si="200"/>
        <v>40.17882889973189</v>
      </c>
      <c r="AY739" s="33">
        <f t="shared" si="186"/>
        <v>0.40102646275915532</v>
      </c>
      <c r="AZ739" s="33">
        <f t="shared" si="187"/>
        <v>15.533137964229361</v>
      </c>
      <c r="BA739" s="39">
        <f t="shared" si="188"/>
        <v>-0.93757654545829061</v>
      </c>
      <c r="BB739" s="39">
        <f t="shared" si="189"/>
        <v>4.9333139017430216</v>
      </c>
      <c r="BC739" s="45">
        <f t="shared" si="190"/>
        <v>-2.4883684971253039</v>
      </c>
      <c r="BD739" s="45">
        <f t="shared" si="191"/>
        <v>19.712377033759509</v>
      </c>
      <c r="BE739" s="64">
        <f t="shared" si="192"/>
        <v>33547159464.221729</v>
      </c>
      <c r="BF739" s="65">
        <f t="shared" si="193"/>
        <v>35690728651.411438</v>
      </c>
      <c r="BG739" s="66">
        <f t="shared" si="194"/>
        <v>26202651096.459557</v>
      </c>
    </row>
    <row r="740" spans="43:59" x14ac:dyDescent="0.25">
      <c r="AQ740" s="7">
        <v>725</v>
      </c>
      <c r="AR740" s="58">
        <f t="shared" si="195"/>
        <v>362.5</v>
      </c>
      <c r="AS740" s="58">
        <f t="shared" si="196"/>
        <v>15767.21659552555</v>
      </c>
      <c r="AT740" s="58">
        <f t="shared" si="197"/>
        <v>-176883.88465887366</v>
      </c>
      <c r="AU740" s="58">
        <f t="shared" si="198"/>
        <v>987.92548882110032</v>
      </c>
      <c r="AV740" s="58">
        <f t="shared" si="199"/>
        <v>-2562.0732959979578</v>
      </c>
      <c r="AW740" s="58">
        <f t="shared" si="185"/>
        <v>-3.0659317254976819</v>
      </c>
      <c r="AX740" s="58">
        <f t="shared" si="200"/>
        <v>39.570836110989227</v>
      </c>
      <c r="AY740" s="33">
        <f t="shared" si="186"/>
        <v>0.35172257070175983</v>
      </c>
      <c r="AZ740" s="33">
        <f t="shared" si="187"/>
        <v>15.321354227490399</v>
      </c>
      <c r="BA740" s="39">
        <f t="shared" si="188"/>
        <v>-0.9305637815559985</v>
      </c>
      <c r="BB740" s="39">
        <f t="shared" si="189"/>
        <v>4.8622003883241014</v>
      </c>
      <c r="BC740" s="45">
        <f t="shared" si="190"/>
        <v>-2.4870905146434432</v>
      </c>
      <c r="BD740" s="45">
        <f t="shared" si="191"/>
        <v>19.387281495174726</v>
      </c>
      <c r="BE740" s="64">
        <f t="shared" si="192"/>
        <v>34015333377.246021</v>
      </c>
      <c r="BF740" s="65">
        <f t="shared" si="193"/>
        <v>36204880128.182434</v>
      </c>
      <c r="BG740" s="66">
        <f t="shared" si="194"/>
        <v>26637669397.372986</v>
      </c>
    </row>
    <row r="741" spans="43:59" x14ac:dyDescent="0.25">
      <c r="AQ741" s="7">
        <v>726</v>
      </c>
      <c r="AR741" s="58">
        <f t="shared" si="195"/>
        <v>363</v>
      </c>
      <c r="AS741" s="58">
        <f t="shared" si="196"/>
        <v>16260.796098470411</v>
      </c>
      <c r="AT741" s="58">
        <f t="shared" si="197"/>
        <v>-178159.97495235878</v>
      </c>
      <c r="AU741" s="58">
        <f t="shared" si="198"/>
        <v>986.39252295835149</v>
      </c>
      <c r="AV741" s="58">
        <f t="shared" si="199"/>
        <v>-2542.2878779424632</v>
      </c>
      <c r="AW741" s="58">
        <f t="shared" si="185"/>
        <v>-3.1044996169992198</v>
      </c>
      <c r="AX741" s="58">
        <f t="shared" si="200"/>
        <v>38.980407864865441</v>
      </c>
      <c r="AY741" s="33">
        <f t="shared" si="186"/>
        <v>0.30441939723928235</v>
      </c>
      <c r="AZ741" s="33">
        <f t="shared" si="187"/>
        <v>15.115115183565523</v>
      </c>
      <c r="BA741" s="39">
        <f t="shared" si="188"/>
        <v>-0.92368668967905421</v>
      </c>
      <c r="BB741" s="39">
        <f t="shared" si="189"/>
        <v>4.7930791128209531</v>
      </c>
      <c r="BC741" s="45">
        <f t="shared" si="190"/>
        <v>-2.4852323245594481</v>
      </c>
      <c r="BD741" s="45">
        <f t="shared" si="191"/>
        <v>19.072213568478961</v>
      </c>
      <c r="BE741" s="64">
        <f t="shared" si="192"/>
        <v>34483607945.127708</v>
      </c>
      <c r="BF741" s="65">
        <f t="shared" si="193"/>
        <v>36719021507.767128</v>
      </c>
      <c r="BG741" s="66">
        <f t="shared" si="194"/>
        <v>27073198877.19508</v>
      </c>
    </row>
    <row r="742" spans="43:59" x14ac:dyDescent="0.25">
      <c r="AQ742" s="7">
        <v>727</v>
      </c>
      <c r="AR742" s="58">
        <f t="shared" si="195"/>
        <v>363.5</v>
      </c>
      <c r="AS742" s="58">
        <f t="shared" si="196"/>
        <v>16753.604297497463</v>
      </c>
      <c r="AT742" s="58">
        <f t="shared" si="197"/>
        <v>-179426.2463403469</v>
      </c>
      <c r="AU742" s="58">
        <f t="shared" si="198"/>
        <v>984.8402731498519</v>
      </c>
      <c r="AV742" s="58">
        <f t="shared" si="199"/>
        <v>-2522.7976740100303</v>
      </c>
      <c r="AW742" s="58">
        <f t="shared" si="185"/>
        <v>-3.1407632942792234</v>
      </c>
      <c r="AX742" s="58">
        <f t="shared" si="200"/>
        <v>38.406825068699845</v>
      </c>
      <c r="AY742" s="33">
        <f t="shared" si="186"/>
        <v>0.2590189889166481</v>
      </c>
      <c r="AZ742" s="33">
        <f t="shared" si="187"/>
        <v>14.914216184964005</v>
      </c>
      <c r="BA742" s="39">
        <f t="shared" si="188"/>
        <v>-0.9169414363944306</v>
      </c>
      <c r="BB742" s="39">
        <f t="shared" si="189"/>
        <v>4.7258705025006105</v>
      </c>
      <c r="BC742" s="45">
        <f t="shared" si="190"/>
        <v>-2.4828408468014409</v>
      </c>
      <c r="BD742" s="45">
        <f t="shared" si="191"/>
        <v>18.766738381235225</v>
      </c>
      <c r="BE742" s="64">
        <f t="shared" si="192"/>
        <v>34951960655.94928</v>
      </c>
      <c r="BF742" s="65">
        <f t="shared" si="193"/>
        <v>37233130231.450813</v>
      </c>
      <c r="BG742" s="66">
        <f t="shared" si="194"/>
        <v>27509209785.508541</v>
      </c>
    </row>
    <row r="743" spans="43:59" x14ac:dyDescent="0.25">
      <c r="AQ743" s="7">
        <v>728</v>
      </c>
      <c r="AR743" s="58">
        <f t="shared" si="195"/>
        <v>364</v>
      </c>
      <c r="AS743" s="58">
        <f t="shared" si="196"/>
        <v>17245.631838660604</v>
      </c>
      <c r="AT743" s="58">
        <f t="shared" si="197"/>
        <v>-180682.84432421834</v>
      </c>
      <c r="AU743" s="58">
        <f t="shared" si="198"/>
        <v>983.26989150271231</v>
      </c>
      <c r="AV743" s="58">
        <f t="shared" si="199"/>
        <v>-2503.5942614756805</v>
      </c>
      <c r="AW743" s="58">
        <f t="shared" si="185"/>
        <v>-3.1748546011099124</v>
      </c>
      <c r="AX743" s="58">
        <f t="shared" si="200"/>
        <v>37.849406607576697</v>
      </c>
      <c r="AY743" s="33">
        <f t="shared" si="186"/>
        <v>0.21542911664019526</v>
      </c>
      <c r="AZ743" s="33">
        <f t="shared" si="187"/>
        <v>14.718462291508585</v>
      </c>
      <c r="BA743" s="39">
        <f t="shared" si="188"/>
        <v>-0.91032433588317008</v>
      </c>
      <c r="BB743" s="39">
        <f t="shared" si="189"/>
        <v>4.6604990989461559</v>
      </c>
      <c r="BC743" s="45">
        <f t="shared" si="190"/>
        <v>-2.4799593818669377</v>
      </c>
      <c r="BD743" s="45">
        <f t="shared" si="191"/>
        <v>18.470445217121952</v>
      </c>
      <c r="BE743" s="64">
        <f t="shared" si="192"/>
        <v>35420369441.921196</v>
      </c>
      <c r="BF743" s="65">
        <f t="shared" si="193"/>
        <v>37747184210.635139</v>
      </c>
      <c r="BG743" s="66">
        <f t="shared" si="194"/>
        <v>27945673039.2644</v>
      </c>
    </row>
    <row r="744" spans="43:59" x14ac:dyDescent="0.25">
      <c r="AQ744" s="7">
        <v>729</v>
      </c>
      <c r="AR744" s="58">
        <f t="shared" si="195"/>
        <v>364.5</v>
      </c>
      <c r="AS744" s="58">
        <f t="shared" si="196"/>
        <v>17736.86992758682</v>
      </c>
      <c r="AT744" s="58">
        <f t="shared" si="197"/>
        <v>-181929.91027913021</v>
      </c>
      <c r="AU744" s="58">
        <f t="shared" si="198"/>
        <v>981.68246420215735</v>
      </c>
      <c r="AV744" s="58">
        <f t="shared" si="199"/>
        <v>-2484.6695581718923</v>
      </c>
      <c r="AW744" s="58">
        <f t="shared" si="185"/>
        <v>-3.2068968726172336</v>
      </c>
      <c r="AX744" s="58">
        <f t="shared" si="200"/>
        <v>37.307506898992344</v>
      </c>
      <c r="AY744" s="33">
        <f t="shared" si="186"/>
        <v>0.17356288471328729</v>
      </c>
      <c r="AZ744" s="33">
        <f t="shared" si="187"/>
        <v>14.527667711103836</v>
      </c>
      <c r="BA744" s="39">
        <f t="shared" si="188"/>
        <v>-0.90383184263940863</v>
      </c>
      <c r="BB744" s="39">
        <f t="shared" si="189"/>
        <v>4.5968932982008921</v>
      </c>
      <c r="BC744" s="45">
        <f t="shared" si="190"/>
        <v>-2.4766279146911123</v>
      </c>
      <c r="BD744" s="45">
        <f t="shared" si="191"/>
        <v>18.182945889687616</v>
      </c>
      <c r="BE744" s="64">
        <f t="shared" si="192"/>
        <v>35888812666.083984</v>
      </c>
      <c r="BF744" s="65">
        <f t="shared" si="193"/>
        <v>38261161811.686584</v>
      </c>
      <c r="BG744" s="66">
        <f t="shared" si="194"/>
        <v>28382560199.902462</v>
      </c>
    </row>
    <row r="745" spans="43:59" x14ac:dyDescent="0.25">
      <c r="AQ745" s="7">
        <v>730</v>
      </c>
      <c r="AR745" s="58">
        <f t="shared" si="195"/>
        <v>365</v>
      </c>
      <c r="AS745" s="58">
        <f t="shared" si="196"/>
        <v>18227.310297578824</v>
      </c>
      <c r="AT745" s="58">
        <f t="shared" si="197"/>
        <v>-183167.58161985379</v>
      </c>
      <c r="AU745" s="58">
        <f t="shared" si="198"/>
        <v>980.07901576584868</v>
      </c>
      <c r="AV745" s="58">
        <f t="shared" si="199"/>
        <v>-2466.0158047223963</v>
      </c>
      <c r="AW745" s="58">
        <f t="shared" si="185"/>
        <v>-3.2370055644671929</v>
      </c>
      <c r="AX745" s="58">
        <f t="shared" si="200"/>
        <v>36.780513632653758</v>
      </c>
      <c r="AY745" s="33">
        <f t="shared" si="186"/>
        <v>0.13333837043211416</v>
      </c>
      <c r="AZ745" s="33">
        <f t="shared" si="187"/>
        <v>14.341655278247377</v>
      </c>
      <c r="BA745" s="39">
        <f t="shared" si="188"/>
        <v>-0.89746054462124003</v>
      </c>
      <c r="BB745" s="39">
        <f t="shared" si="189"/>
        <v>4.5349851102315668</v>
      </c>
      <c r="BC745" s="45">
        <f t="shared" si="190"/>
        <v>-2.4728833902780671</v>
      </c>
      <c r="BD745" s="45">
        <f t="shared" si="191"/>
        <v>17.903873244174815</v>
      </c>
      <c r="BE745" s="64">
        <f t="shared" si="192"/>
        <v>36357269109.544678</v>
      </c>
      <c r="BF745" s="65">
        <f t="shared" si="193"/>
        <v>38775041841.450256</v>
      </c>
      <c r="BG745" s="66">
        <f t="shared" si="194"/>
        <v>28819843451.530197</v>
      </c>
    </row>
    <row r="746" spans="43:59" x14ac:dyDescent="0.25">
      <c r="AQ746" s="7">
        <v>731</v>
      </c>
      <c r="AR746" s="58">
        <f t="shared" si="195"/>
        <v>365.5</v>
      </c>
      <c r="AS746" s="58">
        <f t="shared" si="196"/>
        <v>18716.94517976619</v>
      </c>
      <c r="AT746" s="58">
        <f t="shared" si="197"/>
        <v>-184395.99195801091</v>
      </c>
      <c r="AU746" s="58">
        <f t="shared" si="198"/>
        <v>978.4605129836151</v>
      </c>
      <c r="AV746" s="58">
        <f t="shared" si="199"/>
        <v>-2447.6255479060696</v>
      </c>
      <c r="AW746" s="58">
        <f t="shared" si="185"/>
        <v>-3.2652888292565039</v>
      </c>
      <c r="AX746" s="58">
        <f t="shared" si="200"/>
        <v>36.267845679344617</v>
      </c>
      <c r="AY746" s="33">
        <f t="shared" si="186"/>
        <v>9.4678291554205665E-2</v>
      </c>
      <c r="AZ746" s="33">
        <f t="shared" si="187"/>
        <v>14.160255967374214</v>
      </c>
      <c r="BA746" s="39">
        <f t="shared" si="188"/>
        <v>-0.89120715681892593</v>
      </c>
      <c r="BB746" s="39">
        <f t="shared" si="189"/>
        <v>4.4747099360626752</v>
      </c>
      <c r="BC746" s="45">
        <f t="shared" si="190"/>
        <v>-2.4687599639917837</v>
      </c>
      <c r="BD746" s="45">
        <f t="shared" si="191"/>
        <v>17.632879775907725</v>
      </c>
      <c r="BE746" s="64">
        <f t="shared" si="192"/>
        <v>36825717959.220711</v>
      </c>
      <c r="BF746" s="65">
        <f t="shared" si="193"/>
        <v>39288803533.392059</v>
      </c>
      <c r="BG746" s="66">
        <f t="shared" si="194"/>
        <v>29257495580.098534</v>
      </c>
    </row>
    <row r="747" spans="43:59" x14ac:dyDescent="0.25">
      <c r="AQ747" s="7">
        <v>732</v>
      </c>
      <c r="AR747" s="58">
        <f t="shared" si="195"/>
        <v>366</v>
      </c>
      <c r="AS747" s="58">
        <f t="shared" si="196"/>
        <v>19205.76727515434</v>
      </c>
      <c r="AT747" s="58">
        <f t="shared" si="197"/>
        <v>-185615.27125125405</v>
      </c>
      <c r="AU747" s="58">
        <f t="shared" si="198"/>
        <v>976.8278685689869</v>
      </c>
      <c r="AV747" s="58">
        <f t="shared" si="199"/>
        <v>-2429.4916250663973</v>
      </c>
      <c r="AW747" s="58">
        <f t="shared" si="185"/>
        <v>-3.2918480450717897</v>
      </c>
      <c r="AX747" s="58">
        <f t="shared" si="200"/>
        <v>35.768951154357936</v>
      </c>
      <c r="AY747" s="33">
        <f t="shared" si="186"/>
        <v>5.7509699214410105E-2</v>
      </c>
      <c r="AZ747" s="33">
        <f t="shared" si="187"/>
        <v>13.98330843837619</v>
      </c>
      <c r="BA747" s="39">
        <f t="shared" si="188"/>
        <v>-0.88506851520931717</v>
      </c>
      <c r="BB747" s="39">
        <f t="shared" si="189"/>
        <v>4.4160063610930482</v>
      </c>
      <c r="BC747" s="45">
        <f t="shared" si="190"/>
        <v>-2.4642892290768827</v>
      </c>
      <c r="BD747" s="45">
        <f t="shared" si="191"/>
        <v>17.369636354888701</v>
      </c>
      <c r="BE747" s="64">
        <f t="shared" si="192"/>
        <v>37294138796.066643</v>
      </c>
      <c r="BF747" s="65">
        <f t="shared" si="193"/>
        <v>39802426534.335258</v>
      </c>
      <c r="BG747" s="66">
        <f t="shared" si="194"/>
        <v>29695489953.517929</v>
      </c>
    </row>
    <row r="748" spans="43:59" x14ac:dyDescent="0.25">
      <c r="AQ748" s="7">
        <v>733</v>
      </c>
      <c r="AR748" s="58">
        <f t="shared" si="195"/>
        <v>366.5</v>
      </c>
      <c r="AS748" s="58">
        <f t="shared" si="196"/>
        <v>19693.769728433199</v>
      </c>
      <c r="AT748" s="58">
        <f t="shared" si="197"/>
        <v>-186825.54594489295</v>
      </c>
      <c r="AU748" s="58">
        <f t="shared" si="198"/>
        <v>975.18194454645095</v>
      </c>
      <c r="AV748" s="58">
        <f t="shared" si="199"/>
        <v>-2411.6071494892185</v>
      </c>
      <c r="AW748" s="58">
        <f t="shared" si="185"/>
        <v>-3.3167783006653866</v>
      </c>
      <c r="AX748" s="58">
        <f t="shared" si="200"/>
        <v>35.283305622400306</v>
      </c>
      <c r="AY748" s="33">
        <f t="shared" si="186"/>
        <v>2.1763694097263166E-2</v>
      </c>
      <c r="AZ748" s="33">
        <f t="shared" si="187"/>
        <v>13.810658611866664</v>
      </c>
      <c r="BA748" s="39">
        <f t="shared" si="188"/>
        <v>-0.87904157106806646</v>
      </c>
      <c r="BB748" s="39">
        <f t="shared" si="189"/>
        <v>4.3588159632465828</v>
      </c>
      <c r="BC748" s="45">
        <f t="shared" si="190"/>
        <v>-2.4595004236945832</v>
      </c>
      <c r="BD748" s="45">
        <f t="shared" si="191"/>
        <v>17.113831047287057</v>
      </c>
      <c r="BE748" s="64">
        <f t="shared" si="192"/>
        <v>37762511583.759926</v>
      </c>
      <c r="BF748" s="65">
        <f t="shared" si="193"/>
        <v>40315890891.759048</v>
      </c>
      <c r="BG748" s="66">
        <f t="shared" si="194"/>
        <v>30133800502.6614</v>
      </c>
    </row>
    <row r="749" spans="43:59" x14ac:dyDescent="0.25">
      <c r="AQ749" s="7">
        <v>734</v>
      </c>
      <c r="AR749" s="58">
        <f t="shared" si="195"/>
        <v>367</v>
      </c>
      <c r="AS749" s="58">
        <f t="shared" si="196"/>
        <v>20180.946103418839</v>
      </c>
      <c r="AT749" s="58">
        <f t="shared" si="197"/>
        <v>-188026.93910643476</v>
      </c>
      <c r="AU749" s="58">
        <f t="shared" si="198"/>
        <v>973.52355539611824</v>
      </c>
      <c r="AV749" s="58">
        <f t="shared" si="199"/>
        <v>-2393.9654966780186</v>
      </c>
      <c r="AW749" s="58">
        <f t="shared" si="185"/>
        <v>-3.3401688412372192</v>
      </c>
      <c r="AX749" s="58">
        <f t="shared" si="200"/>
        <v>34.810410432115489</v>
      </c>
      <c r="AY749" s="33">
        <f t="shared" si="186"/>
        <v>-1.2624836115996147E-2</v>
      </c>
      <c r="AZ749" s="33">
        <f t="shared" si="187"/>
        <v>13.64215927196415</v>
      </c>
      <c r="BA749" s="39">
        <f t="shared" si="188"/>
        <v>-0.87312338561372416</v>
      </c>
      <c r="BB749" s="39">
        <f t="shared" si="189"/>
        <v>4.3030831347353846</v>
      </c>
      <c r="BC749" s="45">
        <f t="shared" si="190"/>
        <v>-2.4544206195074989</v>
      </c>
      <c r="BD749" s="45">
        <f t="shared" si="191"/>
        <v>16.865168025415954</v>
      </c>
      <c r="BE749" s="64">
        <f t="shared" si="192"/>
        <v>38230816657.823784</v>
      </c>
      <c r="BF749" s="65">
        <f t="shared" si="193"/>
        <v>40829177041.629463</v>
      </c>
      <c r="BG749" s="66">
        <f t="shared" si="194"/>
        <v>30572401703.205166</v>
      </c>
    </row>
    <row r="750" spans="43:59" x14ac:dyDescent="0.25">
      <c r="AQ750" s="7">
        <v>735</v>
      </c>
      <c r="AR750" s="58">
        <f t="shared" si="195"/>
        <v>367.5</v>
      </c>
      <c r="AS750" s="58">
        <f t="shared" si="196"/>
        <v>20667.290360011742</v>
      </c>
      <c r="AT750" s="58">
        <f t="shared" si="197"/>
        <v>-189219.57055346976</v>
      </c>
      <c r="AU750" s="58">
        <f t="shared" si="198"/>
        <v>971.85347097549959</v>
      </c>
      <c r="AV750" s="58">
        <f t="shared" si="199"/>
        <v>-2376.5602914619608</v>
      </c>
      <c r="AW750" s="58">
        <f t="shared" si="185"/>
        <v>-3.362103478405591</v>
      </c>
      <c r="AX750" s="58">
        <f t="shared" si="200"/>
        <v>34.349791169492747</v>
      </c>
      <c r="AY750" s="33">
        <f t="shared" si="186"/>
        <v>-4.5717459820075308E-2</v>
      </c>
      <c r="AZ750" s="33">
        <f t="shared" si="187"/>
        <v>13.477669694557646</v>
      </c>
      <c r="BA750" s="39">
        <f t="shared" si="188"/>
        <v>-0.86731112496013496</v>
      </c>
      <c r="BB750" s="39">
        <f t="shared" si="189"/>
        <v>4.2487549163271794</v>
      </c>
      <c r="BC750" s="45">
        <f t="shared" si="190"/>
        <v>-2.4490748936253808</v>
      </c>
      <c r="BD750" s="45">
        <f t="shared" si="191"/>
        <v>16.623366558607916</v>
      </c>
      <c r="BE750" s="64">
        <f t="shared" si="192"/>
        <v>38699034715.166138</v>
      </c>
      <c r="BF750" s="65">
        <f t="shared" si="193"/>
        <v>41342265796.734421</v>
      </c>
      <c r="BG750" s="66">
        <f t="shared" si="194"/>
        <v>31011268558.260582</v>
      </c>
    </row>
    <row r="751" spans="43:59" x14ac:dyDescent="0.25">
      <c r="AQ751" s="7">
        <v>736</v>
      </c>
      <c r="AR751" s="58">
        <f t="shared" si="195"/>
        <v>368</v>
      </c>
      <c r="AS751" s="58">
        <f t="shared" si="196"/>
        <v>21152.796832564691</v>
      </c>
      <c r="AT751" s="58">
        <f t="shared" si="197"/>
        <v>-190403.55697530456</v>
      </c>
      <c r="AU751" s="58">
        <f t="shared" si="198"/>
        <v>970.17241923629683</v>
      </c>
      <c r="AV751" s="58">
        <f t="shared" si="199"/>
        <v>-2359.3853958772143</v>
      </c>
      <c r="AW751" s="58">
        <f t="shared" si="185"/>
        <v>-3.3826609675897323</v>
      </c>
      <c r="AX751" s="58">
        <f t="shared" si="200"/>
        <v>33.900996220430386</v>
      </c>
      <c r="AY751" s="33">
        <f t="shared" si="186"/>
        <v>-7.7572426704307959E-2</v>
      </c>
      <c r="AZ751" s="33">
        <f t="shared" si="187"/>
        <v>13.317055299184435</v>
      </c>
      <c r="BA751" s="39">
        <f t="shared" si="188"/>
        <v>-0.86160205535548762</v>
      </c>
      <c r="BB751" s="39">
        <f t="shared" si="189"/>
        <v>4.1957808431100032</v>
      </c>
      <c r="BC751" s="45">
        <f t="shared" si="190"/>
        <v>-2.4434864855299367</v>
      </c>
      <c r="BD751" s="45">
        <f t="shared" si="191"/>
        <v>16.38816007813595</v>
      </c>
      <c r="BE751" s="64">
        <f t="shared" si="192"/>
        <v>39167146804.014786</v>
      </c>
      <c r="BF751" s="65">
        <f t="shared" si="193"/>
        <v>41855138335.49649</v>
      </c>
      <c r="BG751" s="66">
        <f t="shared" si="194"/>
        <v>31450376581.754318</v>
      </c>
    </row>
    <row r="752" spans="43:59" x14ac:dyDescent="0.25">
      <c r="AQ752" s="7">
        <v>737</v>
      </c>
      <c r="AR752" s="58">
        <f t="shared" si="195"/>
        <v>368.5</v>
      </c>
      <c r="AS752" s="58">
        <f t="shared" si="196"/>
        <v>21637.46020956189</v>
      </c>
      <c r="AT752" s="58">
        <f t="shared" si="197"/>
        <v>-191579.01204871561</v>
      </c>
      <c r="AU752" s="58">
        <f t="shared" si="198"/>
        <v>968.48108875250193</v>
      </c>
      <c r="AV752" s="58">
        <f t="shared" si="199"/>
        <v>-2342.4348977669993</v>
      </c>
      <c r="AW752" s="58">
        <f t="shared" si="185"/>
        <v>-3.4019153557045456</v>
      </c>
      <c r="AX752" s="58">
        <f t="shared" si="200"/>
        <v>33.463595433614103</v>
      </c>
      <c r="AY752" s="33">
        <f t="shared" si="186"/>
        <v>-0.1082448765930276</v>
      </c>
      <c r="AZ752" s="33">
        <f t="shared" si="187"/>
        <v>13.160187322805655</v>
      </c>
      <c r="BA752" s="39">
        <f t="shared" si="188"/>
        <v>-0.85599353868824457</v>
      </c>
      <c r="BB752" s="39">
        <f t="shared" si="189"/>
        <v>4.1441128008387702</v>
      </c>
      <c r="BC752" s="45">
        <f t="shared" si="190"/>
        <v>-2.4376769404232737</v>
      </c>
      <c r="BD752" s="45">
        <f t="shared" si="191"/>
        <v>16.159295309969682</v>
      </c>
      <c r="BE752" s="64">
        <f t="shared" si="192"/>
        <v>39635134314.230553</v>
      </c>
      <c r="BF752" s="65">
        <f t="shared" si="193"/>
        <v>42367776191.239082</v>
      </c>
      <c r="BG752" s="66">
        <f t="shared" si="194"/>
        <v>31889701782.516445</v>
      </c>
    </row>
    <row r="753" spans="43:59" x14ac:dyDescent="0.25">
      <c r="AQ753" s="7">
        <v>738</v>
      </c>
      <c r="AR753" s="58">
        <f t="shared" si="195"/>
        <v>369</v>
      </c>
      <c r="AS753" s="58">
        <f t="shared" si="196"/>
        <v>22121.275514518678</v>
      </c>
      <c r="AT753" s="58">
        <f t="shared" si="197"/>
        <v>-192746.04654816989</v>
      </c>
      <c r="AU753" s="58">
        <f t="shared" si="198"/>
        <v>966.78013107464972</v>
      </c>
      <c r="AV753" s="58">
        <f t="shared" si="199"/>
        <v>-2325.703100050192</v>
      </c>
      <c r="AW753" s="58">
        <f t="shared" si="185"/>
        <v>-3.4199363017833848</v>
      </c>
      <c r="AX753" s="58">
        <f t="shared" si="200"/>
        <v>33.037178875683168</v>
      </c>
      <c r="AY753" s="33">
        <f t="shared" si="186"/>
        <v>-0.13778703324791891</v>
      </c>
      <c r="AZ753" s="33">
        <f t="shared" si="187"/>
        <v>13.0069425139042</v>
      </c>
      <c r="BA753" s="39">
        <f t="shared" si="188"/>
        <v>-0.85048302824179645</v>
      </c>
      <c r="BB753" s="39">
        <f t="shared" si="189"/>
        <v>4.0937048920302654</v>
      </c>
      <c r="BC753" s="45">
        <f t="shared" si="190"/>
        <v>-2.4316662402936697</v>
      </c>
      <c r="BD753" s="45">
        <f t="shared" si="191"/>
        <v>15.936531469748703</v>
      </c>
      <c r="BE753" s="64">
        <f t="shared" si="192"/>
        <v>40102978967.980316</v>
      </c>
      <c r="BF753" s="65">
        <f t="shared" si="193"/>
        <v>42880161241.882668</v>
      </c>
      <c r="BG753" s="66">
        <f t="shared" si="194"/>
        <v>32329220649.038609</v>
      </c>
    </row>
    <row r="754" spans="43:59" x14ac:dyDescent="0.25">
      <c r="AQ754" s="7">
        <v>739</v>
      </c>
      <c r="AR754" s="58">
        <f t="shared" si="195"/>
        <v>369.5</v>
      </c>
      <c r="AS754" s="58">
        <f t="shared" si="196"/>
        <v>22604.238088018279</v>
      </c>
      <c r="AT754" s="58">
        <f t="shared" si="197"/>
        <v>-193904.76845083555</v>
      </c>
      <c r="AU754" s="58">
        <f t="shared" si="198"/>
        <v>965.07016292375806</v>
      </c>
      <c r="AV754" s="58">
        <f t="shared" si="199"/>
        <v>-2309.1845106123506</v>
      </c>
      <c r="AW754" s="58">
        <f t="shared" si="185"/>
        <v>-3.4367893728882053</v>
      </c>
      <c r="AX754" s="58">
        <f t="shared" si="200"/>
        <v>32.62135567137193</v>
      </c>
      <c r="AY754" s="33">
        <f t="shared" si="186"/>
        <v>-0.16624838435087622</v>
      </c>
      <c r="AZ754" s="33">
        <f t="shared" si="187"/>
        <v>12.857202845456085</v>
      </c>
      <c r="BA754" s="39">
        <f t="shared" si="188"/>
        <v>-0.84506806468117468</v>
      </c>
      <c r="BB754" s="39">
        <f t="shared" si="189"/>
        <v>4.0445133110471208</v>
      </c>
      <c r="BC754" s="45">
        <f t="shared" si="190"/>
        <v>-2.4254729238561543</v>
      </c>
      <c r="BD754" s="45">
        <f t="shared" si="191"/>
        <v>15.719639514868723</v>
      </c>
      <c r="BE754" s="64">
        <f t="shared" si="192"/>
        <v>40570662810.753769</v>
      </c>
      <c r="BF754" s="65">
        <f t="shared" si="193"/>
        <v>43392275700.049408</v>
      </c>
      <c r="BG754" s="66">
        <f t="shared" si="194"/>
        <v>32768910134.867081</v>
      </c>
    </row>
    <row r="755" spans="43:59" x14ac:dyDescent="0.25">
      <c r="AQ755" s="7">
        <v>740</v>
      </c>
      <c r="AR755" s="58">
        <f t="shared" si="195"/>
        <v>370</v>
      </c>
      <c r="AS755" s="58">
        <f t="shared" si="196"/>
        <v>23086.343570808549</v>
      </c>
      <c r="AT755" s="58">
        <f t="shared" si="197"/>
        <v>-195055.28303668278</v>
      </c>
      <c r="AU755" s="58">
        <f t="shared" si="198"/>
        <v>963.35176823731399</v>
      </c>
      <c r="AV755" s="58">
        <f t="shared" si="199"/>
        <v>-2292.8738327766646</v>
      </c>
      <c r="AW755" s="58">
        <f t="shared" si="185"/>
        <v>-3.452536317439967</v>
      </c>
      <c r="AX755" s="58">
        <f t="shared" si="200"/>
        <v>32.215752921977007</v>
      </c>
      <c r="AY755" s="33">
        <f t="shared" si="186"/>
        <v>-0.19367584877632485</v>
      </c>
      <c r="AZ755" s="33">
        <f t="shared" si="187"/>
        <v>12.710855245445311</v>
      </c>
      <c r="BA755" s="39">
        <f t="shared" si="188"/>
        <v>-0.83974627225644116</v>
      </c>
      <c r="BB755" s="39">
        <f t="shared" si="189"/>
        <v>3.9964962274776865</v>
      </c>
      <c r="BC755" s="45">
        <f t="shared" si="190"/>
        <v>-2.4191141964072007</v>
      </c>
      <c r="BD755" s="45">
        <f t="shared" si="191"/>
        <v>15.508401449054007</v>
      </c>
      <c r="BE755" s="64">
        <f t="shared" si="192"/>
        <v>41038168202.707741</v>
      </c>
      <c r="BF755" s="65">
        <f t="shared" si="193"/>
        <v>43904102103.555847</v>
      </c>
      <c r="BG755" s="66">
        <f t="shared" si="194"/>
        <v>33208747644.597446</v>
      </c>
    </row>
    <row r="756" spans="43:59" x14ac:dyDescent="0.25">
      <c r="AQ756" s="7">
        <v>741</v>
      </c>
      <c r="AR756" s="58">
        <f t="shared" si="195"/>
        <v>370.5</v>
      </c>
      <c r="AS756" s="58">
        <f t="shared" si="196"/>
        <v>23567.587887887526</v>
      </c>
      <c r="AT756" s="58">
        <f t="shared" si="197"/>
        <v>-196197.69298395587</v>
      </c>
      <c r="AU756" s="58">
        <f t="shared" si="198"/>
        <v>961.62550007859397</v>
      </c>
      <c r="AV756" s="58">
        <f t="shared" si="199"/>
        <v>-2276.7659563156762</v>
      </c>
      <c r="AW756" s="58">
        <f t="shared" si="185"/>
        <v>-3.4672353178973765</v>
      </c>
      <c r="AX756" s="58">
        <f t="shared" si="200"/>
        <v>31.820014696075674</v>
      </c>
      <c r="AY756" s="33">
        <f t="shared" si="186"/>
        <v>-0.22011393216312869</v>
      </c>
      <c r="AZ756" s="33">
        <f t="shared" si="187"/>
        <v>12.567791343692839</v>
      </c>
      <c r="BA756" s="39">
        <f t="shared" si="188"/>
        <v>-0.83451535520868725</v>
      </c>
      <c r="BB756" s="39">
        <f t="shared" si="189"/>
        <v>3.9496136771794381</v>
      </c>
      <c r="BC756" s="45">
        <f t="shared" si="190"/>
        <v>-2.4126060305255606</v>
      </c>
      <c r="BD756" s="45">
        <f t="shared" si="191"/>
        <v>15.302609675203394</v>
      </c>
      <c r="BE756" s="64">
        <f t="shared" si="192"/>
        <v>41505477810.323746</v>
      </c>
      <c r="BF756" s="65">
        <f t="shared" si="193"/>
        <v>44415623306.274529</v>
      </c>
      <c r="BG756" s="66">
        <f t="shared" si="194"/>
        <v>33648711020.440109</v>
      </c>
    </row>
    <row r="757" spans="43:59" x14ac:dyDescent="0.25">
      <c r="AQ757" s="7">
        <v>742</v>
      </c>
      <c r="AR757" s="58">
        <f t="shared" si="195"/>
        <v>371</v>
      </c>
      <c r="AS757" s="58">
        <f t="shared" si="196"/>
        <v>24047.967233512089</v>
      </c>
      <c r="AT757" s="58">
        <f t="shared" si="197"/>
        <v>-197332.0984602767</v>
      </c>
      <c r="AU757" s="58">
        <f t="shared" si="198"/>
        <v>959.8918824196453</v>
      </c>
      <c r="AV757" s="58">
        <f t="shared" si="199"/>
        <v>-2260.8559489676386</v>
      </c>
      <c r="AW757" s="58">
        <f t="shared" si="185"/>
        <v>-3.4809412245302069</v>
      </c>
      <c r="AX757" s="58">
        <f t="shared" si="200"/>
        <v>31.43380108695775</v>
      </c>
      <c r="AY757" s="33">
        <f t="shared" si="186"/>
        <v>-0.24560487170712142</v>
      </c>
      <c r="AZ757" s="33">
        <f t="shared" si="187"/>
        <v>12.427907233870767</v>
      </c>
      <c r="BA757" s="39">
        <f t="shared" si="188"/>
        <v>-0.82937309436559525</v>
      </c>
      <c r="BB757" s="39">
        <f t="shared" si="189"/>
        <v>3.9038274604074479</v>
      </c>
      <c r="BC757" s="45">
        <f t="shared" si="190"/>
        <v>-2.4059632584574904</v>
      </c>
      <c r="BD757" s="45">
        <f t="shared" si="191"/>
        <v>15.102066392679536</v>
      </c>
      <c r="BE757" s="64">
        <f t="shared" si="192"/>
        <v>41972574598.364075</v>
      </c>
      <c r="BF757" s="65">
        <f t="shared" si="193"/>
        <v>44926822469.346428</v>
      </c>
      <c r="BG757" s="66">
        <f t="shared" si="194"/>
        <v>34088778529.327229</v>
      </c>
    </row>
    <row r="758" spans="43:59" x14ac:dyDescent="0.25">
      <c r="AQ758" s="7">
        <v>743</v>
      </c>
      <c r="AR758" s="58">
        <f t="shared" si="195"/>
        <v>371.5</v>
      </c>
      <c r="AS758" s="58">
        <f t="shared" si="196"/>
        <v>24527.478057068845</v>
      </c>
      <c r="AT758" s="58">
        <f t="shared" si="197"/>
        <v>-198458.59720962466</v>
      </c>
      <c r="AU758" s="58">
        <f t="shared" si="198"/>
        <v>958.15141180738021</v>
      </c>
      <c r="AV758" s="58">
        <f t="shared" si="199"/>
        <v>-2245.1390484241597</v>
      </c>
      <c r="AW758" s="58">
        <f t="shared" si="185"/>
        <v>-3.4937057718701805</v>
      </c>
      <c r="AX758" s="58">
        <f t="shared" si="200"/>
        <v>31.056787331712037</v>
      </c>
      <c r="AY758" s="33">
        <f t="shared" si="186"/>
        <v>-0.27018877101480326</v>
      </c>
      <c r="AZ758" s="33">
        <f t="shared" si="187"/>
        <v>12.29110324965959</v>
      </c>
      <c r="BA758" s="39">
        <f t="shared" si="188"/>
        <v>-0.82431734391442979</v>
      </c>
      <c r="BB758" s="39">
        <f t="shared" si="189"/>
        <v>3.8591010464983291</v>
      </c>
      <c r="BC758" s="45">
        <f t="shared" si="190"/>
        <v>-2.3991996569409473</v>
      </c>
      <c r="BD758" s="45">
        <f t="shared" si="191"/>
        <v>14.906583035554117</v>
      </c>
      <c r="BE758" s="64">
        <f t="shared" si="192"/>
        <v>42439441822.113655</v>
      </c>
      <c r="BF758" s="65">
        <f t="shared" si="193"/>
        <v>45437683052.72728</v>
      </c>
      <c r="BG758" s="66">
        <f t="shared" si="194"/>
        <v>34528928850.533981</v>
      </c>
    </row>
    <row r="759" spans="43:59" x14ac:dyDescent="0.25">
      <c r="AQ759" s="7">
        <v>744</v>
      </c>
      <c r="AR759" s="58">
        <f t="shared" si="195"/>
        <v>372</v>
      </c>
      <c r="AS759" s="58">
        <f t="shared" si="196"/>
        <v>25006.117049751054</v>
      </c>
      <c r="AT759" s="58">
        <f t="shared" si="197"/>
        <v>-199577.28463542025</v>
      </c>
      <c r="AU759" s="58">
        <f t="shared" si="198"/>
        <v>956.40455892144507</v>
      </c>
      <c r="AV759" s="58">
        <f t="shared" si="199"/>
        <v>-2229.6106547583036</v>
      </c>
      <c r="AW759" s="58">
        <f t="shared" si="185"/>
        <v>-3.5055777792751037</v>
      </c>
      <c r="AX759" s="58">
        <f t="shared" si="200"/>
        <v>30.688662987335391</v>
      </c>
      <c r="AY759" s="33">
        <f t="shared" si="186"/>
        <v>-0.29390372578596791</v>
      </c>
      <c r="AZ759" s="33">
        <f t="shared" si="187"/>
        <v>12.157283754085993</v>
      </c>
      <c r="BA759" s="39">
        <f t="shared" si="188"/>
        <v>-0.81934602834153669</v>
      </c>
      <c r="BB759" s="39">
        <f t="shared" si="189"/>
        <v>3.8153994846259494</v>
      </c>
      <c r="BC759" s="45">
        <f t="shared" si="190"/>
        <v>-2.3923280251475991</v>
      </c>
      <c r="BD759" s="45">
        <f t="shared" si="191"/>
        <v>14.715979748623447</v>
      </c>
      <c r="BE759" s="64">
        <f t="shared" si="192"/>
        <v>42906063019.894661</v>
      </c>
      <c r="BF759" s="65">
        <f t="shared" si="193"/>
        <v>45948188807.051842</v>
      </c>
      <c r="BG759" s="66">
        <f t="shared" si="194"/>
        <v>34969141063.788307</v>
      </c>
    </row>
    <row r="760" spans="43:59" x14ac:dyDescent="0.25">
      <c r="AQ760" s="7">
        <v>745</v>
      </c>
      <c r="AR760" s="58">
        <f t="shared" si="195"/>
        <v>372.5</v>
      </c>
      <c r="AS760" s="58">
        <f t="shared" si="196"/>
        <v>25483.881131989365</v>
      </c>
      <c r="AT760" s="58">
        <f t="shared" si="197"/>
        <v>-200688.25387992596</v>
      </c>
      <c r="AU760" s="58">
        <f t="shared" si="198"/>
        <v>954.65177003180747</v>
      </c>
      <c r="AV760" s="58">
        <f t="shared" si="199"/>
        <v>-2214.266323264636</v>
      </c>
      <c r="AW760" s="58">
        <f t="shared" si="185"/>
        <v>-3.5166033369106282</v>
      </c>
      <c r="AX760" s="58">
        <f t="shared" si="200"/>
        <v>30.329131159627497</v>
      </c>
      <c r="AY760" s="33">
        <f t="shared" si="186"/>
        <v>-0.31678594102714736</v>
      </c>
      <c r="AZ760" s="33">
        <f t="shared" si="187"/>
        <v>12.026356941151676</v>
      </c>
      <c r="BA760" s="39">
        <f t="shared" si="188"/>
        <v>-0.81445713952783505</v>
      </c>
      <c r="BB760" s="39">
        <f t="shared" si="189"/>
        <v>3.7726893201836482</v>
      </c>
      <c r="BC760" s="45">
        <f t="shared" si="190"/>
        <v>-2.3853602563556455</v>
      </c>
      <c r="BD760" s="45">
        <f t="shared" si="191"/>
        <v>14.530084898292174</v>
      </c>
      <c r="BE760" s="64">
        <f t="shared" si="192"/>
        <v>43372422005.8423</v>
      </c>
      <c r="BF760" s="65">
        <f t="shared" si="193"/>
        <v>46458323765.801079</v>
      </c>
      <c r="BG760" s="66">
        <f t="shared" si="194"/>
        <v>35409394637.845093</v>
      </c>
    </row>
    <row r="761" spans="43:59" x14ac:dyDescent="0.25">
      <c r="AQ761" s="7">
        <v>746</v>
      </c>
      <c r="AR761" s="58">
        <f t="shared" si="195"/>
        <v>373</v>
      </c>
      <c r="AS761" s="58">
        <f t="shared" si="196"/>
        <v>25960.767441588156</v>
      </c>
      <c r="AT761" s="58">
        <f t="shared" si="197"/>
        <v>-201791.59590016332</v>
      </c>
      <c r="AU761" s="58">
        <f t="shared" si="198"/>
        <v>952.89346836335221</v>
      </c>
      <c r="AV761" s="58">
        <f t="shared" si="199"/>
        <v>-2199.1017576848221</v>
      </c>
      <c r="AW761" s="58">
        <f t="shared" si="185"/>
        <v>-3.5268259783355802</v>
      </c>
      <c r="AX761" s="58">
        <f t="shared" si="200"/>
        <v>29.977907780992346</v>
      </c>
      <c r="AY761" s="33">
        <f t="shared" si="186"/>
        <v>-0.33886984043822022</v>
      </c>
      <c r="AZ761" s="33">
        <f t="shared" si="187"/>
        <v>11.898234648935166</v>
      </c>
      <c r="BA761" s="39">
        <f t="shared" si="188"/>
        <v>-0.80964873399089732</v>
      </c>
      <c r="BB761" s="39">
        <f t="shared" si="189"/>
        <v>3.7309385163859581</v>
      </c>
      <c r="BC761" s="45">
        <f t="shared" si="190"/>
        <v>-2.3783074039064629</v>
      </c>
      <c r="BD761" s="45">
        <f t="shared" si="191"/>
        <v>14.348734615671223</v>
      </c>
      <c r="BE761" s="64">
        <f t="shared" si="192"/>
        <v>43838502862.929955</v>
      </c>
      <c r="BF761" s="65">
        <f t="shared" si="193"/>
        <v>46968072237.75782</v>
      </c>
      <c r="BG761" s="66">
        <f t="shared" si="194"/>
        <v>35849669419.502014</v>
      </c>
    </row>
    <row r="762" spans="43:59" x14ac:dyDescent="0.25">
      <c r="AQ762" s="7">
        <v>747</v>
      </c>
      <c r="AR762" s="58">
        <f t="shared" si="195"/>
        <v>373.5</v>
      </c>
      <c r="AS762" s="58">
        <f t="shared" si="196"/>
        <v>26436.773322522538</v>
      </c>
      <c r="AT762" s="58">
        <f t="shared" si="197"/>
        <v>-202887.39954053311</v>
      </c>
      <c r="AU762" s="58">
        <f t="shared" si="198"/>
        <v>951.13005537418439</v>
      </c>
      <c r="AV762" s="58">
        <f t="shared" si="199"/>
        <v>-2184.1128037943258</v>
      </c>
      <c r="AW762" s="58">
        <f t="shared" si="185"/>
        <v>-3.5362868407695704</v>
      </c>
      <c r="AX762" s="58">
        <f t="shared" si="200"/>
        <v>29.63472093357958</v>
      </c>
      <c r="AY762" s="33">
        <f t="shared" si="186"/>
        <v>-0.36018816856025365</v>
      </c>
      <c r="AZ762" s="33">
        <f t="shared" si="187"/>
        <v>11.772832183402345</v>
      </c>
      <c r="BA762" s="39">
        <f t="shared" si="188"/>
        <v>-0.80491893026471717</v>
      </c>
      <c r="BB762" s="39">
        <f t="shared" si="189"/>
        <v>3.6901163807152932</v>
      </c>
      <c r="BC762" s="45">
        <f t="shared" si="190"/>
        <v>-2.3711797419445997</v>
      </c>
      <c r="BD762" s="45">
        <f t="shared" si="191"/>
        <v>14.171772369461941</v>
      </c>
      <c r="BE762" s="64">
        <f t="shared" si="192"/>
        <v>44304289936.233444</v>
      </c>
      <c r="BF762" s="65">
        <f t="shared" si="193"/>
        <v>47477418799.737915</v>
      </c>
      <c r="BG762" s="66">
        <f t="shared" si="194"/>
        <v>36289945623.035583</v>
      </c>
    </row>
    <row r="763" spans="43:59" x14ac:dyDescent="0.25">
      <c r="AQ763" s="7">
        <v>748</v>
      </c>
      <c r="AR763" s="58">
        <f t="shared" si="195"/>
        <v>374</v>
      </c>
      <c r="AS763" s="58">
        <f t="shared" si="196"/>
        <v>26911.896314354533</v>
      </c>
      <c r="AT763" s="58">
        <f t="shared" si="197"/>
        <v>-203975.75160231357</v>
      </c>
      <c r="AU763" s="58">
        <f t="shared" si="198"/>
        <v>949.36191195379956</v>
      </c>
      <c r="AV763" s="58">
        <f t="shared" si="199"/>
        <v>-2169.2954433275358</v>
      </c>
      <c r="AW763" s="58">
        <f t="shared" si="185"/>
        <v>-3.5450248140259437</v>
      </c>
      <c r="AX763" s="58">
        <f t="shared" si="200"/>
        <v>29.299310214502341</v>
      </c>
      <c r="AY763" s="33">
        <f t="shared" si="186"/>
        <v>-0.38077208622380565</v>
      </c>
      <c r="AZ763" s="33">
        <f t="shared" si="187"/>
        <v>11.650068152227481</v>
      </c>
      <c r="BA763" s="39">
        <f t="shared" si="188"/>
        <v>-0.80026590640897199</v>
      </c>
      <c r="BB763" s="39">
        <f t="shared" si="189"/>
        <v>3.6501934958696114</v>
      </c>
      <c r="BC763" s="45">
        <f t="shared" si="190"/>
        <v>-2.3639868213931661</v>
      </c>
      <c r="BD763" s="45">
        <f t="shared" si="191"/>
        <v>13.999048566405246</v>
      </c>
      <c r="BE763" s="64">
        <f t="shared" si="192"/>
        <v>44769767826.423813</v>
      </c>
      <c r="BF763" s="65">
        <f t="shared" si="193"/>
        <v>47986348289.583748</v>
      </c>
      <c r="BG763" s="66">
        <f t="shared" si="194"/>
        <v>36730203820.03743</v>
      </c>
    </row>
    <row r="764" spans="43:59" x14ac:dyDescent="0.25">
      <c r="AQ764" s="7">
        <v>749</v>
      </c>
      <c r="AR764" s="58">
        <f t="shared" si="195"/>
        <v>374.5</v>
      </c>
      <c r="AS764" s="58">
        <f t="shared" si="196"/>
        <v>27386.134142229679</v>
      </c>
      <c r="AT764" s="58">
        <f t="shared" si="197"/>
        <v>-205056.7369102005</v>
      </c>
      <c r="AU764" s="58">
        <f t="shared" si="198"/>
        <v>947.58939954678658</v>
      </c>
      <c r="AV764" s="58">
        <f t="shared" si="199"/>
        <v>-2154.6457882202849</v>
      </c>
      <c r="AW764" s="58">
        <f t="shared" si="185"/>
        <v>-3.5530766790059785</v>
      </c>
      <c r="AX764" s="58">
        <f t="shared" si="200"/>
        <v>28.971426140124407</v>
      </c>
      <c r="AY764" s="33">
        <f t="shared" si="186"/>
        <v>-0.40065125979211214</v>
      </c>
      <c r="AZ764" s="33">
        <f t="shared" si="187"/>
        <v>11.529864307969971</v>
      </c>
      <c r="BA764" s="39">
        <f t="shared" si="188"/>
        <v>-0.79568789764006809</v>
      </c>
      <c r="BB764" s="39">
        <f t="shared" si="189"/>
        <v>3.6111416548942175</v>
      </c>
      <c r="BC764" s="45">
        <f t="shared" si="190"/>
        <v>-2.3567375215737982</v>
      </c>
      <c r="BD764" s="45">
        <f t="shared" si="191"/>
        <v>13.830420177260217</v>
      </c>
      <c r="BE764" s="64">
        <f t="shared" si="192"/>
        <v>45234921383.479202</v>
      </c>
      <c r="BF764" s="65">
        <f t="shared" si="193"/>
        <v>48494845799.408585</v>
      </c>
      <c r="BG764" s="66">
        <f t="shared" si="194"/>
        <v>37170424929.631668</v>
      </c>
    </row>
    <row r="765" spans="43:59" x14ac:dyDescent="0.25">
      <c r="AQ765" s="7">
        <v>750</v>
      </c>
      <c r="AR765" s="58">
        <f t="shared" si="195"/>
        <v>375</v>
      </c>
      <c r="AS765" s="58">
        <f t="shared" si="196"/>
        <v>27859.484707418196</v>
      </c>
      <c r="AT765" s="58">
        <f t="shared" si="197"/>
        <v>-206130.43837604314</v>
      </c>
      <c r="AU765" s="58">
        <f t="shared" si="198"/>
        <v>945.81286120728362</v>
      </c>
      <c r="AV765" s="58">
        <f t="shared" si="199"/>
        <v>-2140.1600751502228</v>
      </c>
      <c r="AW765" s="58">
        <f t="shared" si="185"/>
        <v>-3.5604772365723654</v>
      </c>
      <c r="AX765" s="58">
        <f t="shared" si="200"/>
        <v>28.650829586658745</v>
      </c>
      <c r="AY765" s="33">
        <f t="shared" si="186"/>
        <v>-0.41985394465321202</v>
      </c>
      <c r="AZ765" s="33">
        <f t="shared" si="187"/>
        <v>11.412145400005564</v>
      </c>
      <c r="BA765" s="39">
        <f t="shared" si="188"/>
        <v>-0.79118319407697146</v>
      </c>
      <c r="BB765" s="39">
        <f t="shared" si="189"/>
        <v>3.5729338002067781</v>
      </c>
      <c r="BC765" s="45">
        <f t="shared" si="190"/>
        <v>-2.3494400978421819</v>
      </c>
      <c r="BD765" s="45">
        <f t="shared" si="191"/>
        <v>13.665750386446403</v>
      </c>
      <c r="BE765" s="64">
        <f t="shared" si="192"/>
        <v>45699735700.606506</v>
      </c>
      <c r="BF765" s="65">
        <f t="shared" si="193"/>
        <v>49002896669.080177</v>
      </c>
      <c r="BG765" s="66">
        <f t="shared" si="194"/>
        <v>37610590209.055473</v>
      </c>
    </row>
    <row r="766" spans="43:59" x14ac:dyDescent="0.25">
      <c r="AQ766" s="7">
        <v>751</v>
      </c>
      <c r="AR766" s="58">
        <f t="shared" si="195"/>
        <v>375.5</v>
      </c>
      <c r="AS766" s="58">
        <f t="shared" si="196"/>
        <v>28331.946078367266</v>
      </c>
      <c r="AT766" s="58">
        <f t="shared" si="197"/>
        <v>-207196.9370599199</v>
      </c>
      <c r="AU766" s="58">
        <f t="shared" si="198"/>
        <v>944.03262258899747</v>
      </c>
      <c r="AV766" s="58">
        <f t="shared" si="199"/>
        <v>-2125.8346603568934</v>
      </c>
      <c r="AW766" s="58">
        <f t="shared" si="185"/>
        <v>-3.5672594275481333</v>
      </c>
      <c r="AX766" s="58">
        <f t="shared" si="200"/>
        <v>28.337291264530094</v>
      </c>
      <c r="AY766" s="33">
        <f t="shared" si="186"/>
        <v>-0.43840706337802743</v>
      </c>
      <c r="AZ766" s="33">
        <f t="shared" si="187"/>
        <v>11.296839034649803</v>
      </c>
      <c r="BA766" s="39">
        <f t="shared" si="188"/>
        <v>-0.78675013859509857</v>
      </c>
      <c r="BB766" s="39">
        <f t="shared" si="189"/>
        <v>3.535543966246506</v>
      </c>
      <c r="BC766" s="45">
        <f t="shared" si="190"/>
        <v>-2.3421022255750072</v>
      </c>
      <c r="BD766" s="45">
        <f t="shared" si="191"/>
        <v>13.504908263633787</v>
      </c>
      <c r="BE766" s="64">
        <f t="shared" si="192"/>
        <v>46164196108.364029</v>
      </c>
      <c r="BF766" s="65">
        <f t="shared" si="193"/>
        <v>49510486479.933006</v>
      </c>
      <c r="BG766" s="66">
        <f t="shared" si="194"/>
        <v>38050681244.585999</v>
      </c>
    </row>
    <row r="767" spans="43:59" x14ac:dyDescent="0.25">
      <c r="AQ767" s="7">
        <v>752</v>
      </c>
      <c r="AR767" s="58">
        <f t="shared" si="195"/>
        <v>376</v>
      </c>
      <c r="AS767" s="58">
        <f t="shared" si="196"/>
        <v>28803.516482233321</v>
      </c>
      <c r="AT767" s="58">
        <f t="shared" si="197"/>
        <v>-208256.31222869031</v>
      </c>
      <c r="AU767" s="58">
        <f t="shared" si="198"/>
        <v>942.24899287522339</v>
      </c>
      <c r="AV767" s="58">
        <f t="shared" si="199"/>
        <v>-2111.6660147246284</v>
      </c>
      <c r="AW767" s="58">
        <f t="shared" si="185"/>
        <v>-3.5734544445244447</v>
      </c>
      <c r="AX767" s="58">
        <f t="shared" si="200"/>
        <v>28.030591224167807</v>
      </c>
      <c r="AY767" s="33">
        <f t="shared" si="186"/>
        <v>-0.45633627892804235</v>
      </c>
      <c r="AZ767" s="33">
        <f t="shared" si="187"/>
        <v>11.183875542958059</v>
      </c>
      <c r="BA767" s="39">
        <f t="shared" si="188"/>
        <v>-0.78238712478215722</v>
      </c>
      <c r="BB767" s="39">
        <f t="shared" si="189"/>
        <v>3.4989472255001641</v>
      </c>
      <c r="BC767" s="45">
        <f t="shared" si="190"/>
        <v>-2.3347310408142454</v>
      </c>
      <c r="BD767" s="45">
        <f t="shared" si="191"/>
        <v>13.347768455709582</v>
      </c>
      <c r="BE767" s="64">
        <f t="shared" si="192"/>
        <v>46628288168.977058</v>
      </c>
      <c r="BF767" s="65">
        <f t="shared" si="193"/>
        <v>50017601048.699165</v>
      </c>
      <c r="BG767" s="66">
        <f t="shared" si="194"/>
        <v>38490679942.797653</v>
      </c>
    </row>
    <row r="768" spans="43:59" x14ac:dyDescent="0.25">
      <c r="AQ768" s="7">
        <v>753</v>
      </c>
      <c r="AR768" s="58">
        <f t="shared" si="195"/>
        <v>376.5</v>
      </c>
      <c r="AS768" s="58">
        <f t="shared" si="196"/>
        <v>29274.194296865368</v>
      </c>
      <c r="AT768" s="58">
        <f t="shared" si="197"/>
        <v>-209308.64141214962</v>
      </c>
      <c r="AU768" s="58">
        <f t="shared" si="198"/>
        <v>940.46226565296115</v>
      </c>
      <c r="AV768" s="58">
        <f t="shared" si="199"/>
        <v>-2097.6507191125447</v>
      </c>
      <c r="AW768" s="58">
        <f t="shared" si="185"/>
        <v>-3.5790918361013251</v>
      </c>
      <c r="AX768" s="58">
        <f t="shared" si="200"/>
        <v>27.730518391063651</v>
      </c>
      <c r="AY768" s="33">
        <f t="shared" si="186"/>
        <v>-0.47366606326529148</v>
      </c>
      <c r="AZ768" s="33">
        <f t="shared" si="187"/>
        <v>11.073187855714812</v>
      </c>
      <c r="BA768" s="39">
        <f t="shared" si="188"/>
        <v>-0.77809259499019134</v>
      </c>
      <c r="BB768" s="39">
        <f t="shared" si="189"/>
        <v>3.4631196376763169</v>
      </c>
      <c r="BC768" s="45">
        <f t="shared" si="190"/>
        <v>-2.3273331778458424</v>
      </c>
      <c r="BD768" s="45">
        <f t="shared" si="191"/>
        <v>13.194210897672523</v>
      </c>
      <c r="BE768" s="64">
        <f t="shared" si="192"/>
        <v>47091997670.838089</v>
      </c>
      <c r="BF768" s="65">
        <f t="shared" si="193"/>
        <v>50524226421.648064</v>
      </c>
      <c r="BG768" s="66">
        <f t="shared" si="194"/>
        <v>38930568522.134628</v>
      </c>
    </row>
    <row r="769" spans="43:59" x14ac:dyDescent="0.25">
      <c r="AQ769" s="7">
        <v>754</v>
      </c>
      <c r="AR769" s="58">
        <f t="shared" si="195"/>
        <v>377</v>
      </c>
      <c r="AS769" s="58">
        <f t="shared" si="196"/>
        <v>29743.978043212337</v>
      </c>
      <c r="AT769" s="58">
        <f t="shared" si="197"/>
        <v>-210354.000456907</v>
      </c>
      <c r="AU769" s="58">
        <f t="shared" si="198"/>
        <v>938.67271973491052</v>
      </c>
      <c r="AV769" s="58">
        <f t="shared" si="199"/>
        <v>-2083.7854599170128</v>
      </c>
      <c r="AW769" s="58">
        <f t="shared" si="185"/>
        <v>-3.5841996041333983</v>
      </c>
      <c r="AX769" s="58">
        <f t="shared" si="200"/>
        <v>27.436870128108193</v>
      </c>
      <c r="AY769" s="33">
        <f t="shared" si="186"/>
        <v>-0.49041976168976548</v>
      </c>
      <c r="AZ769" s="33">
        <f t="shared" si="187"/>
        <v>10.96471138516811</v>
      </c>
      <c r="BA769" s="39">
        <f t="shared" si="188"/>
        <v>-0.77386503847832855</v>
      </c>
      <c r="BB769" s="39">
        <f t="shared" si="189"/>
        <v>3.4280382018161966</v>
      </c>
      <c r="BC769" s="45">
        <f t="shared" si="190"/>
        <v>-2.3199148039653044</v>
      </c>
      <c r="BD769" s="45">
        <f t="shared" si="191"/>
        <v>13.044120541123887</v>
      </c>
      <c r="BE769" s="64">
        <f t="shared" si="192"/>
        <v>47555310623.184639</v>
      </c>
      <c r="BF769" s="65">
        <f t="shared" si="193"/>
        <v>51030348868.926163</v>
      </c>
      <c r="BG769" s="66">
        <f t="shared" si="194"/>
        <v>39370329504.784439</v>
      </c>
    </row>
    <row r="770" spans="43:59" x14ac:dyDescent="0.25">
      <c r="AQ770" s="7">
        <v>755</v>
      </c>
      <c r="AR770" s="58">
        <f t="shared" si="195"/>
        <v>377.5</v>
      </c>
      <c r="AS770" s="58">
        <f t="shared" si="196"/>
        <v>30212.866378129274</v>
      </c>
      <c r="AT770" s="58">
        <f t="shared" si="197"/>
        <v>-211392.4635780995</v>
      </c>
      <c r="AU770" s="58">
        <f t="shared" si="198"/>
        <v>936.88061993284384</v>
      </c>
      <c r="AV770" s="58">
        <f t="shared" si="199"/>
        <v>-2070.0670248529586</v>
      </c>
      <c r="AW770" s="58">
        <f t="shared" si="185"/>
        <v>-3.5888042945047918</v>
      </c>
      <c r="AX770" s="58">
        <f t="shared" si="200"/>
        <v>27.149451823364767</v>
      </c>
      <c r="AY770" s="33">
        <f t="shared" si="186"/>
        <v>-0.50661965320355751</v>
      </c>
      <c r="AZ770" s="33">
        <f t="shared" si="187"/>
        <v>10.858383913089261</v>
      </c>
      <c r="BA770" s="39">
        <f t="shared" si="188"/>
        <v>-0.76970298964144079</v>
      </c>
      <c r="BB770" s="39">
        <f t="shared" si="189"/>
        <v>3.3936808111470262</v>
      </c>
      <c r="BC770" s="45">
        <f t="shared" si="190"/>
        <v>-2.3124816516597937</v>
      </c>
      <c r="BD770" s="45">
        <f t="shared" si="191"/>
        <v>12.89738709912848</v>
      </c>
      <c r="BE770" s="64">
        <f t="shared" si="192"/>
        <v>48018213250.947144</v>
      </c>
      <c r="BF770" s="65">
        <f t="shared" si="193"/>
        <v>51535954879.087982</v>
      </c>
      <c r="BG770" s="66">
        <f t="shared" si="194"/>
        <v>39809945708.839127</v>
      </c>
    </row>
    <row r="771" spans="43:59" x14ac:dyDescent="0.25">
      <c r="AQ771" s="7">
        <v>756</v>
      </c>
      <c r="AR771" s="58">
        <f t="shared" si="195"/>
        <v>378</v>
      </c>
      <c r="AS771" s="58">
        <f t="shared" si="196"/>
        <v>30680.858087558885</v>
      </c>
      <c r="AT771" s="58">
        <f t="shared" si="197"/>
        <v>-212424.10340904805</v>
      </c>
      <c r="AU771" s="58">
        <f t="shared" si="198"/>
        <v>935.08621778559143</v>
      </c>
      <c r="AV771" s="58">
        <f t="shared" si="199"/>
        <v>-2056.4922989412762</v>
      </c>
      <c r="AW771" s="58">
        <f t="shared" si="185"/>
        <v>-3.5929310819138127</v>
      </c>
      <c r="AX771" s="58">
        <f t="shared" si="200"/>
        <v>26.868076501583779</v>
      </c>
      <c r="AY771" s="33">
        <f t="shared" si="186"/>
        <v>-0.52228700717797027</v>
      </c>
      <c r="AZ771" s="33">
        <f t="shared" si="187"/>
        <v>10.754145484771838</v>
      </c>
      <c r="BA771" s="39">
        <f t="shared" si="188"/>
        <v>-0.76560502631978933</v>
      </c>
      <c r="BB771" s="39">
        <f t="shared" si="189"/>
        <v>3.360026210496271</v>
      </c>
      <c r="BC771" s="45">
        <f t="shared" si="190"/>
        <v>-2.3050390484160532</v>
      </c>
      <c r="BD771" s="45">
        <f t="shared" si="191"/>
        <v>12.753904806315672</v>
      </c>
      <c r="BE771" s="64">
        <f t="shared" si="192"/>
        <v>48480691989.760231</v>
      </c>
      <c r="BF771" s="65">
        <f t="shared" si="193"/>
        <v>52041031153.810181</v>
      </c>
      <c r="BG771" s="66">
        <f t="shared" si="194"/>
        <v>40249400240.731018</v>
      </c>
    </row>
    <row r="772" spans="43:59" x14ac:dyDescent="0.25">
      <c r="AQ772" s="7">
        <v>757</v>
      </c>
      <c r="AR772" s="58">
        <f t="shared" si="195"/>
        <v>378.5</v>
      </c>
      <c r="AS772" s="58">
        <f t="shared" si="196"/>
        <v>31147.95208006644</v>
      </c>
      <c r="AT772" s="58">
        <f t="shared" si="197"/>
        <v>-213448.991048956</v>
      </c>
      <c r="AU772" s="58">
        <f t="shared" si="198"/>
        <v>933.28975224463454</v>
      </c>
      <c r="AV772" s="58">
        <f t="shared" si="199"/>
        <v>-2043.0582606904843</v>
      </c>
      <c r="AW772" s="58">
        <f t="shared" si="185"/>
        <v>-3.5966038491085328</v>
      </c>
      <c r="AX772" s="58">
        <f t="shared" si="200"/>
        <v>26.59256445788499</v>
      </c>
      <c r="AY772" s="33">
        <f t="shared" si="186"/>
        <v>-0.53744213657833007</v>
      </c>
      <c r="AZ772" s="33">
        <f t="shared" si="187"/>
        <v>10.651938308607217</v>
      </c>
      <c r="BA772" s="39">
        <f t="shared" si="188"/>
        <v>-0.76156976818536137</v>
      </c>
      <c r="BB772" s="39">
        <f t="shared" si="189"/>
        <v>3.3270539561001571</v>
      </c>
      <c r="BC772" s="45">
        <f t="shared" si="190"/>
        <v>-2.2975919443448416</v>
      </c>
      <c r="BD772" s="45">
        <f t="shared" si="191"/>
        <v>12.613572193177616</v>
      </c>
      <c r="BE772" s="64">
        <f t="shared" si="192"/>
        <v>48942733481.131096</v>
      </c>
      <c r="BF772" s="65">
        <f t="shared" si="193"/>
        <v>52545564602.781189</v>
      </c>
      <c r="BG772" s="66">
        <f t="shared" si="194"/>
        <v>40688676487.931396</v>
      </c>
    </row>
    <row r="773" spans="43:59" x14ac:dyDescent="0.25">
      <c r="AQ773" s="7">
        <v>758</v>
      </c>
      <c r="AR773" s="58">
        <f t="shared" si="195"/>
        <v>379</v>
      </c>
      <c r="AS773" s="58">
        <f t="shared" si="196"/>
        <v>31614.147380707618</v>
      </c>
      <c r="AT773" s="58">
        <f t="shared" si="197"/>
        <v>-214467.19610874401</v>
      </c>
      <c r="AU773" s="58">
        <f t="shared" si="198"/>
        <v>931.49145032008028</v>
      </c>
      <c r="AV773" s="58">
        <f t="shared" si="199"/>
        <v>-2029.7619784615417</v>
      </c>
      <c r="AW773" s="58">
        <f t="shared" si="185"/>
        <v>-3.5998452609786429</v>
      </c>
      <c r="AX773" s="58">
        <f t="shared" si="200"/>
        <v>26.322742912155434</v>
      </c>
      <c r="AY773" s="33">
        <f t="shared" si="186"/>
        <v>-0.55210444798188607</v>
      </c>
      <c r="AZ773" s="33">
        <f t="shared" si="187"/>
        <v>10.551706660901576</v>
      </c>
      <c r="BA773" s="39">
        <f t="shared" si="188"/>
        <v>-0.75759587520080163</v>
      </c>
      <c r="BB773" s="39">
        <f t="shared" si="189"/>
        <v>3.2947443776517242</v>
      </c>
      <c r="BC773" s="45">
        <f t="shared" si="190"/>
        <v>-2.2901449377959553</v>
      </c>
      <c r="BD773" s="45">
        <f t="shared" si="191"/>
        <v>12.476291873602131</v>
      </c>
      <c r="BE773" s="64">
        <f t="shared" si="192"/>
        <v>49404324567.758423</v>
      </c>
      <c r="BF773" s="65">
        <f t="shared" si="193"/>
        <v>53049542338.758751</v>
      </c>
      <c r="BG773" s="66">
        <f t="shared" si="194"/>
        <v>41127758111.900322</v>
      </c>
    </row>
    <row r="774" spans="43:59" x14ac:dyDescent="0.25">
      <c r="AQ774" s="7">
        <v>759</v>
      </c>
      <c r="AR774" s="58">
        <f t="shared" si="195"/>
        <v>379.5</v>
      </c>
      <c r="AS774" s="58">
        <f t="shared" si="196"/>
        <v>32079.443125210033</v>
      </c>
      <c r="AT774" s="58">
        <f t="shared" si="197"/>
        <v>-215478.78675511075</v>
      </c>
      <c r="AU774" s="58">
        <f t="shared" si="198"/>
        <v>929.691527689591</v>
      </c>
      <c r="AV774" s="58">
        <f t="shared" si="199"/>
        <v>-2016.6006070054641</v>
      </c>
      <c r="AW774" s="58">
        <f t="shared" si="185"/>
        <v>-3.60267683387608</v>
      </c>
      <c r="AX774" s="58">
        <f t="shared" si="200"/>
        <v>26.058445682816284</v>
      </c>
      <c r="AY774" s="33">
        <f t="shared" si="186"/>
        <v>-0.56629248860619941</v>
      </c>
      <c r="AZ774" s="33">
        <f t="shared" si="187"/>
        <v>10.453396795619843</v>
      </c>
      <c r="BA774" s="39">
        <f t="shared" si="188"/>
        <v>-0.75368204614702139</v>
      </c>
      <c r="BB774" s="39">
        <f t="shared" si="189"/>
        <v>3.2630785424446573</v>
      </c>
      <c r="BC774" s="45">
        <f t="shared" si="190"/>
        <v>-2.2827022991228589</v>
      </c>
      <c r="BD774" s="45">
        <f t="shared" si="191"/>
        <v>12.341970344751784</v>
      </c>
      <c r="BE774" s="64">
        <f t="shared" si="192"/>
        <v>49865452288.996338</v>
      </c>
      <c r="BF774" s="65">
        <f t="shared" si="193"/>
        <v>53552951672.788696</v>
      </c>
      <c r="BG774" s="66">
        <f t="shared" si="194"/>
        <v>41566629041.276855</v>
      </c>
    </row>
    <row r="775" spans="43:59" x14ac:dyDescent="0.25">
      <c r="AQ775" s="7">
        <v>760</v>
      </c>
      <c r="AR775" s="58">
        <f t="shared" si="195"/>
        <v>380</v>
      </c>
      <c r="AS775" s="58">
        <f t="shared" si="196"/>
        <v>32543.838554450595</v>
      </c>
      <c r="AT775" s="58">
        <f t="shared" si="197"/>
        <v>-216483.82975290314</v>
      </c>
      <c r="AU775" s="58">
        <f t="shared" si="198"/>
        <v>927.89018927265295</v>
      </c>
      <c r="AV775" s="58">
        <f t="shared" si="199"/>
        <v>-2003.5713841640559</v>
      </c>
      <c r="AW775" s="58">
        <f t="shared" si="185"/>
        <v>-3.6051190005071376</v>
      </c>
      <c r="AX775" s="58">
        <f t="shared" si="200"/>
        <v>25.799512878710956</v>
      </c>
      <c r="AY775" s="33">
        <f t="shared" si="186"/>
        <v>-0.58002399054909071</v>
      </c>
      <c r="AZ775" s="33">
        <f t="shared" si="187"/>
        <v>10.356956858764132</v>
      </c>
      <c r="BA775" s="39">
        <f t="shared" si="188"/>
        <v>-0.74982701721590928</v>
      </c>
      <c r="BB775" s="39">
        <f t="shared" si="189"/>
        <v>3.2320382214799315</v>
      </c>
      <c r="BC775" s="45">
        <f t="shared" si="190"/>
        <v>-2.2752679927421378</v>
      </c>
      <c r="BD775" s="45">
        <f t="shared" si="191"/>
        <v>12.210517798466892</v>
      </c>
      <c r="BE775" s="64">
        <f t="shared" si="192"/>
        <v>50326103876.457619</v>
      </c>
      <c r="BF775" s="65">
        <f t="shared" si="193"/>
        <v>54055780109.578186</v>
      </c>
      <c r="BG775" s="66">
        <f t="shared" si="194"/>
        <v>42005273465.299507</v>
      </c>
    </row>
    <row r="776" spans="43:59" x14ac:dyDescent="0.25">
      <c r="AQ776" s="7">
        <v>761</v>
      </c>
      <c r="AR776" s="58">
        <f t="shared" si="195"/>
        <v>380.5</v>
      </c>
      <c r="AS776" s="58">
        <f t="shared" si="196"/>
        <v>33007.333009211863</v>
      </c>
      <c r="AT776" s="58">
        <f t="shared" si="197"/>
        <v>-217482.39050587532</v>
      </c>
      <c r="AU776" s="58">
        <f t="shared" si="198"/>
        <v>926.0876297723994</v>
      </c>
      <c r="AV776" s="58">
        <f t="shared" si="199"/>
        <v>-1990.6716277247003</v>
      </c>
      <c r="AW776" s="58">
        <f t="shared" si="185"/>
        <v>-3.6071911707114053</v>
      </c>
      <c r="AX776" s="58">
        <f t="shared" si="200"/>
        <v>25.545790607957201</v>
      </c>
      <c r="AY776" s="33">
        <f t="shared" si="186"/>
        <v>-0.59331591242623094</v>
      </c>
      <c r="AZ776" s="33">
        <f t="shared" si="187"/>
        <v>10.262336807114322</v>
      </c>
      <c r="BA776" s="39">
        <f t="shared" si="188"/>
        <v>-0.74602956066469195</v>
      </c>
      <c r="BB776" s="39">
        <f t="shared" si="189"/>
        <v>3.2016058574114505</v>
      </c>
      <c r="BC776" s="45">
        <f t="shared" si="190"/>
        <v>-2.2678456976204826</v>
      </c>
      <c r="BD776" s="45">
        <f t="shared" si="191"/>
        <v>12.081847943431429</v>
      </c>
      <c r="BE776" s="64">
        <f t="shared" si="192"/>
        <v>50786266749.75071</v>
      </c>
      <c r="BF776" s="65">
        <f t="shared" si="193"/>
        <v>54558015343.017036</v>
      </c>
      <c r="BG776" s="66">
        <f t="shared" si="194"/>
        <v>42443675827.446915</v>
      </c>
    </row>
    <row r="777" spans="43:59" x14ac:dyDescent="0.25">
      <c r="AQ777" s="7">
        <v>762</v>
      </c>
      <c r="AR777" s="58">
        <f t="shared" si="195"/>
        <v>381</v>
      </c>
      <c r="AS777" s="58">
        <f t="shared" si="196"/>
        <v>33469.925925201722</v>
      </c>
      <c r="AT777" s="58">
        <f t="shared" si="197"/>
        <v>-218474.53309591167</v>
      </c>
      <c r="AU777" s="58">
        <f t="shared" si="198"/>
        <v>924.28403418704374</v>
      </c>
      <c r="AV777" s="58">
        <f t="shared" si="199"/>
        <v>-1977.8987324207217</v>
      </c>
      <c r="AW777" s="58">
        <f t="shared" si="185"/>
        <v>-3.6089117884185864</v>
      </c>
      <c r="AX777" s="58">
        <f t="shared" si="200"/>
        <v>25.297130702691391</v>
      </c>
      <c r="AY777" s="33">
        <f t="shared" si="186"/>
        <v>-0.60618447857860269</v>
      </c>
      <c r="AZ777" s="33">
        <f t="shared" si="187"/>
        <v>10.16948833107536</v>
      </c>
      <c r="BA777" s="39">
        <f t="shared" si="188"/>
        <v>-0.74228848352882071</v>
      </c>
      <c r="BB777" s="39">
        <f t="shared" si="189"/>
        <v>3.1717645342161522</v>
      </c>
      <c r="BC777" s="45">
        <f t="shared" si="190"/>
        <v>-2.2604388263111628</v>
      </c>
      <c r="BD777" s="45">
        <f t="shared" si="191"/>
        <v>11.95587783739988</v>
      </c>
      <c r="BE777" s="64">
        <f t="shared" si="192"/>
        <v>51245928512.345695</v>
      </c>
      <c r="BF777" s="65">
        <f t="shared" si="193"/>
        <v>55059645251.841393</v>
      </c>
      <c r="BG777" s="66">
        <f t="shared" si="194"/>
        <v>42881820819.289757</v>
      </c>
    </row>
    <row r="778" spans="43:59" x14ac:dyDescent="0.25">
      <c r="AQ778" s="7">
        <v>763</v>
      </c>
      <c r="AR778" s="58">
        <f t="shared" si="195"/>
        <v>381.5</v>
      </c>
      <c r="AS778" s="58">
        <f t="shared" si="196"/>
        <v>33931.61682832169</v>
      </c>
      <c r="AT778" s="58">
        <f t="shared" si="197"/>
        <v>-219460.32032078417</v>
      </c>
      <c r="AU778" s="58">
        <f t="shared" si="198"/>
        <v>922.4795782928345</v>
      </c>
      <c r="AV778" s="58">
        <f t="shared" si="199"/>
        <v>-1965.2501670693759</v>
      </c>
      <c r="AW778" s="58">
        <f t="shared" si="185"/>
        <v>-3.6102983850506529</v>
      </c>
      <c r="AX778" s="58">
        <f t="shared" si="200"/>
        <v>25.053390458705017</v>
      </c>
      <c r="AY778" s="33">
        <f t="shared" si="186"/>
        <v>-0.61864521600941846</v>
      </c>
      <c r="AZ778" s="33">
        <f t="shared" si="187"/>
        <v>10.078364781392924</v>
      </c>
      <c r="BA778" s="39">
        <f t="shared" si="188"/>
        <v>-0.73860262639035312</v>
      </c>
      <c r="BB778" s="39">
        <f t="shared" si="189"/>
        <v>3.1424979484817159</v>
      </c>
      <c r="BC778" s="45">
        <f t="shared" si="190"/>
        <v>-2.2530505426508811</v>
      </c>
      <c r="BD778" s="45">
        <f t="shared" si="191"/>
        <v>11.832527728830378</v>
      </c>
      <c r="BE778" s="64">
        <f t="shared" si="192"/>
        <v>51705076947.564133</v>
      </c>
      <c r="BF778" s="65">
        <f t="shared" si="193"/>
        <v>55560657895.433792</v>
      </c>
      <c r="BG778" s="66">
        <f t="shared" si="194"/>
        <v>43319693374.54493</v>
      </c>
    </row>
    <row r="779" spans="43:59" x14ac:dyDescent="0.25">
      <c r="AQ779" s="7">
        <v>764</v>
      </c>
      <c r="AR779" s="58">
        <f t="shared" si="195"/>
        <v>382</v>
      </c>
      <c r="AS779" s="58">
        <f t="shared" si="196"/>
        <v>34392.405330169982</v>
      </c>
      <c r="AT779" s="58">
        <f t="shared" si="197"/>
        <v>-220439.81373051152</v>
      </c>
      <c r="AU779" s="58">
        <f t="shared" si="198"/>
        <v>920.67442910030923</v>
      </c>
      <c r="AV779" s="58">
        <f t="shared" si="199"/>
        <v>-1952.7234718400234</v>
      </c>
      <c r="AW779" s="58">
        <f t="shared" si="185"/>
        <v>-3.6113676296168595</v>
      </c>
      <c r="AX779" s="58">
        <f t="shared" si="200"/>
        <v>24.814432389049774</v>
      </c>
      <c r="AY779" s="33">
        <f t="shared" si="186"/>
        <v>-0.63071298919851893</v>
      </c>
      <c r="AZ779" s="33">
        <f t="shared" si="187"/>
        <v>9.9889210995162117</v>
      </c>
      <c r="BA779" s="39">
        <f t="shared" si="188"/>
        <v>-0.73497086219894936</v>
      </c>
      <c r="BB779" s="39">
        <f t="shared" si="189"/>
        <v>3.1137903822123554</v>
      </c>
      <c r="BC779" s="45">
        <f t="shared" si="190"/>
        <v>-2.2456837782193912</v>
      </c>
      <c r="BD779" s="45">
        <f t="shared" si="191"/>
        <v>11.711720907321206</v>
      </c>
      <c r="BE779" s="64">
        <f t="shared" si="192"/>
        <v>52163700014.688194</v>
      </c>
      <c r="BF779" s="65">
        <f t="shared" si="193"/>
        <v>56061041509.754349</v>
      </c>
      <c r="BG779" s="66">
        <f t="shared" si="194"/>
        <v>43757278663.323677</v>
      </c>
    </row>
    <row r="780" spans="43:59" x14ac:dyDescent="0.25">
      <c r="AQ780" s="7">
        <v>765</v>
      </c>
      <c r="AR780" s="58">
        <f t="shared" si="195"/>
        <v>382.5</v>
      </c>
      <c r="AS780" s="58">
        <f t="shared" si="196"/>
        <v>34852.291123766438</v>
      </c>
      <c r="AT780" s="58">
        <f t="shared" si="197"/>
        <v>-221413.0736623829</v>
      </c>
      <c r="AU780" s="58">
        <f t="shared" si="198"/>
        <v>918.86874528550084</v>
      </c>
      <c r="AV780" s="58">
        <f t="shared" si="199"/>
        <v>-1940.3162556454986</v>
      </c>
      <c r="AW780" s="58">
        <f t="shared" si="185"/>
        <v>-3.6121353757298387</v>
      </c>
      <c r="AX780" s="58">
        <f t="shared" si="200"/>
        <v>24.580123990748596</v>
      </c>
      <c r="AY780" s="33">
        <f t="shared" si="186"/>
        <v>-0.6424020329313993</v>
      </c>
      <c r="AZ780" s="33">
        <f t="shared" si="187"/>
        <v>9.9011137513979737</v>
      </c>
      <c r="BA780" s="39">
        <f t="shared" si="188"/>
        <v>-0.73139209514297387</v>
      </c>
      <c r="BB780" s="39">
        <f t="shared" si="189"/>
        <v>3.0856266770609184</v>
      </c>
      <c r="BC780" s="45">
        <f t="shared" si="190"/>
        <v>-2.2383412476554656</v>
      </c>
      <c r="BD780" s="45">
        <f t="shared" si="191"/>
        <v>11.593383562289704</v>
      </c>
      <c r="BE780" s="64">
        <f t="shared" si="192"/>
        <v>52621785845.184654</v>
      </c>
      <c r="BF780" s="65">
        <f t="shared" si="193"/>
        <v>56560784503.397881</v>
      </c>
      <c r="BG780" s="66">
        <f t="shared" si="194"/>
        <v>44194562086.565742</v>
      </c>
    </row>
    <row r="781" spans="43:59" x14ac:dyDescent="0.25">
      <c r="AQ781" s="7">
        <v>766</v>
      </c>
      <c r="AR781" s="58">
        <f t="shared" si="195"/>
        <v>383</v>
      </c>
      <c r="AS781" s="58">
        <f t="shared" si="196"/>
        <v>35311.273979487218</v>
      </c>
      <c r="AT781" s="58">
        <f t="shared" si="197"/>
        <v>-222380.15927470679</v>
      </c>
      <c r="AU781" s="58">
        <f t="shared" si="198"/>
        <v>917.06267759763591</v>
      </c>
      <c r="AV781" s="58">
        <f t="shared" si="199"/>
        <v>-1928.0261936501242</v>
      </c>
      <c r="AW781" s="58">
        <f t="shared" si="185"/>
        <v>-3.6126167057533083</v>
      </c>
      <c r="AX781" s="58">
        <f t="shared" si="200"/>
        <v>24.350337523810516</v>
      </c>
      <c r="AY781" s="33">
        <f t="shared" si="186"/>
        <v>-0.65372598327031028</v>
      </c>
      <c r="AZ781" s="33">
        <f t="shared" si="187"/>
        <v>9.8149006645380492</v>
      </c>
      <c r="BA781" s="39">
        <f t="shared" si="188"/>
        <v>-0.72786525956802672</v>
      </c>
      <c r="BB781" s="39">
        <f t="shared" si="189"/>
        <v>3.0579922099004948</v>
      </c>
      <c r="BC781" s="45">
        <f t="shared" si="190"/>
        <v>-2.2310254629149711</v>
      </c>
      <c r="BD781" s="45">
        <f t="shared" si="191"/>
        <v>11.477444649371972</v>
      </c>
      <c r="BE781" s="64">
        <f t="shared" si="192"/>
        <v>53079322739.03949</v>
      </c>
      <c r="BF781" s="65">
        <f t="shared" si="193"/>
        <v>57059875453.771996</v>
      </c>
      <c r="BG781" s="66">
        <f t="shared" si="194"/>
        <v>44631529270.652039</v>
      </c>
    </row>
    <row r="782" spans="43:59" x14ac:dyDescent="0.25">
      <c r="AQ782" s="7">
        <v>767</v>
      </c>
      <c r="AR782" s="58">
        <f t="shared" si="195"/>
        <v>383.5</v>
      </c>
      <c r="AS782" s="58">
        <f t="shared" si="196"/>
        <v>35769.353741197818</v>
      </c>
      <c r="AT782" s="58">
        <f t="shared" si="197"/>
        <v>-223341.1285793414</v>
      </c>
      <c r="AU782" s="58">
        <f t="shared" si="198"/>
        <v>915.2563692447593</v>
      </c>
      <c r="AV782" s="58">
        <f t="shared" si="199"/>
        <v>-1915.8510248882189</v>
      </c>
      <c r="AW782" s="58">
        <f t="shared" si="185"/>
        <v>-3.6128259722766476</v>
      </c>
      <c r="AX782" s="58">
        <f t="shared" si="200"/>
        <v>24.12494980180514</v>
      </c>
      <c r="AY782" s="33">
        <f t="shared" si="186"/>
        <v>-0.66469790678574847</v>
      </c>
      <c r="AZ782" s="33">
        <f t="shared" si="187"/>
        <v>9.7302411680881598</v>
      </c>
      <c r="BA782" s="39">
        <f t="shared" si="188"/>
        <v>-0.72438931894071024</v>
      </c>
      <c r="BB782" s="39">
        <f t="shared" si="189"/>
        <v>3.0308728696560183</v>
      </c>
      <c r="BC782" s="45">
        <f t="shared" si="190"/>
        <v>-2.2237387465501888</v>
      </c>
      <c r="BD782" s="45">
        <f t="shared" si="191"/>
        <v>11.363835764060962</v>
      </c>
      <c r="BE782" s="64">
        <f t="shared" si="192"/>
        <v>53536299161.199059</v>
      </c>
      <c r="BF782" s="65">
        <f t="shared" si="193"/>
        <v>57558303103.391586</v>
      </c>
      <c r="BG782" s="66">
        <f t="shared" si="194"/>
        <v>45068166062.188591</v>
      </c>
    </row>
    <row r="783" spans="43:59" x14ac:dyDescent="0.25">
      <c r="AQ783" s="7">
        <v>768</v>
      </c>
      <c r="AR783" s="58">
        <f t="shared" si="195"/>
        <v>384</v>
      </c>
      <c r="AS783" s="58">
        <f t="shared" si="196"/>
        <v>36226.530322573664</v>
      </c>
      <c r="AT783" s="58">
        <f t="shared" si="197"/>
        <v>-224296.0384730603</v>
      </c>
      <c r="AU783" s="58">
        <f t="shared" si="198"/>
        <v>913.449956258621</v>
      </c>
      <c r="AV783" s="58">
        <f t="shared" si="199"/>
        <v>-1903.7885499873164</v>
      </c>
      <c r="AW783" s="58">
        <f t="shared" si="185"/>
        <v>-3.6127768370960625</v>
      </c>
      <c r="AX783" s="58">
        <f t="shared" si="200"/>
        <v>23.90384199329846</v>
      </c>
      <c r="AY783" s="33">
        <f t="shared" si="186"/>
        <v>-0.67533032815821936</v>
      </c>
      <c r="AZ783" s="33">
        <f t="shared" si="187"/>
        <v>9.6470959358462931</v>
      </c>
      <c r="BA783" s="39">
        <f t="shared" si="188"/>
        <v>-0.72096326485530526</v>
      </c>
      <c r="BB783" s="39">
        <f t="shared" si="189"/>
        <v>3.0042550353206607</v>
      </c>
      <c r="BC783" s="45">
        <f t="shared" si="190"/>
        <v>-2.2164832440825379</v>
      </c>
      <c r="BD783" s="45">
        <f t="shared" si="191"/>
        <v>11.252491022131506</v>
      </c>
      <c r="BE783" s="64">
        <f t="shared" si="192"/>
        <v>53992703738.113853</v>
      </c>
      <c r="BF783" s="65">
        <f t="shared" si="193"/>
        <v>58056056356.285049</v>
      </c>
      <c r="BG783" s="66">
        <f t="shared" si="194"/>
        <v>45504458522.954826</v>
      </c>
    </row>
    <row r="784" spans="43:59" x14ac:dyDescent="0.25">
      <c r="AQ784" s="7">
        <v>769</v>
      </c>
      <c r="AR784" s="58">
        <f t="shared" si="195"/>
        <v>384.5</v>
      </c>
      <c r="AS784" s="58">
        <f t="shared" si="196"/>
        <v>36682.803703598343</v>
      </c>
      <c r="AT784" s="58">
        <f t="shared" si="197"/>
        <v>-225244.94476780479</v>
      </c>
      <c r="AU784" s="58">
        <f t="shared" si="198"/>
        <v>911.64356784007293</v>
      </c>
      <c r="AV784" s="58">
        <f t="shared" si="199"/>
        <v>-1891.8366289906671</v>
      </c>
      <c r="AW784" s="58">
        <f t="shared" ref="AW784:AW847" si="201">(AY784+BA784+BC784)</f>
        <v>-3.6124823078698469</v>
      </c>
      <c r="AX784" s="58">
        <f t="shared" si="200"/>
        <v>23.686899433506369</v>
      </c>
      <c r="AY784" s="33">
        <f t="shared" ref="AY784:AY847" si="202">$H$27*(($H$23-AS784)/(BE784+$H$28^2)^(3/2))</f>
        <v>-0.68563525625258237</v>
      </c>
      <c r="AZ784" s="33">
        <f t="shared" ref="AZ784:AZ847" si="203">$H$27*(($I$23-AT784)/(BE784+$H$28^2)^(3/2))</f>
        <v>9.5654269319819001</v>
      </c>
      <c r="BA784" s="39">
        <f t="shared" ref="BA784:BA847" si="204">$H$35*(($H$31-AS784)/(BF784+$H$36^2)^(3/2))</f>
        <v>-0.71758611608128098</v>
      </c>
      <c r="BB784" s="39">
        <f t="shared" ref="BB784:BB847" si="205">$H$35*(($I$31-AT784)/(BF784+$H$36^2)^(3/2))</f>
        <v>2.9781255550873214</v>
      </c>
      <c r="BC784" s="45">
        <f t="shared" ref="BC784:BC847" si="206">$H$43*(($H$39-AS784)/(BG784+$H$44^2)^(3/2))</f>
        <v>-2.2092609355359838</v>
      </c>
      <c r="BD784" s="45">
        <f t="shared" ref="BD784:BD847" si="207">$H$43*(($I$39-AT784)/(BG784+$H$44^2)^(3/2))</f>
        <v>11.14334694643715</v>
      </c>
      <c r="BE784" s="64">
        <f t="shared" ref="BE784:BE847" si="208">($H$23-AS784)^2+($I$23-AT784)^2</f>
        <v>54448525254.381294</v>
      </c>
      <c r="BF784" s="65">
        <f t="shared" ref="BF784:BF847" si="209">($H$31-AS784)^2+($I$31-AT784)^2</f>
        <v>58553124274.508186</v>
      </c>
      <c r="BG784" s="66">
        <f t="shared" ref="BG784:BG847" si="210">($H$39-AS784)^2+($I$39-AT784)^2</f>
        <v>45940392925.009995</v>
      </c>
    </row>
    <row r="785" spans="43:59" x14ac:dyDescent="0.25">
      <c r="AQ785" s="7">
        <v>770</v>
      </c>
      <c r="AR785" s="58">
        <f t="shared" ref="AR785:AR848" si="211">AR784+$H$9</f>
        <v>385</v>
      </c>
      <c r="AS785" s="58">
        <f t="shared" ref="AS785:AS848" si="212">AS784+(AU784*$H$9)+(AW784*$H$9^2)*(1/2)</f>
        <v>37138.173927229895</v>
      </c>
      <c r="AT785" s="58">
        <f t="shared" ref="AT785:AT848" si="213">AT784+(AV784*$H$9)+(AX784*$H$9^2)*(1/2)</f>
        <v>-226187.90221987091</v>
      </c>
      <c r="AU785" s="58">
        <f t="shared" ref="AU785:AU848" si="214">AU784+AW784*$H$9</f>
        <v>909.837326686138</v>
      </c>
      <c r="AV785" s="58">
        <f t="shared" ref="AV785:AV848" si="215">AV784+AX784*$H$9</f>
        <v>-1879.9931792739139</v>
      </c>
      <c r="AW785" s="58">
        <f t="shared" si="201"/>
        <v>-3.6119547726014938</v>
      </c>
      <c r="AX785" s="58">
        <f t="shared" ref="AX785:AX848" si="216">(AZ785+BB785+BD785)</f>
        <v>23.474011445556854</v>
      </c>
      <c r="AY785" s="33">
        <f t="shared" si="202"/>
        <v>-0.69562420875998721</v>
      </c>
      <c r="AZ785" s="33">
        <f t="shared" si="203"/>
        <v>9.4851973593404875</v>
      </c>
      <c r="BA785" s="39">
        <f t="shared" si="204"/>
        <v>-0.71425691764973476</v>
      </c>
      <c r="BB785" s="39">
        <f t="shared" si="205"/>
        <v>2.9524717265303861</v>
      </c>
      <c r="BC785" s="45">
        <f t="shared" si="206"/>
        <v>-2.202073646191772</v>
      </c>
      <c r="BD785" s="45">
        <f t="shared" si="207"/>
        <v>11.03634235968598</v>
      </c>
      <c r="BE785" s="64">
        <f t="shared" si="208"/>
        <v>54903752649.483932</v>
      </c>
      <c r="BF785" s="65">
        <f t="shared" si="209"/>
        <v>59049496074.761673</v>
      </c>
      <c r="BG785" s="66">
        <f t="shared" si="210"/>
        <v>46375955745.951233</v>
      </c>
    </row>
    <row r="786" spans="43:59" x14ac:dyDescent="0.25">
      <c r="AQ786" s="7">
        <v>771</v>
      </c>
      <c r="AR786" s="58">
        <f t="shared" si="211"/>
        <v>385.5</v>
      </c>
      <c r="AS786" s="58">
        <f t="shared" si="212"/>
        <v>37592.641096226384</v>
      </c>
      <c r="AT786" s="58">
        <f t="shared" si="213"/>
        <v>-227124.96455807716</v>
      </c>
      <c r="AU786" s="58">
        <f t="shared" si="214"/>
        <v>908.0313492998373</v>
      </c>
      <c r="AV786" s="58">
        <f t="shared" si="215"/>
        <v>-1868.2561735511356</v>
      </c>
      <c r="AW786" s="58">
        <f t="shared" si="201"/>
        <v>-3.6112060320944188</v>
      </c>
      <c r="AX786" s="58">
        <f t="shared" si="216"/>
        <v>23.265071170800347</v>
      </c>
      <c r="AY786" s="33">
        <f t="shared" si="202"/>
        <v>-0.70530823549597199</v>
      </c>
      <c r="AZ786" s="33">
        <f t="shared" si="203"/>
        <v>9.4063716101875343</v>
      </c>
      <c r="BA786" s="39">
        <f t="shared" si="204"/>
        <v>-0.71097473997680793</v>
      </c>
      <c r="BB786" s="39">
        <f t="shared" si="205"/>
        <v>2.927281277776566</v>
      </c>
      <c r="BC786" s="45">
        <f t="shared" si="206"/>
        <v>-2.1949230566216387</v>
      </c>
      <c r="BD786" s="45">
        <f t="shared" si="207"/>
        <v>10.931418282836246</v>
      </c>
      <c r="BE786" s="64">
        <f t="shared" si="208"/>
        <v>55358375014.619598</v>
      </c>
      <c r="BF786" s="65">
        <f t="shared" si="209"/>
        <v>59545161125.108093</v>
      </c>
      <c r="BG786" s="66">
        <f t="shared" si="210"/>
        <v>46811133664.317451</v>
      </c>
    </row>
    <row r="787" spans="43:59" x14ac:dyDescent="0.25">
      <c r="AQ787" s="7">
        <v>772</v>
      </c>
      <c r="AR787" s="58">
        <f t="shared" si="211"/>
        <v>386</v>
      </c>
      <c r="AS787" s="58">
        <f t="shared" si="212"/>
        <v>38046.20537012229</v>
      </c>
      <c r="AT787" s="58">
        <f t="shared" si="213"/>
        <v>-228056.18451095637</v>
      </c>
      <c r="AU787" s="58">
        <f t="shared" si="214"/>
        <v>906.22574628379004</v>
      </c>
      <c r="AV787" s="58">
        <f t="shared" si="215"/>
        <v>-1856.6236379657355</v>
      </c>
      <c r="AW787" s="58">
        <f t="shared" si="201"/>
        <v>-3.6102473305106622</v>
      </c>
      <c r="AX787" s="58">
        <f t="shared" si="216"/>
        <v>23.05997540763989</v>
      </c>
      <c r="AY787" s="33">
        <f t="shared" si="202"/>
        <v>-0.71469794043718249</v>
      </c>
      <c r="AZ787" s="33">
        <f t="shared" si="203"/>
        <v>9.328915219259784</v>
      </c>
      <c r="BA787" s="39">
        <f t="shared" si="204"/>
        <v>-0.70773867802234436</v>
      </c>
      <c r="BB787" s="39">
        <f t="shared" si="205"/>
        <v>2.902542349608074</v>
      </c>
      <c r="BC787" s="45">
        <f t="shared" si="206"/>
        <v>-2.1878107120511352</v>
      </c>
      <c r="BD787" s="45">
        <f t="shared" si="207"/>
        <v>10.828517838772029</v>
      </c>
      <c r="BE787" s="64">
        <f t="shared" si="208"/>
        <v>55812381589.620354</v>
      </c>
      <c r="BF787" s="65">
        <f t="shared" si="209"/>
        <v>60040108941.78492</v>
      </c>
      <c r="BG787" s="66">
        <f t="shared" si="210"/>
        <v>47245913555.13343</v>
      </c>
    </row>
    <row r="788" spans="43:59" x14ac:dyDescent="0.25">
      <c r="AQ788" s="7">
        <v>773</v>
      </c>
      <c r="AR788" s="58">
        <f t="shared" si="211"/>
        <v>386.5</v>
      </c>
      <c r="AS788" s="58">
        <f t="shared" si="212"/>
        <v>38498.866962347871</v>
      </c>
      <c r="AT788" s="58">
        <f t="shared" si="213"/>
        <v>-228981.61383301331</v>
      </c>
      <c r="AU788" s="58">
        <f t="shared" si="214"/>
        <v>904.42062261853471</v>
      </c>
      <c r="AV788" s="58">
        <f t="shared" si="215"/>
        <v>-1845.0936502619156</v>
      </c>
      <c r="AW788" s="58">
        <f t="shared" si="201"/>
        <v>-3.6090893841569978</v>
      </c>
      <c r="AX788" s="58">
        <f t="shared" si="216"/>
        <v>22.85862445839004</v>
      </c>
      <c r="AY788" s="33">
        <f t="shared" si="202"/>
        <v>-0.72380350257352133</v>
      </c>
      <c r="AZ788" s="33">
        <f t="shared" si="203"/>
        <v>9.2527948189995275</v>
      </c>
      <c r="BA788" s="39">
        <f t="shared" si="204"/>
        <v>-0.70454785048217405</v>
      </c>
      <c r="BB788" s="39">
        <f t="shared" si="205"/>
        <v>2.8782434784451896</v>
      </c>
      <c r="BC788" s="45">
        <f t="shared" si="206"/>
        <v>-2.1807380311013023</v>
      </c>
      <c r="BD788" s="45">
        <f t="shared" si="207"/>
        <v>10.72758616094532</v>
      </c>
      <c r="BE788" s="64">
        <f t="shared" si="208"/>
        <v>56265761759.957077</v>
      </c>
      <c r="BF788" s="65">
        <f t="shared" si="209"/>
        <v>60534329186.10997</v>
      </c>
      <c r="BG788" s="66">
        <f t="shared" si="210"/>
        <v>47680282485.588875</v>
      </c>
    </row>
    <row r="789" spans="43:59" x14ac:dyDescent="0.25">
      <c r="AQ789" s="7">
        <v>774</v>
      </c>
      <c r="AR789" s="58">
        <f t="shared" si="211"/>
        <v>387</v>
      </c>
      <c r="AS789" s="58">
        <f t="shared" si="212"/>
        <v>38950.62613748412</v>
      </c>
      <c r="AT789" s="58">
        <f t="shared" si="213"/>
        <v>-229901.30333008699</v>
      </c>
      <c r="AU789" s="58">
        <f t="shared" si="214"/>
        <v>902.61607792645623</v>
      </c>
      <c r="AV789" s="58">
        <f t="shared" si="215"/>
        <v>-1833.6643380327207</v>
      </c>
      <c r="AW789" s="58">
        <f t="shared" si="201"/>
        <v>-3.6077424086124439</v>
      </c>
      <c r="AX789" s="58">
        <f t="shared" si="216"/>
        <v>22.660921983702707</v>
      </c>
      <c r="AY789" s="33">
        <f t="shared" si="202"/>
        <v>-0.73263469564731121</v>
      </c>
      <c r="AZ789" s="33">
        <f t="shared" si="203"/>
        <v>9.1779780968547975</v>
      </c>
      <c r="BA789" s="39">
        <f t="shared" si="204"/>
        <v>-0.70140139901238252</v>
      </c>
      <c r="BB789" s="39">
        <f t="shared" si="205"/>
        <v>2.8543735801581804</v>
      </c>
      <c r="BC789" s="45">
        <f t="shared" si="206"/>
        <v>-2.1737063139527502</v>
      </c>
      <c r="BD789" s="45">
        <f t="shared" si="207"/>
        <v>10.628570306689729</v>
      </c>
      <c r="BE789" s="64">
        <f t="shared" si="208"/>
        <v>56718505053.82666</v>
      </c>
      <c r="BF789" s="65">
        <f t="shared" si="209"/>
        <v>61027811661.47583</v>
      </c>
      <c r="BG789" s="66">
        <f t="shared" si="210"/>
        <v>48114227710.846954</v>
      </c>
    </row>
    <row r="790" spans="43:59" x14ac:dyDescent="0.25">
      <c r="AQ790" s="7">
        <v>775</v>
      </c>
      <c r="AR790" s="58">
        <f t="shared" si="211"/>
        <v>387.5</v>
      </c>
      <c r="AS790" s="58">
        <f t="shared" si="212"/>
        <v>39401.48320864627</v>
      </c>
      <c r="AT790" s="58">
        <f t="shared" si="213"/>
        <v>-230815.30288385539</v>
      </c>
      <c r="AU790" s="58">
        <f t="shared" si="214"/>
        <v>900.81220672214999</v>
      </c>
      <c r="AV790" s="58">
        <f t="shared" si="215"/>
        <v>-1822.3338770408693</v>
      </c>
      <c r="AW790" s="58">
        <f t="shared" si="201"/>
        <v>-3.6062161443038496</v>
      </c>
      <c r="AX790" s="58">
        <f t="shared" si="216"/>
        <v>22.466774864132695</v>
      </c>
      <c r="AY790" s="33">
        <f t="shared" si="202"/>
        <v>-0.74120090684637718</v>
      </c>
      <c r="AZ790" s="33">
        <f t="shared" si="203"/>
        <v>9.1044337545370393</v>
      </c>
      <c r="BA790" s="39">
        <f t="shared" si="204"/>
        <v>-0.6982984874841095</v>
      </c>
      <c r="BB790" s="39">
        <f t="shared" si="205"/>
        <v>2.8309219346621806</v>
      </c>
      <c r="BC790" s="45">
        <f t="shared" si="206"/>
        <v>-2.1667167499733631</v>
      </c>
      <c r="BD790" s="45">
        <f t="shared" si="207"/>
        <v>10.531419174933477</v>
      </c>
      <c r="BE790" s="64">
        <f t="shared" si="208"/>
        <v>57170601139.319115</v>
      </c>
      <c r="BF790" s="65">
        <f t="shared" si="209"/>
        <v>61520546310.430092</v>
      </c>
      <c r="BG790" s="66">
        <f t="shared" si="210"/>
        <v>48547736669.977936</v>
      </c>
    </row>
    <row r="791" spans="43:59" x14ac:dyDescent="0.25">
      <c r="AQ791" s="7">
        <v>776</v>
      </c>
      <c r="AR791" s="58">
        <f t="shared" si="211"/>
        <v>388</v>
      </c>
      <c r="AS791" s="58">
        <f t="shared" si="212"/>
        <v>39851.438534989313</v>
      </c>
      <c r="AT791" s="58">
        <f t="shared" si="213"/>
        <v>-231723.66147551782</v>
      </c>
      <c r="AU791" s="58">
        <f t="shared" si="214"/>
        <v>899.00909864999812</v>
      </c>
      <c r="AV791" s="58">
        <f t="shared" si="215"/>
        <v>-1811.1004896088029</v>
      </c>
      <c r="AW791" s="58">
        <f t="shared" si="201"/>
        <v>-3.6045198806276977</v>
      </c>
      <c r="AX791" s="58">
        <f t="shared" si="216"/>
        <v>22.276093068437383</v>
      </c>
      <c r="AY791" s="33">
        <f t="shared" si="202"/>
        <v>-0.74951115451338779</v>
      </c>
      <c r="AZ791" s="33">
        <f t="shared" si="203"/>
        <v>9.0321314691329366</v>
      </c>
      <c r="BA791" s="39">
        <f t="shared" si="204"/>
        <v>-0.69523830126748754</v>
      </c>
      <c r="BB791" s="39">
        <f t="shared" si="205"/>
        <v>2.8078781712514811</v>
      </c>
      <c r="BC791" s="45">
        <f t="shared" si="206"/>
        <v>-2.1597704248468221</v>
      </c>
      <c r="BD791" s="45">
        <f t="shared" si="207"/>
        <v>10.436083428052964</v>
      </c>
      <c r="BE791" s="64">
        <f t="shared" si="208"/>
        <v>57622039821.661598</v>
      </c>
      <c r="BF791" s="65">
        <f t="shared" si="209"/>
        <v>62012523211.838341</v>
      </c>
      <c r="BG791" s="66">
        <f t="shared" si="210"/>
        <v>48980796982.012764</v>
      </c>
    </row>
    <row r="792" spans="43:59" x14ac:dyDescent="0.25">
      <c r="AQ792" s="7">
        <v>777</v>
      </c>
      <c r="AR792" s="58">
        <f t="shared" si="211"/>
        <v>388.5</v>
      </c>
      <c r="AS792" s="58">
        <f t="shared" si="212"/>
        <v>40300.492519329237</v>
      </c>
      <c r="AT792" s="58">
        <f t="shared" si="213"/>
        <v>-232626.42720868866</v>
      </c>
      <c r="AU792" s="58">
        <f t="shared" si="214"/>
        <v>897.20683870968423</v>
      </c>
      <c r="AV792" s="58">
        <f t="shared" si="215"/>
        <v>-1799.9624430745841</v>
      </c>
      <c r="AW792" s="58">
        <f t="shared" si="201"/>
        <v>-3.6026624787102586</v>
      </c>
      <c r="AX792" s="58">
        <f t="shared" si="216"/>
        <v>22.088789528234852</v>
      </c>
      <c r="AY792" s="33">
        <f t="shared" si="202"/>
        <v>-0.75757410492960076</v>
      </c>
      <c r="AZ792" s="33">
        <f t="shared" si="203"/>
        <v>8.9610418559724661</v>
      </c>
      <c r="BA792" s="39">
        <f t="shared" si="204"/>
        <v>-0.69222004654332159</v>
      </c>
      <c r="BB792" s="39">
        <f t="shared" si="205"/>
        <v>2.7852322546321138</v>
      </c>
      <c r="BC792" s="45">
        <f t="shared" si="206"/>
        <v>-2.1528683272373361</v>
      </c>
      <c r="BD792" s="45">
        <f t="shared" si="207"/>
        <v>10.342515417630272</v>
      </c>
      <c r="BE792" s="64">
        <f t="shared" si="208"/>
        <v>58072811040.537003</v>
      </c>
      <c r="BF792" s="65">
        <f t="shared" si="209"/>
        <v>62503732578.126785</v>
      </c>
      <c r="BG792" s="66">
        <f t="shared" si="210"/>
        <v>49413396442.112473</v>
      </c>
    </row>
    <row r="793" spans="43:59" x14ac:dyDescent="0.25">
      <c r="AQ793" s="7">
        <v>778</v>
      </c>
      <c r="AR793" s="58">
        <f t="shared" si="211"/>
        <v>389</v>
      </c>
      <c r="AS793" s="58">
        <f t="shared" si="212"/>
        <v>40748.645605874241</v>
      </c>
      <c r="AT793" s="58">
        <f t="shared" si="213"/>
        <v>-233523.64733153491</v>
      </c>
      <c r="AU793" s="58">
        <f t="shared" si="214"/>
        <v>895.4055074703291</v>
      </c>
      <c r="AV793" s="58">
        <f t="shared" si="215"/>
        <v>-1788.9180483104667</v>
      </c>
      <c r="AW793" s="58">
        <f t="shared" si="201"/>
        <v>-3.6006523928914564</v>
      </c>
      <c r="AX793" s="58">
        <f t="shared" si="216"/>
        <v>21.904780018667893</v>
      </c>
      <c r="AY793" s="33">
        <f t="shared" si="202"/>
        <v>-0.76539808822752153</v>
      </c>
      <c r="AZ793" s="33">
        <f t="shared" si="203"/>
        <v>8.8911364331632576</v>
      </c>
      <c r="BA793" s="39">
        <f t="shared" si="204"/>
        <v>-0.68924294964132793</v>
      </c>
      <c r="BB793" s="39">
        <f t="shared" si="205"/>
        <v>2.7629744716147422</v>
      </c>
      <c r="BC793" s="45">
        <f t="shared" si="206"/>
        <v>-2.146011355022607</v>
      </c>
      <c r="BD793" s="45">
        <f t="shared" si="207"/>
        <v>10.250669113889892</v>
      </c>
      <c r="BE793" s="64">
        <f t="shared" si="208"/>
        <v>58522904867.474281</v>
      </c>
      <c r="BF793" s="65">
        <f t="shared" si="209"/>
        <v>62994164752.601898</v>
      </c>
      <c r="BG793" s="66">
        <f t="shared" si="210"/>
        <v>49845523017.848923</v>
      </c>
    </row>
    <row r="794" spans="43:59" x14ac:dyDescent="0.25">
      <c r="AQ794" s="7">
        <v>779</v>
      </c>
      <c r="AR794" s="58">
        <f t="shared" si="211"/>
        <v>389.5</v>
      </c>
      <c r="AS794" s="58">
        <f t="shared" si="212"/>
        <v>41195.898278060296</v>
      </c>
      <c r="AT794" s="58">
        <f t="shared" si="213"/>
        <v>-234415.36825818781</v>
      </c>
      <c r="AU794" s="58">
        <f t="shared" si="214"/>
        <v>893.60518127388332</v>
      </c>
      <c r="AV794" s="58">
        <f t="shared" si="215"/>
        <v>-1777.9656583011329</v>
      </c>
      <c r="AW794" s="58">
        <f t="shared" si="201"/>
        <v>-3.5984976910116599</v>
      </c>
      <c r="AX794" s="58">
        <f t="shared" si="216"/>
        <v>21.723983044741701</v>
      </c>
      <c r="AY794" s="33">
        <f t="shared" si="202"/>
        <v>-0.7729911134833457</v>
      </c>
      <c r="AZ794" s="33">
        <f t="shared" si="203"/>
        <v>8.8223875877056273</v>
      </c>
      <c r="BA794" s="39">
        <f t="shared" si="204"/>
        <v>-0.68630625640368814</v>
      </c>
      <c r="BB794" s="39">
        <f t="shared" si="205"/>
        <v>2.7410954184317373</v>
      </c>
      <c r="BC794" s="45">
        <f t="shared" si="206"/>
        <v>-2.1392003211246262</v>
      </c>
      <c r="BD794" s="45">
        <f t="shared" si="207"/>
        <v>10.160500038604335</v>
      </c>
      <c r="BE794" s="64">
        <f t="shared" si="208"/>
        <v>58972311503.308502</v>
      </c>
      <c r="BF794" s="65">
        <f t="shared" si="209"/>
        <v>63483810206.844261</v>
      </c>
      <c r="BG794" s="66">
        <f t="shared" si="210"/>
        <v>50277164845.593063</v>
      </c>
    </row>
    <row r="795" spans="43:59" x14ac:dyDescent="0.25">
      <c r="AQ795" s="7">
        <v>780</v>
      </c>
      <c r="AR795" s="58">
        <f t="shared" si="211"/>
        <v>390</v>
      </c>
      <c r="AS795" s="58">
        <f t="shared" si="212"/>
        <v>41642.25105648586</v>
      </c>
      <c r="AT795" s="58">
        <f t="shared" si="213"/>
        <v>-235301.63558945779</v>
      </c>
      <c r="AU795" s="58">
        <f t="shared" si="214"/>
        <v>891.80593242837745</v>
      </c>
      <c r="AV795" s="58">
        <f t="shared" si="215"/>
        <v>-1767.1036667787621</v>
      </c>
      <c r="AW795" s="58">
        <f t="shared" si="201"/>
        <v>-3.5962060735756931</v>
      </c>
      <c r="AX795" s="58">
        <f t="shared" si="216"/>
        <v>21.546319733025015</v>
      </c>
      <c r="AY795" s="33">
        <f t="shared" si="202"/>
        <v>-0.78036088303654727</v>
      </c>
      <c r="AZ795" s="33">
        <f t="shared" si="203"/>
        <v>8.7547685431051789</v>
      </c>
      <c r="BA795" s="39">
        <f t="shared" si="204"/>
        <v>-0.68340923157278088</v>
      </c>
      <c r="BB795" s="39">
        <f t="shared" si="205"/>
        <v>2.7195859886446967</v>
      </c>
      <c r="BC795" s="45">
        <f t="shared" si="206"/>
        <v>-2.1324359589663651</v>
      </c>
      <c r="BD795" s="45">
        <f t="shared" si="207"/>
        <v>10.071965201275138</v>
      </c>
      <c r="BE795" s="64">
        <f t="shared" si="208"/>
        <v>59421021275.707817</v>
      </c>
      <c r="BF795" s="65">
        <f t="shared" si="209"/>
        <v>63972659538.173973</v>
      </c>
      <c r="BG795" s="66">
        <f t="shared" si="210"/>
        <v>50708310227.006508</v>
      </c>
    </row>
    <row r="796" spans="43:59" x14ac:dyDescent="0.25">
      <c r="AQ796" s="7">
        <v>781</v>
      </c>
      <c r="AR796" s="58">
        <f t="shared" si="211"/>
        <v>390.5</v>
      </c>
      <c r="AS796" s="58">
        <f t="shared" si="212"/>
        <v>42087.704496940853</v>
      </c>
      <c r="AT796" s="58">
        <f t="shared" si="213"/>
        <v>-236182.49413288053</v>
      </c>
      <c r="AU796" s="58">
        <f t="shared" si="214"/>
        <v>890.00782939158955</v>
      </c>
      <c r="AV796" s="58">
        <f t="shared" si="215"/>
        <v>-1756.3305069122496</v>
      </c>
      <c r="AW796" s="58">
        <f t="shared" si="201"/>
        <v>-3.5937848918628816</v>
      </c>
      <c r="AX796" s="58">
        <f t="shared" si="216"/>
        <v>21.371713728424453</v>
      </c>
      <c r="AY796" s="33">
        <f t="shared" si="202"/>
        <v>-0.78751480608137514</v>
      </c>
      <c r="AZ796" s="33">
        <f t="shared" si="203"/>
        <v>8.6882533284099264</v>
      </c>
      <c r="BA796" s="39">
        <f t="shared" si="204"/>
        <v>-0.68055115820202272</v>
      </c>
      <c r="BB796" s="39">
        <f t="shared" si="205"/>
        <v>2.6984373616107749</v>
      </c>
      <c r="BC796" s="45">
        <f t="shared" si="206"/>
        <v>-2.1257189275794839</v>
      </c>
      <c r="BD796" s="45">
        <f t="shared" si="207"/>
        <v>9.9850230384037513</v>
      </c>
      <c r="BE796" s="64">
        <f t="shared" si="208"/>
        <v>59869024636.765533</v>
      </c>
      <c r="BF796" s="65">
        <f t="shared" si="209"/>
        <v>64460703467.185204</v>
      </c>
      <c r="BG796" s="66">
        <f t="shared" si="210"/>
        <v>51138947625.63295</v>
      </c>
    </row>
    <row r="797" spans="43:59" x14ac:dyDescent="0.25">
      <c r="AQ797" s="7">
        <v>782</v>
      </c>
      <c r="AR797" s="58">
        <f t="shared" si="211"/>
        <v>391</v>
      </c>
      <c r="AS797" s="58">
        <f t="shared" si="212"/>
        <v>42532.25918852516</v>
      </c>
      <c r="AT797" s="58">
        <f t="shared" si="213"/>
        <v>-237057.98792212061</v>
      </c>
      <c r="AU797" s="58">
        <f t="shared" si="214"/>
        <v>888.21093694565809</v>
      </c>
      <c r="AV797" s="58">
        <f t="shared" si="215"/>
        <v>-1745.6446500480374</v>
      </c>
      <c r="AW797" s="58">
        <f t="shared" si="201"/>
        <v>-3.5912411650474425</v>
      </c>
      <c r="AX797" s="58">
        <f t="shared" si="216"/>
        <v>21.200091095757433</v>
      </c>
      <c r="AY797" s="33">
        <f t="shared" si="202"/>
        <v>-0.79446001157171775</v>
      </c>
      <c r="AZ797" s="33">
        <f t="shared" si="203"/>
        <v>8.6228167485979128</v>
      </c>
      <c r="BA797" s="39">
        <f t="shared" si="204"/>
        <v>-0.67773133708882538</v>
      </c>
      <c r="BB797" s="39">
        <f t="shared" si="205"/>
        <v>2.67764099147819</v>
      </c>
      <c r="BC797" s="45">
        <f t="shared" si="206"/>
        <v>-2.1190498163868994</v>
      </c>
      <c r="BD797" s="45">
        <f t="shared" si="207"/>
        <v>9.8996333556813294</v>
      </c>
      <c r="BE797" s="64">
        <f t="shared" si="208"/>
        <v>60316312160.654968</v>
      </c>
      <c r="BF797" s="65">
        <f t="shared" si="209"/>
        <v>64947932835.34758</v>
      </c>
      <c r="BG797" s="66">
        <f t="shared" si="210"/>
        <v>51569065663.585793</v>
      </c>
    </row>
    <row r="798" spans="43:59" x14ac:dyDescent="0.25">
      <c r="AQ798" s="7">
        <v>783</v>
      </c>
      <c r="AR798" s="58">
        <f t="shared" si="211"/>
        <v>391.5</v>
      </c>
      <c r="AS798" s="58">
        <f t="shared" si="212"/>
        <v>42975.915751852357</v>
      </c>
      <c r="AT798" s="58">
        <f t="shared" si="213"/>
        <v>-237928.16023575768</v>
      </c>
      <c r="AU798" s="58">
        <f t="shared" si="214"/>
        <v>886.41531636313437</v>
      </c>
      <c r="AV798" s="58">
        <f t="shared" si="215"/>
        <v>-1735.0446045001588</v>
      </c>
      <c r="AW798" s="58">
        <f t="shared" si="201"/>
        <v>-3.5885815963893148</v>
      </c>
      <c r="AX798" s="58">
        <f t="shared" si="216"/>
        <v>21.03138022586775</v>
      </c>
      <c r="AY798" s="33">
        <f t="shared" si="202"/>
        <v>-0.80120336047836394</v>
      </c>
      <c r="AZ798" s="33">
        <f t="shared" si="203"/>
        <v>8.5584343562479379</v>
      </c>
      <c r="BA798" s="39">
        <f t="shared" si="204"/>
        <v>-0.67494908622865524</v>
      </c>
      <c r="BB798" s="39">
        <f t="shared" si="205"/>
        <v>2.6571885966827598</v>
      </c>
      <c r="BC798" s="45">
        <f t="shared" si="206"/>
        <v>-2.1124291496822956</v>
      </c>
      <c r="BD798" s="45">
        <f t="shared" si="207"/>
        <v>9.8157572729370539</v>
      </c>
      <c r="BE798" s="64">
        <f t="shared" si="208"/>
        <v>60762874541.344963</v>
      </c>
      <c r="BF798" s="65">
        <f t="shared" si="209"/>
        <v>65434338602.671944</v>
      </c>
      <c r="BG798" s="66">
        <f t="shared" si="210"/>
        <v>51998653118.328484</v>
      </c>
    </row>
    <row r="799" spans="43:59" x14ac:dyDescent="0.25">
      <c r="AQ799" s="7">
        <v>784</v>
      </c>
      <c r="AR799" s="58">
        <f t="shared" si="211"/>
        <v>392</v>
      </c>
      <c r="AS799" s="58">
        <f t="shared" si="212"/>
        <v>43418.674837334373</v>
      </c>
      <c r="AT799" s="58">
        <f t="shared" si="213"/>
        <v>-238793.05361547953</v>
      </c>
      <c r="AU799" s="58">
        <f t="shared" si="214"/>
        <v>884.62102556493971</v>
      </c>
      <c r="AV799" s="58">
        <f t="shared" si="215"/>
        <v>-1724.5289143872249</v>
      </c>
      <c r="AW799" s="58">
        <f t="shared" si="201"/>
        <v>-3.5858125885511605</v>
      </c>
      <c r="AX799" s="58">
        <f t="shared" si="216"/>
        <v>20.865511746041946</v>
      </c>
      <c r="AY799" s="33">
        <f t="shared" si="202"/>
        <v>-0.80775145743527166</v>
      </c>
      <c r="AZ799" s="33">
        <f t="shared" si="203"/>
        <v>8.49508242443029</v>
      </c>
      <c r="BA799" s="39">
        <f t="shared" si="204"/>
        <v>-0.67220374028928531</v>
      </c>
      <c r="BB799" s="39">
        <f t="shared" si="205"/>
        <v>2.637072149919232</v>
      </c>
      <c r="BC799" s="45">
        <f t="shared" si="206"/>
        <v>-2.1058573908266034</v>
      </c>
      <c r="BD799" s="45">
        <f t="shared" si="207"/>
        <v>9.7333571716924219</v>
      </c>
      <c r="BE799" s="64">
        <f t="shared" si="208"/>
        <v>61208702590.374268</v>
      </c>
      <c r="BF799" s="65">
        <f t="shared" si="209"/>
        <v>65919911845.438423</v>
      </c>
      <c r="BG799" s="66">
        <f t="shared" si="210"/>
        <v>52427698919.544411</v>
      </c>
    </row>
    <row r="800" spans="43:59" x14ac:dyDescent="0.25">
      <c r="AQ800" s="7">
        <v>785</v>
      </c>
      <c r="AR800" s="58">
        <f t="shared" si="211"/>
        <v>392.5</v>
      </c>
      <c r="AS800" s="58">
        <f t="shared" si="212"/>
        <v>43860.537123543269</v>
      </c>
      <c r="AT800" s="58">
        <f t="shared" si="213"/>
        <v>-239652.70988370487</v>
      </c>
      <c r="AU800" s="58">
        <f t="shared" si="214"/>
        <v>882.82811927066416</v>
      </c>
      <c r="AV800" s="58">
        <f t="shared" si="215"/>
        <v>-1714.0961585142038</v>
      </c>
      <c r="AW800" s="58">
        <f t="shared" si="201"/>
        <v>-3.5829402580940157</v>
      </c>
      <c r="AX800" s="58">
        <f t="shared" si="216"/>
        <v>20.702418434500146</v>
      </c>
      <c r="AY800" s="33">
        <f t="shared" si="202"/>
        <v>-0.81411066180902758</v>
      </c>
      <c r="AZ800" s="33">
        <f t="shared" si="203"/>
        <v>8.4327379207563329</v>
      </c>
      <c r="BA800" s="39">
        <f t="shared" si="204"/>
        <v>-0.66949465010439968</v>
      </c>
      <c r="BB800" s="39">
        <f t="shared" si="205"/>
        <v>2.6172838685628093</v>
      </c>
      <c r="BC800" s="45">
        <f t="shared" si="206"/>
        <v>-2.0993349461805884</v>
      </c>
      <c r="BD800" s="45">
        <f t="shared" si="207"/>
        <v>9.6523966451810033</v>
      </c>
      <c r="BE800" s="64">
        <f t="shared" si="208"/>
        <v>61653787234.682777</v>
      </c>
      <c r="BF800" s="65">
        <f t="shared" si="209"/>
        <v>66404643753.984764</v>
      </c>
      <c r="BG800" s="66">
        <f t="shared" si="210"/>
        <v>52856192146.093216</v>
      </c>
    </row>
    <row r="801" spans="43:59" x14ac:dyDescent="0.25">
      <c r="AQ801" s="7">
        <v>786</v>
      </c>
      <c r="AR801" s="58">
        <f t="shared" si="211"/>
        <v>393</v>
      </c>
      <c r="AS801" s="58">
        <f t="shared" si="212"/>
        <v>44301.50331564634</v>
      </c>
      <c r="AT801" s="58">
        <f t="shared" si="213"/>
        <v>-240507.17016065767</v>
      </c>
      <c r="AU801" s="58">
        <f t="shared" si="214"/>
        <v>881.0366491416172</v>
      </c>
      <c r="AV801" s="58">
        <f t="shared" si="215"/>
        <v>-1703.7449492969538</v>
      </c>
      <c r="AW801" s="58">
        <f t="shared" si="201"/>
        <v>-3.5799704492003497</v>
      </c>
      <c r="AX801" s="58">
        <f t="shared" si="216"/>
        <v>20.542035138748183</v>
      </c>
      <c r="AY801" s="33">
        <f t="shared" si="202"/>
        <v>-0.82028709822362622</v>
      </c>
      <c r="AZ801" s="33">
        <f t="shared" si="203"/>
        <v>8.3713784825302362</v>
      </c>
      <c r="BA801" s="39">
        <f t="shared" si="204"/>
        <v>-0.66682118218568254</v>
      </c>
      <c r="BB801" s="39">
        <f t="shared" si="205"/>
        <v>2.5978162055174439</v>
      </c>
      <c r="BC801" s="45">
        <f t="shared" si="206"/>
        <v>-2.0928621687910409</v>
      </c>
      <c r="BD801" s="45">
        <f t="shared" si="207"/>
        <v>9.5728404507005038</v>
      </c>
      <c r="BE801" s="64">
        <f t="shared" si="208"/>
        <v>62098119514.497772</v>
      </c>
      <c r="BF801" s="65">
        <f t="shared" si="209"/>
        <v>66888525630.552773</v>
      </c>
      <c r="BG801" s="66">
        <f t="shared" si="210"/>
        <v>53284122023.050499</v>
      </c>
    </row>
    <row r="802" spans="43:59" x14ac:dyDescent="0.25">
      <c r="AQ802" s="7">
        <v>787</v>
      </c>
      <c r="AR802" s="58">
        <f t="shared" si="211"/>
        <v>393.5</v>
      </c>
      <c r="AS802" s="58">
        <f t="shared" si="212"/>
        <v>44741.574143910999</v>
      </c>
      <c r="AT802" s="58">
        <f t="shared" si="213"/>
        <v>-241356.4748809138</v>
      </c>
      <c r="AU802" s="58">
        <f t="shared" si="214"/>
        <v>879.24666391701703</v>
      </c>
      <c r="AV802" s="58">
        <f t="shared" si="215"/>
        <v>-1693.4739317275796</v>
      </c>
      <c r="AW802" s="58">
        <f t="shared" si="201"/>
        <v>-3.5769087466699925</v>
      </c>
      <c r="AX802" s="58">
        <f t="shared" si="216"/>
        <v>20.384298697589671</v>
      </c>
      <c r="AY802" s="33">
        <f t="shared" si="202"/>
        <v>-0.82628666657074978</v>
      </c>
      <c r="AZ802" s="33">
        <f t="shared" si="203"/>
        <v>8.3109823929494553</v>
      </c>
      <c r="BA802" s="39">
        <f t="shared" si="204"/>
        <v>-0.66418271825261643</v>
      </c>
      <c r="BB802" s="39">
        <f t="shared" si="205"/>
        <v>2.5786618404690471</v>
      </c>
      <c r="BC802" s="45">
        <f t="shared" si="206"/>
        <v>-2.0864393618466264</v>
      </c>
      <c r="BD802" s="45">
        <f t="shared" si="207"/>
        <v>9.4946544641711679</v>
      </c>
      <c r="BE802" s="64">
        <f t="shared" si="208"/>
        <v>62541690581.273521</v>
      </c>
      <c r="BF802" s="65">
        <f t="shared" si="209"/>
        <v>67371548887.190971</v>
      </c>
      <c r="BG802" s="66">
        <f t="shared" si="210"/>
        <v>53711477918.82795</v>
      </c>
    </row>
    <row r="803" spans="43:59" x14ac:dyDescent="0.25">
      <c r="AQ803" s="7">
        <v>788</v>
      </c>
      <c r="AR803" s="58">
        <f t="shared" si="211"/>
        <v>394</v>
      </c>
      <c r="AS803" s="58">
        <f t="shared" si="212"/>
        <v>45180.750362276172</v>
      </c>
      <c r="AT803" s="58">
        <f t="shared" si="213"/>
        <v>-242200.66380944039</v>
      </c>
      <c r="AU803" s="58">
        <f t="shared" si="214"/>
        <v>877.45820954368207</v>
      </c>
      <c r="AV803" s="58">
        <f t="shared" si="215"/>
        <v>-1683.2817823787848</v>
      </c>
      <c r="AW803" s="58">
        <f t="shared" si="201"/>
        <v>-3.5737604882318057</v>
      </c>
      <c r="AX803" s="58">
        <f t="shared" si="216"/>
        <v>20.229147866609839</v>
      </c>
      <c r="AY803" s="33">
        <f t="shared" si="202"/>
        <v>-0.83211505153374465</v>
      </c>
      <c r="AZ803" s="33">
        <f t="shared" si="203"/>
        <v>8.2515285583022973</v>
      </c>
      <c r="BA803" s="39">
        <f t="shared" si="204"/>
        <v>-0.66157865477921185</v>
      </c>
      <c r="BB803" s="39">
        <f t="shared" si="205"/>
        <v>2.5598136715228708</v>
      </c>
      <c r="BC803" s="45">
        <f t="shared" si="206"/>
        <v>-2.0800667819188492</v>
      </c>
      <c r="BD803" s="45">
        <f t="shared" si="207"/>
        <v>9.4178056367846708</v>
      </c>
      <c r="BE803" s="64">
        <f t="shared" si="208"/>
        <v>62984491695.682449</v>
      </c>
      <c r="BF803" s="65">
        <f t="shared" si="209"/>
        <v>67853705043.711746</v>
      </c>
      <c r="BG803" s="66">
        <f t="shared" si="210"/>
        <v>54138249342.371437</v>
      </c>
    </row>
    <row r="804" spans="43:59" x14ac:dyDescent="0.25">
      <c r="AQ804" s="7">
        <v>789</v>
      </c>
      <c r="AR804" s="58">
        <f t="shared" si="211"/>
        <v>394.5</v>
      </c>
      <c r="AS804" s="58">
        <f t="shared" si="212"/>
        <v>45619.032746986981</v>
      </c>
      <c r="AT804" s="58">
        <f t="shared" si="213"/>
        <v>-243039.77605714646</v>
      </c>
      <c r="AU804" s="58">
        <f t="shared" si="214"/>
        <v>875.6713292995662</v>
      </c>
      <c r="AV804" s="58">
        <f t="shared" si="215"/>
        <v>-1673.1672084454799</v>
      </c>
      <c r="AW804" s="58">
        <f t="shared" si="201"/>
        <v>-3.5705307762108474</v>
      </c>
      <c r="AX804" s="58">
        <f t="shared" si="216"/>
        <v>20.07652324695297</v>
      </c>
      <c r="AY804" s="33">
        <f t="shared" si="202"/>
        <v>-0.83777773165191749</v>
      </c>
      <c r="AZ804" s="33">
        <f t="shared" si="203"/>
        <v>8.1929964861152378</v>
      </c>
      <c r="BA804" s="39">
        <f t="shared" si="204"/>
        <v>-0.65900840255702353</v>
      </c>
      <c r="BB804" s="39">
        <f t="shared" si="205"/>
        <v>2.541264807205863</v>
      </c>
      <c r="BC804" s="45">
        <f t="shared" si="206"/>
        <v>-2.0737446420019063</v>
      </c>
      <c r="BD804" s="45">
        <f t="shared" si="207"/>
        <v>9.3422619536318692</v>
      </c>
      <c r="BE804" s="64">
        <f t="shared" si="208"/>
        <v>63426514225.656288</v>
      </c>
      <c r="BF804" s="65">
        <f t="shared" si="209"/>
        <v>68334985725.700981</v>
      </c>
      <c r="BG804" s="66">
        <f t="shared" si="210"/>
        <v>54564425940.434044</v>
      </c>
    </row>
    <row r="805" spans="43:59" x14ac:dyDescent="0.25">
      <c r="AQ805" s="7">
        <v>790</v>
      </c>
      <c r="AR805" s="58">
        <f t="shared" si="211"/>
        <v>395</v>
      </c>
      <c r="AS805" s="58">
        <f t="shared" si="212"/>
        <v>46056.422095289738</v>
      </c>
      <c r="AT805" s="58">
        <f t="shared" si="213"/>
        <v>-243873.85009596334</v>
      </c>
      <c r="AU805" s="58">
        <f t="shared" si="214"/>
        <v>873.88606391146072</v>
      </c>
      <c r="AV805" s="58">
        <f t="shared" si="215"/>
        <v>-1663.1289468220034</v>
      </c>
      <c r="AW805" s="58">
        <f t="shared" si="201"/>
        <v>-3.5672244885884616</v>
      </c>
      <c r="AX805" s="58">
        <f t="shared" si="216"/>
        <v>19.92636721722619</v>
      </c>
      <c r="AY805" s="33">
        <f t="shared" si="202"/>
        <v>-0.84327998795008752</v>
      </c>
      <c r="AZ805" s="33">
        <f t="shared" si="203"/>
        <v>8.135366264204432</v>
      </c>
      <c r="BA805" s="39">
        <f t="shared" si="204"/>
        <v>-0.65647138627370227</v>
      </c>
      <c r="BB805" s="39">
        <f t="shared" si="205"/>
        <v>2.5230085588154063</v>
      </c>
      <c r="BC805" s="45">
        <f t="shared" si="206"/>
        <v>-2.0674731143646721</v>
      </c>
      <c r="BD805" s="45">
        <f t="shared" si="207"/>
        <v>9.2679923942063525</v>
      </c>
      <c r="BE805" s="64">
        <f t="shared" si="208"/>
        <v>63867749644.475754</v>
      </c>
      <c r="BF805" s="65">
        <f t="shared" si="209"/>
        <v>68815382662.578751</v>
      </c>
      <c r="BG805" s="66">
        <f t="shared" si="210"/>
        <v>54989997494.92189</v>
      </c>
    </row>
    <row r="806" spans="43:59" x14ac:dyDescent="0.25">
      <c r="AQ806" s="7">
        <v>791</v>
      </c>
      <c r="AR806" s="58">
        <f t="shared" si="211"/>
        <v>395.5</v>
      </c>
      <c r="AS806" s="58">
        <f t="shared" si="212"/>
        <v>46492.919224184392</v>
      </c>
      <c r="AT806" s="58">
        <f t="shared" si="213"/>
        <v>-244702.9237734722</v>
      </c>
      <c r="AU806" s="58">
        <f t="shared" si="214"/>
        <v>872.10245166716652</v>
      </c>
      <c r="AV806" s="58">
        <f t="shared" si="215"/>
        <v>-1653.1657632133904</v>
      </c>
      <c r="AW806" s="58">
        <f t="shared" si="201"/>
        <v>-3.5638462894900131</v>
      </c>
      <c r="AX806" s="58">
        <f t="shared" si="216"/>
        <v>19.778623868370421</v>
      </c>
      <c r="AY806" s="33">
        <f t="shared" si="202"/>
        <v>-0.84862691215677277</v>
      </c>
      <c r="AZ806" s="33">
        <f t="shared" si="203"/>
        <v>8.0786185405878257</v>
      </c>
      <c r="BA806" s="39">
        <f t="shared" si="204"/>
        <v>-0.65396704410643036</v>
      </c>
      <c r="BB806" s="39">
        <f t="shared" si="205"/>
        <v>2.5050384330971025</v>
      </c>
      <c r="BC806" s="45">
        <f t="shared" si="206"/>
        <v>-2.0612523332268098</v>
      </c>
      <c r="BD806" s="45">
        <f t="shared" si="207"/>
        <v>9.1949668946854928</v>
      </c>
      <c r="BE806" s="64">
        <f t="shared" si="208"/>
        <v>64308189528.906982</v>
      </c>
      <c r="BF806" s="65">
        <f t="shared" si="209"/>
        <v>69294887685.709091</v>
      </c>
      <c r="BG806" s="66">
        <f t="shared" si="210"/>
        <v>55414953920.309959</v>
      </c>
    </row>
    <row r="807" spans="43:59" x14ac:dyDescent="0.25">
      <c r="AQ807" s="7">
        <v>792</v>
      </c>
      <c r="AR807" s="58">
        <f t="shared" si="211"/>
        <v>396</v>
      </c>
      <c r="AS807" s="58">
        <f t="shared" si="212"/>
        <v>46928.524969231788</v>
      </c>
      <c r="AT807" s="58">
        <f t="shared" si="213"/>
        <v>-245527.03432709535</v>
      </c>
      <c r="AU807" s="58">
        <f t="shared" si="214"/>
        <v>870.32052852242157</v>
      </c>
      <c r="AV807" s="58">
        <f t="shared" si="215"/>
        <v>-1643.2764512792053</v>
      </c>
      <c r="AW807" s="58">
        <f t="shared" si="201"/>
        <v>-3.5604006391333582</v>
      </c>
      <c r="AX807" s="58">
        <f t="shared" si="216"/>
        <v>19.633238941351472</v>
      </c>
      <c r="AY807" s="33">
        <f t="shared" si="202"/>
        <v>-0.85382341453314037</v>
      </c>
      <c r="AZ807" s="33">
        <f t="shared" si="203"/>
        <v>8.0227345042181053</v>
      </c>
      <c r="BA807" s="39">
        <f t="shared" si="204"/>
        <v>-0.65149482732973418</v>
      </c>
      <c r="BB807" s="39">
        <f t="shared" si="205"/>
        <v>2.4873481252357093</v>
      </c>
      <c r="BC807" s="45">
        <f t="shared" si="206"/>
        <v>-2.0550823972704837</v>
      </c>
      <c r="BD807" s="45">
        <f t="shared" si="207"/>
        <v>9.1231563118976595</v>
      </c>
      <c r="BE807" s="64">
        <f t="shared" si="208"/>
        <v>64747825557.383629</v>
      </c>
      <c r="BF807" s="65">
        <f t="shared" si="209"/>
        <v>69773492726.557648</v>
      </c>
      <c r="BG807" s="66">
        <f t="shared" si="210"/>
        <v>55839285261.125931</v>
      </c>
    </row>
    <row r="808" spans="43:59" x14ac:dyDescent="0.25">
      <c r="AQ808" s="7">
        <v>793</v>
      </c>
      <c r="AR808" s="58">
        <f t="shared" si="211"/>
        <v>396.5</v>
      </c>
      <c r="AS808" s="58">
        <f t="shared" si="212"/>
        <v>47363.240183413109</v>
      </c>
      <c r="AT808" s="58">
        <f t="shared" si="213"/>
        <v>-246346.21839786725</v>
      </c>
      <c r="AU808" s="58">
        <f t="shared" si="214"/>
        <v>868.54032820285488</v>
      </c>
      <c r="AV808" s="58">
        <f t="shared" si="215"/>
        <v>-1633.4598318085295</v>
      </c>
      <c r="AW808" s="58">
        <f t="shared" si="201"/>
        <v>-3.5568918032685359</v>
      </c>
      <c r="AX808" s="58">
        <f t="shared" si="216"/>
        <v>19.490159767529661</v>
      </c>
      <c r="AY808" s="33">
        <f t="shared" si="202"/>
        <v>-0.8588742313333636</v>
      </c>
      <c r="AZ808" s="33">
        <f t="shared" si="203"/>
        <v>7.9676958664971513</v>
      </c>
      <c r="BA808" s="39">
        <f t="shared" si="204"/>
        <v>-0.64905419993693814</v>
      </c>
      <c r="BB808" s="39">
        <f t="shared" si="205"/>
        <v>2.4699315121432623</v>
      </c>
      <c r="BC808" s="45">
        <f t="shared" si="206"/>
        <v>-2.0489633719982341</v>
      </c>
      <c r="BD808" s="45">
        <f t="shared" si="207"/>
        <v>9.0525323888892455</v>
      </c>
      <c r="BE808" s="64">
        <f t="shared" si="208"/>
        <v>65186649508.232872</v>
      </c>
      <c r="BF808" s="65">
        <f t="shared" si="209"/>
        <v>70251189814.895264</v>
      </c>
      <c r="BG808" s="66">
        <f t="shared" si="210"/>
        <v>56262981689.499496</v>
      </c>
    </row>
    <row r="809" spans="43:59" x14ac:dyDescent="0.25">
      <c r="AQ809" s="7">
        <v>794</v>
      </c>
      <c r="AR809" s="58">
        <f t="shared" si="211"/>
        <v>397</v>
      </c>
      <c r="AS809" s="58">
        <f t="shared" si="212"/>
        <v>47797.065736039127</v>
      </c>
      <c r="AT809" s="58">
        <f t="shared" si="213"/>
        <v>-247160.51204380058</v>
      </c>
      <c r="AU809" s="58">
        <f t="shared" si="214"/>
        <v>866.76188230122057</v>
      </c>
      <c r="AV809" s="58">
        <f t="shared" si="215"/>
        <v>-1623.7147519247646</v>
      </c>
      <c r="AW809" s="58">
        <f t="shared" si="201"/>
        <v>-3.5533238621372458</v>
      </c>
      <c r="AX809" s="58">
        <f t="shared" si="216"/>
        <v>19.349335211574669</v>
      </c>
      <c r="AY809" s="33">
        <f t="shared" si="202"/>
        <v>-0.86378393191593394</v>
      </c>
      <c r="AZ809" s="33">
        <f t="shared" si="203"/>
        <v>7.9134848435359864</v>
      </c>
      <c r="BA809" s="39">
        <f t="shared" si="204"/>
        <v>-0.64664463827476415</v>
      </c>
      <c r="BB809" s="39">
        <f t="shared" si="205"/>
        <v>2.4527826460300686</v>
      </c>
      <c r="BC809" s="45">
        <f t="shared" si="206"/>
        <v>-2.042895291946548</v>
      </c>
      <c r="BD809" s="45">
        <f t="shared" si="207"/>
        <v>8.983067722008613</v>
      </c>
      <c r="BE809" s="64">
        <f t="shared" si="208"/>
        <v>65624653257.944389</v>
      </c>
      <c r="BF809" s="65">
        <f t="shared" si="209"/>
        <v>70727971077.046524</v>
      </c>
      <c r="BG809" s="66">
        <f t="shared" si="210"/>
        <v>56686033502.775314</v>
      </c>
    </row>
    <row r="810" spans="43:59" x14ac:dyDescent="0.25">
      <c r="AQ810" s="7">
        <v>795</v>
      </c>
      <c r="AR810" s="58">
        <f t="shared" si="211"/>
        <v>397.5</v>
      </c>
      <c r="AS810" s="58">
        <f t="shared" si="212"/>
        <v>48230.002511706967</v>
      </c>
      <c r="AT810" s="58">
        <f t="shared" si="213"/>
        <v>-247969.95075286151</v>
      </c>
      <c r="AU810" s="58">
        <f t="shared" si="214"/>
        <v>864.98522037015198</v>
      </c>
      <c r="AV810" s="58">
        <f t="shared" si="215"/>
        <v>-1614.0400843189773</v>
      </c>
      <c r="AW810" s="58">
        <f t="shared" si="201"/>
        <v>-3.5497007189795351</v>
      </c>
      <c r="AX810" s="58">
        <f t="shared" si="216"/>
        <v>19.21071561680251</v>
      </c>
      <c r="AY810" s="33">
        <f t="shared" si="202"/>
        <v>-0.86855692552428276</v>
      </c>
      <c r="AZ810" s="33">
        <f t="shared" si="203"/>
        <v>7.8600841391256537</v>
      </c>
      <c r="BA810" s="39">
        <f t="shared" si="204"/>
        <v>-0.64426563069061982</v>
      </c>
      <c r="BB810" s="39">
        <f t="shared" si="205"/>
        <v>2.4358957482451142</v>
      </c>
      <c r="BC810" s="45">
        <f t="shared" si="206"/>
        <v>-2.0368781627646326</v>
      </c>
      <c r="BD810" s="45">
        <f t="shared" si="207"/>
        <v>8.9147357294317437</v>
      </c>
      <c r="BE810" s="64">
        <f t="shared" si="208"/>
        <v>66061828779.480469</v>
      </c>
      <c r="BF810" s="65">
        <f t="shared" si="209"/>
        <v>71203828734.181335</v>
      </c>
      <c r="BG810" s="66">
        <f t="shared" si="210"/>
        <v>57108431121.18705</v>
      </c>
    </row>
    <row r="811" spans="43:59" x14ac:dyDescent="0.25">
      <c r="AQ811" s="7">
        <v>796</v>
      </c>
      <c r="AR811" s="58">
        <f t="shared" si="211"/>
        <v>398</v>
      </c>
      <c r="AS811" s="58">
        <f t="shared" si="212"/>
        <v>48662.05140930217</v>
      </c>
      <c r="AT811" s="58">
        <f t="shared" si="213"/>
        <v>-248774.56945556888</v>
      </c>
      <c r="AU811" s="58">
        <f t="shared" si="214"/>
        <v>863.21037001066225</v>
      </c>
      <c r="AV811" s="58">
        <f t="shared" si="215"/>
        <v>-1604.434726510576</v>
      </c>
      <c r="AW811" s="58">
        <f t="shared" si="201"/>
        <v>-3.5460261081125566</v>
      </c>
      <c r="AX811" s="58">
        <f t="shared" si="216"/>
        <v>19.074252752814246</v>
      </c>
      <c r="AY811" s="33">
        <f t="shared" si="202"/>
        <v>-0.87319746775394647</v>
      </c>
      <c r="AZ811" s="33">
        <f t="shared" si="203"/>
        <v>7.8074769283858423</v>
      </c>
      <c r="BA811" s="39">
        <f t="shared" si="204"/>
        <v>-0.64191667719193135</v>
      </c>
      <c r="BB811" s="39">
        <f t="shared" si="205"/>
        <v>2.4192652033723978</v>
      </c>
      <c r="BC811" s="45">
        <f t="shared" si="206"/>
        <v>-2.030911963166679</v>
      </c>
      <c r="BD811" s="45">
        <f t="shared" si="207"/>
        <v>8.8475106210560082</v>
      </c>
      <c r="BE811" s="64">
        <f t="shared" si="208"/>
        <v>66498168140.626678</v>
      </c>
      <c r="BF811" s="65">
        <f t="shared" si="209"/>
        <v>71678755100.648697</v>
      </c>
      <c r="BG811" s="66">
        <f t="shared" si="210"/>
        <v>57530165085.591187</v>
      </c>
    </row>
    <row r="812" spans="43:59" x14ac:dyDescent="0.25">
      <c r="AQ812" s="7">
        <v>797</v>
      </c>
      <c r="AR812" s="58">
        <f t="shared" si="211"/>
        <v>398.5</v>
      </c>
      <c r="AS812" s="58">
        <f t="shared" si="212"/>
        <v>49093.213341043993</v>
      </c>
      <c r="AT812" s="58">
        <f t="shared" si="213"/>
        <v>-249574.40253723008</v>
      </c>
      <c r="AU812" s="58">
        <f t="shared" si="214"/>
        <v>861.43735695660598</v>
      </c>
      <c r="AV812" s="58">
        <f t="shared" si="215"/>
        <v>-1594.8976001341689</v>
      </c>
      <c r="AW812" s="58">
        <f t="shared" si="201"/>
        <v>-3.5423036026054193</v>
      </c>
      <c r="AX812" s="58">
        <f t="shared" si="216"/>
        <v>18.939899765326313</v>
      </c>
      <c r="AY812" s="33">
        <f t="shared" si="202"/>
        <v>-0.87770966672263029</v>
      </c>
      <c r="AZ812" s="33">
        <f t="shared" si="203"/>
        <v>7.7556468420608873</v>
      </c>
      <c r="BA812" s="39">
        <f t="shared" si="204"/>
        <v>-0.63959728911711022</v>
      </c>
      <c r="BB812" s="39">
        <f t="shared" si="205"/>
        <v>2.4028855535711764</v>
      </c>
      <c r="BC812" s="45">
        <f t="shared" si="206"/>
        <v>-2.0249966467656786</v>
      </c>
      <c r="BD812" s="45">
        <f t="shared" si="207"/>
        <v>8.7813673696942498</v>
      </c>
      <c r="BE812" s="64">
        <f t="shared" si="208"/>
        <v>66933663502.38131</v>
      </c>
      <c r="BF812" s="65">
        <f t="shared" si="209"/>
        <v>72152742582.350983</v>
      </c>
      <c r="BG812" s="66">
        <f t="shared" si="210"/>
        <v>57951226055.258156</v>
      </c>
    </row>
    <row r="813" spans="43:59" x14ac:dyDescent="0.25">
      <c r="AQ813" s="7">
        <v>798</v>
      </c>
      <c r="AR813" s="58">
        <f t="shared" si="211"/>
        <v>399</v>
      </c>
      <c r="AS813" s="58">
        <f t="shared" si="212"/>
        <v>49523.48923157197</v>
      </c>
      <c r="AT813" s="58">
        <f t="shared" si="213"/>
        <v>-250369.4838498265</v>
      </c>
      <c r="AU813" s="58">
        <f t="shared" si="214"/>
        <v>859.66620515530326</v>
      </c>
      <c r="AV813" s="58">
        <f t="shared" si="215"/>
        <v>-1585.4276502515058</v>
      </c>
      <c r="AW813" s="58">
        <f t="shared" si="201"/>
        <v>-3.5385366215722653</v>
      </c>
      <c r="AX813" s="58">
        <f t="shared" si="216"/>
        <v>18.807611128085806</v>
      </c>
      <c r="AY813" s="33">
        <f t="shared" si="202"/>
        <v>-0.8820974889584432</v>
      </c>
      <c r="AZ813" s="33">
        <f t="shared" si="203"/>
        <v>7.7045779514330945</v>
      </c>
      <c r="BA813" s="39">
        <f t="shared" si="204"/>
        <v>-0.63730698881770165</v>
      </c>
      <c r="BB813" s="39">
        <f t="shared" si="205"/>
        <v>2.3867514931485587</v>
      </c>
      <c r="BC813" s="45">
        <f t="shared" si="206"/>
        <v>-2.0191321437961207</v>
      </c>
      <c r="BD813" s="45">
        <f t="shared" si="207"/>
        <v>8.7162816835041532</v>
      </c>
      <c r="BE813" s="64">
        <f t="shared" si="208"/>
        <v>67368307117.382675</v>
      </c>
      <c r="BF813" s="65">
        <f t="shared" si="209"/>
        <v>72625783675.157562</v>
      </c>
      <c r="BG813" s="66">
        <f t="shared" si="210"/>
        <v>58371604805.719086</v>
      </c>
    </row>
    <row r="814" spans="43:59" x14ac:dyDescent="0.25">
      <c r="AQ814" s="7">
        <v>799</v>
      </c>
      <c r="AR814" s="58">
        <f t="shared" si="211"/>
        <v>399.5</v>
      </c>
      <c r="AS814" s="58">
        <f t="shared" si="212"/>
        <v>49952.880017071926</v>
      </c>
      <c r="AT814" s="58">
        <f t="shared" si="213"/>
        <v>-251159.84672356123</v>
      </c>
      <c r="AU814" s="58">
        <f t="shared" si="214"/>
        <v>857.89693684451709</v>
      </c>
      <c r="AV814" s="58">
        <f t="shared" si="215"/>
        <v>-1576.023844687463</v>
      </c>
      <c r="AW814" s="58">
        <f t="shared" si="201"/>
        <v>-3.534728437104695</v>
      </c>
      <c r="AX814" s="58">
        <f t="shared" si="216"/>
        <v>18.677342596771815</v>
      </c>
      <c r="AY814" s="33">
        <f t="shared" si="202"/>
        <v>-0.88636476502078854</v>
      </c>
      <c r="AZ814" s="33">
        <f t="shared" si="203"/>
        <v>7.6542547538256649</v>
      </c>
      <c r="BA814" s="39">
        <f t="shared" si="204"/>
        <v>-0.63504530935124914</v>
      </c>
      <c r="BB814" s="39">
        <f t="shared" si="205"/>
        <v>2.3708578633533546</v>
      </c>
      <c r="BC814" s="45">
        <f t="shared" si="206"/>
        <v>-2.0133183627326572</v>
      </c>
      <c r="BD814" s="45">
        <f t="shared" si="207"/>
        <v>8.6522299795927964</v>
      </c>
      <c r="BE814" s="64">
        <f t="shared" si="208"/>
        <v>67802091328.373299</v>
      </c>
      <c r="BF814" s="65">
        <f t="shared" si="209"/>
        <v>73097870963.356857</v>
      </c>
      <c r="BG814" s="66">
        <f t="shared" si="210"/>
        <v>58791292226.666634</v>
      </c>
    </row>
    <row r="815" spans="43:59" x14ac:dyDescent="0.25">
      <c r="AQ815" s="7">
        <v>800</v>
      </c>
      <c r="AR815" s="58">
        <f t="shared" si="211"/>
        <v>400</v>
      </c>
      <c r="AS815" s="58">
        <f t="shared" si="212"/>
        <v>50381.386644439546</v>
      </c>
      <c r="AT815" s="58">
        <f t="shared" si="213"/>
        <v>-251945.52397808037</v>
      </c>
      <c r="AU815" s="58">
        <f t="shared" si="214"/>
        <v>856.12957262596478</v>
      </c>
      <c r="AV815" s="58">
        <f t="shared" si="215"/>
        <v>-1566.6851733890771</v>
      </c>
      <c r="AW815" s="58">
        <f t="shared" si="201"/>
        <v>-3.530882180862954</v>
      </c>
      <c r="AX815" s="58">
        <f t="shared" si="216"/>
        <v>18.549051164787471</v>
      </c>
      <c r="AY815" s="33">
        <f t="shared" si="202"/>
        <v>-0.89051519486758302</v>
      </c>
      <c r="AZ815" s="33">
        <f t="shared" si="203"/>
        <v>7.6046621586690426</v>
      </c>
      <c r="BA815" s="39">
        <f t="shared" si="204"/>
        <v>-0.63281179418443145</v>
      </c>
      <c r="BB815" s="39">
        <f t="shared" si="205"/>
        <v>2.3551996473807191</v>
      </c>
      <c r="BC815" s="45">
        <f t="shared" si="206"/>
        <v>-2.0075551918109396</v>
      </c>
      <c r="BD815" s="45">
        <f t="shared" si="207"/>
        <v>8.5891893587377073</v>
      </c>
      <c r="BE815" s="64">
        <f t="shared" si="208"/>
        <v>68235008566.6996</v>
      </c>
      <c r="BF815" s="65">
        <f t="shared" si="209"/>
        <v>73568997118.145172</v>
      </c>
      <c r="BG815" s="66">
        <f t="shared" si="210"/>
        <v>59210279319.907959</v>
      </c>
    </row>
    <row r="816" spans="43:59" x14ac:dyDescent="0.25">
      <c r="AQ816" s="7">
        <v>801</v>
      </c>
      <c r="AR816" s="58">
        <f t="shared" si="211"/>
        <v>400.5</v>
      </c>
      <c r="AS816" s="58">
        <f t="shared" si="212"/>
        <v>50809.010070479926</v>
      </c>
      <c r="AT816" s="58">
        <f t="shared" si="213"/>
        <v>-252726.5479333793</v>
      </c>
      <c r="AU816" s="58">
        <f t="shared" si="214"/>
        <v>854.36413153553326</v>
      </c>
      <c r="AV816" s="58">
        <f t="shared" si="215"/>
        <v>-1557.4106478066833</v>
      </c>
      <c r="AW816" s="58">
        <f t="shared" si="201"/>
        <v>-3.5270008503447774</v>
      </c>
      <c r="AX816" s="58">
        <f t="shared" si="216"/>
        <v>18.422695020854544</v>
      </c>
      <c r="AY816" s="33">
        <f t="shared" si="202"/>
        <v>-0.89455235298160818</v>
      </c>
      <c r="AZ816" s="33">
        <f t="shared" si="203"/>
        <v>7.5557854741049617</v>
      </c>
      <c r="BA816" s="39">
        <f t="shared" si="204"/>
        <v>-0.6306059969061294</v>
      </c>
      <c r="BB816" s="39">
        <f t="shared" si="205"/>
        <v>2.3397719655779352</v>
      </c>
      <c r="BC816" s="45">
        <f t="shared" si="206"/>
        <v>-2.0018425004570397</v>
      </c>
      <c r="BD816" s="45">
        <f t="shared" si="207"/>
        <v>8.5271375811716474</v>
      </c>
      <c r="BE816" s="64">
        <f t="shared" si="208"/>
        <v>68667051350.846291</v>
      </c>
      <c r="BF816" s="65">
        <f t="shared" si="209"/>
        <v>74039154896.151581</v>
      </c>
      <c r="BG816" s="66">
        <f t="shared" si="210"/>
        <v>59628557197.368217</v>
      </c>
    </row>
    <row r="817" spans="43:59" x14ac:dyDescent="0.25">
      <c r="AQ817" s="7">
        <v>802</v>
      </c>
      <c r="AR817" s="58">
        <f t="shared" si="211"/>
        <v>401</v>
      </c>
      <c r="AS817" s="58">
        <f t="shared" si="212"/>
        <v>51235.751261141399</v>
      </c>
      <c r="AT817" s="58">
        <f t="shared" si="213"/>
        <v>-253502.95042040505</v>
      </c>
      <c r="AU817" s="58">
        <f t="shared" si="214"/>
        <v>852.60063111036084</v>
      </c>
      <c r="AV817" s="58">
        <f t="shared" si="215"/>
        <v>-1548.1993002962561</v>
      </c>
      <c r="AW817" s="58">
        <f t="shared" si="201"/>
        <v>-3.5230873148487269</v>
      </c>
      <c r="AX817" s="58">
        <f t="shared" si="216"/>
        <v>18.298233508324039</v>
      </c>
      <c r="AY817" s="33">
        <f t="shared" si="202"/>
        <v>-0.89847969326815658</v>
      </c>
      <c r="AZ817" s="33">
        <f t="shared" si="203"/>
        <v>7.5076103941045478</v>
      </c>
      <c r="BA817" s="39">
        <f t="shared" si="204"/>
        <v>-0.62842748094997314</v>
      </c>
      <c r="BB817" s="39">
        <f t="shared" si="205"/>
        <v>2.3245700708418071</v>
      </c>
      <c r="BC817" s="45">
        <f t="shared" si="206"/>
        <v>-1.996180140630597</v>
      </c>
      <c r="BD817" s="45">
        <f t="shared" si="207"/>
        <v>8.4660530433776824</v>
      </c>
      <c r="BE817" s="64">
        <f t="shared" si="208"/>
        <v>69098212285.004318</v>
      </c>
      <c r="BF817" s="65">
        <f t="shared" si="209"/>
        <v>74508337137.997635</v>
      </c>
      <c r="BG817" s="66">
        <f t="shared" si="210"/>
        <v>60046117079.143158</v>
      </c>
    </row>
    <row r="818" spans="43:59" x14ac:dyDescent="0.25">
      <c r="AQ818" s="7">
        <v>803</v>
      </c>
      <c r="AR818" s="58">
        <f t="shared" si="211"/>
        <v>401.5</v>
      </c>
      <c r="AS818" s="58">
        <f t="shared" si="212"/>
        <v>51661.61119078222</v>
      </c>
      <c r="AT818" s="58">
        <f t="shared" si="213"/>
        <v>-254274.76279136463</v>
      </c>
      <c r="AU818" s="58">
        <f t="shared" si="214"/>
        <v>850.8390874529365</v>
      </c>
      <c r="AV818" s="58">
        <f t="shared" si="215"/>
        <v>-1539.0501835420941</v>
      </c>
      <c r="AW818" s="58">
        <f t="shared" si="201"/>
        <v>-3.5191443211491009</v>
      </c>
      <c r="AX818" s="58">
        <f t="shared" si="216"/>
        <v>18.17562708612558</v>
      </c>
      <c r="AY818" s="33">
        <f t="shared" si="202"/>
        <v>-0.90230055373548157</v>
      </c>
      <c r="AZ818" s="33">
        <f t="shared" si="203"/>
        <v>7.4601229860781189</v>
      </c>
      <c r="BA818" s="39">
        <f t="shared" si="204"/>
        <v>-0.6262758193260457</v>
      </c>
      <c r="BB818" s="39">
        <f t="shared" si="205"/>
        <v>2.3095893441989417</v>
      </c>
      <c r="BC818" s="45">
        <f t="shared" si="206"/>
        <v>-1.990567948087574</v>
      </c>
      <c r="BD818" s="45">
        <f t="shared" si="207"/>
        <v>8.4059147558485172</v>
      </c>
      <c r="BE818" s="64">
        <f t="shared" si="208"/>
        <v>69528484057.671478</v>
      </c>
      <c r="BF818" s="65">
        <f t="shared" si="209"/>
        <v>74976536766.890884</v>
      </c>
      <c r="BG818" s="66">
        <f t="shared" si="210"/>
        <v>60462950291.599182</v>
      </c>
    </row>
    <row r="819" spans="43:59" x14ac:dyDescent="0.25">
      <c r="AQ819" s="7">
        <v>804</v>
      </c>
      <c r="AR819" s="58">
        <f t="shared" si="211"/>
        <v>402</v>
      </c>
      <c r="AS819" s="58">
        <f t="shared" si="212"/>
        <v>52086.590841468547</v>
      </c>
      <c r="AT819" s="58">
        <f t="shared" si="213"/>
        <v>-255042.0159297499</v>
      </c>
      <c r="AU819" s="58">
        <f t="shared" si="214"/>
        <v>849.07951529236198</v>
      </c>
      <c r="AV819" s="58">
        <f t="shared" si="215"/>
        <v>-1529.9623699990314</v>
      </c>
      <c r="AW819" s="58">
        <f t="shared" si="201"/>
        <v>-3.515174498897073</v>
      </c>
      <c r="AX819" s="58">
        <f t="shared" si="216"/>
        <v>18.054837291276428</v>
      </c>
      <c r="AY819" s="33">
        <f t="shared" si="202"/>
        <v>-0.90601816096878196</v>
      </c>
      <c r="AZ819" s="33">
        <f t="shared" si="203"/>
        <v>7.41330967895441</v>
      </c>
      <c r="BA819" s="39">
        <f t="shared" si="204"/>
        <v>-0.62415059436139331</v>
      </c>
      <c r="BB819" s="39">
        <f t="shared" si="205"/>
        <v>2.2948252905605884</v>
      </c>
      <c r="BC819" s="45">
        <f t="shared" si="206"/>
        <v>-1.9850057435668975</v>
      </c>
      <c r="BD819" s="45">
        <f t="shared" si="207"/>
        <v>8.3467023217614305</v>
      </c>
      <c r="BE819" s="64">
        <f t="shared" si="208"/>
        <v>69957859440.284882</v>
      </c>
      <c r="BF819" s="65">
        <f t="shared" si="209"/>
        <v>75443746787.251114</v>
      </c>
      <c r="BG819" s="66">
        <f t="shared" si="210"/>
        <v>60879048265.519547</v>
      </c>
    </row>
    <row r="820" spans="43:59" x14ac:dyDescent="0.25">
      <c r="AQ820" s="7">
        <v>805</v>
      </c>
      <c r="AR820" s="58">
        <f t="shared" si="211"/>
        <v>402.5</v>
      </c>
      <c r="AS820" s="58">
        <f t="shared" si="212"/>
        <v>52510.691202302369</v>
      </c>
      <c r="AT820" s="58">
        <f t="shared" si="213"/>
        <v>-255804.740260088</v>
      </c>
      <c r="AU820" s="58">
        <f t="shared" si="214"/>
        <v>847.32192804291344</v>
      </c>
      <c r="AV820" s="58">
        <f t="shared" si="215"/>
        <v>-1520.9349513533932</v>
      </c>
      <c r="AW820" s="58">
        <f t="shared" si="201"/>
        <v>-3.511180365763225</v>
      </c>
      <c r="AX820" s="58">
        <f t="shared" si="216"/>
        <v>17.935826702881315</v>
      </c>
      <c r="AY820" s="33">
        <f t="shared" si="202"/>
        <v>-0.90963563440803508</v>
      </c>
      <c r="AZ820" s="33">
        <f t="shared" si="203"/>
        <v>7.3671572517094353</v>
      </c>
      <c r="BA820" s="39">
        <f t="shared" si="204"/>
        <v>-0.62205139744896043</v>
      </c>
      <c r="BB820" s="39">
        <f t="shared" si="205"/>
        <v>2.2802735346438907</v>
      </c>
      <c r="BC820" s="45">
        <f t="shared" si="206"/>
        <v>-1.9794933339062295</v>
      </c>
      <c r="BD820" s="45">
        <f t="shared" si="207"/>
        <v>8.2883959165279908</v>
      </c>
      <c r="BE820" s="64">
        <f t="shared" si="208"/>
        <v>70386331285.883865</v>
      </c>
      <c r="BF820" s="65">
        <f t="shared" si="209"/>
        <v>75909960283.3685</v>
      </c>
      <c r="BG820" s="66">
        <f t="shared" si="210"/>
        <v>61294402534.295029</v>
      </c>
    </row>
    <row r="821" spans="43:59" x14ac:dyDescent="0.25">
      <c r="AQ821" s="7">
        <v>806</v>
      </c>
      <c r="AR821" s="58">
        <f t="shared" si="211"/>
        <v>403</v>
      </c>
      <c r="AS821" s="58">
        <f t="shared" si="212"/>
        <v>52933.913268778109</v>
      </c>
      <c r="AT821" s="58">
        <f t="shared" si="213"/>
        <v>-256562.96575742683</v>
      </c>
      <c r="AU821" s="58">
        <f t="shared" si="214"/>
        <v>845.56633786003181</v>
      </c>
      <c r="AV821" s="58">
        <f t="shared" si="215"/>
        <v>-1511.9670380019525</v>
      </c>
      <c r="AW821" s="58">
        <f t="shared" si="201"/>
        <v>-3.5071643323346064</v>
      </c>
      <c r="AX821" s="58">
        <f t="shared" si="216"/>
        <v>17.818558907552461</v>
      </c>
      <c r="AY821" s="33">
        <f t="shared" si="202"/>
        <v>-0.91315599043928808</v>
      </c>
      <c r="AZ821" s="33">
        <f t="shared" si="203"/>
        <v>7.3216528223250874</v>
      </c>
      <c r="BA821" s="39">
        <f t="shared" si="204"/>
        <v>-0.61997782880468266</v>
      </c>
      <c r="BB821" s="39">
        <f t="shared" si="205"/>
        <v>2.2659298170522417</v>
      </c>
      <c r="BC821" s="45">
        <f t="shared" si="206"/>
        <v>-1.9740305130906359</v>
      </c>
      <c r="BD821" s="45">
        <f t="shared" si="207"/>
        <v>8.2309762681751319</v>
      </c>
      <c r="BE821" s="64">
        <f t="shared" si="208"/>
        <v>70813892527.80336</v>
      </c>
      <c r="BF821" s="65">
        <f t="shared" si="209"/>
        <v>76375170418.092743</v>
      </c>
      <c r="BG821" s="66">
        <f t="shared" si="210"/>
        <v>61709004732.158081</v>
      </c>
    </row>
    <row r="822" spans="43:59" x14ac:dyDescent="0.25">
      <c r="AQ822" s="7">
        <v>807</v>
      </c>
      <c r="AR822" s="58">
        <f t="shared" si="211"/>
        <v>403.5</v>
      </c>
      <c r="AS822" s="58">
        <f t="shared" si="212"/>
        <v>53356.258042166584</v>
      </c>
      <c r="AT822" s="58">
        <f t="shared" si="213"/>
        <v>-257316.72195656435</v>
      </c>
      <c r="AU822" s="58">
        <f t="shared" si="214"/>
        <v>843.81275569386446</v>
      </c>
      <c r="AV822" s="58">
        <f t="shared" si="215"/>
        <v>-1503.0577585481763</v>
      </c>
      <c r="AW822" s="58">
        <f t="shared" si="201"/>
        <v>-3.5031287067795196</v>
      </c>
      <c r="AX822" s="58">
        <f t="shared" si="216"/>
        <v>17.702998466186571</v>
      </c>
      <c r="AY822" s="33">
        <f t="shared" si="202"/>
        <v>-0.91658214630852952</v>
      </c>
      <c r="AZ822" s="33">
        <f t="shared" si="203"/>
        <v>7.276783837158824</v>
      </c>
      <c r="BA822" s="39">
        <f t="shared" si="204"/>
        <v>-0.61792949723238133</v>
      </c>
      <c r="BB822" s="39">
        <f t="shared" si="205"/>
        <v>2.2517899905073917</v>
      </c>
      <c r="BC822" s="45">
        <f t="shared" si="206"/>
        <v>-1.9686170632386084</v>
      </c>
      <c r="BD822" s="45">
        <f t="shared" si="207"/>
        <v>8.1744246385203549</v>
      </c>
      <c r="BE822" s="64">
        <f t="shared" si="208"/>
        <v>71240536178.39592</v>
      </c>
      <c r="BF822" s="65">
        <f t="shared" si="209"/>
        <v>76839370431.552063</v>
      </c>
      <c r="BG822" s="66">
        <f t="shared" si="210"/>
        <v>62122846592.458839</v>
      </c>
    </row>
    <row r="823" spans="43:59" x14ac:dyDescent="0.25">
      <c r="AQ823" s="7">
        <v>808</v>
      </c>
      <c r="AR823" s="58">
        <f t="shared" si="211"/>
        <v>404</v>
      </c>
      <c r="AS823" s="58">
        <f t="shared" si="212"/>
        <v>53777.726528925174</v>
      </c>
      <c r="AT823" s="58">
        <f t="shared" si="213"/>
        <v>-258066.03796103018</v>
      </c>
      <c r="AU823" s="58">
        <f t="shared" si="214"/>
        <v>842.06119134047469</v>
      </c>
      <c r="AV823" s="58">
        <f t="shared" si="215"/>
        <v>-1494.2062593150829</v>
      </c>
      <c r="AW823" s="58">
        <f t="shared" si="201"/>
        <v>-3.4990756992920824</v>
      </c>
      <c r="AX823" s="58">
        <f t="shared" si="216"/>
        <v>17.589110882037538</v>
      </c>
      <c r="AY823" s="33">
        <f t="shared" si="202"/>
        <v>-0.91991692386686774</v>
      </c>
      <c r="AZ823" s="33">
        <f t="shared" si="203"/>
        <v>7.2325380607075562</v>
      </c>
      <c r="BA823" s="39">
        <f t="shared" si="204"/>
        <v>-0.61590601989624694</v>
      </c>
      <c r="BB823" s="39">
        <f t="shared" si="205"/>
        <v>2.2378500162268362</v>
      </c>
      <c r="BC823" s="45">
        <f t="shared" si="206"/>
        <v>-1.9632527555289674</v>
      </c>
      <c r="BD823" s="45">
        <f t="shared" si="207"/>
        <v>8.1187228051031468</v>
      </c>
      <c r="BE823" s="64">
        <f t="shared" si="208"/>
        <v>71666255327.782166</v>
      </c>
      <c r="BF823" s="65">
        <f t="shared" si="209"/>
        <v>77302553639.901321</v>
      </c>
      <c r="BG823" s="66">
        <f t="shared" si="210"/>
        <v>62535919945.982071</v>
      </c>
    </row>
    <row r="824" spans="43:59" x14ac:dyDescent="0.25">
      <c r="AQ824" s="7">
        <v>809</v>
      </c>
      <c r="AR824" s="58">
        <f t="shared" si="211"/>
        <v>404.5</v>
      </c>
      <c r="AS824" s="58">
        <f t="shared" si="212"/>
        <v>54198.319740132996</v>
      </c>
      <c r="AT824" s="58">
        <f t="shared" si="213"/>
        <v>-258810.94245182746</v>
      </c>
      <c r="AU824" s="58">
        <f t="shared" si="214"/>
        <v>840.31165349082869</v>
      </c>
      <c r="AV824" s="58">
        <f t="shared" si="215"/>
        <v>-1485.4117038740642</v>
      </c>
      <c r="AW824" s="58">
        <f t="shared" si="201"/>
        <v>-3.4950074263277946</v>
      </c>
      <c r="AX824" s="58">
        <f t="shared" si="216"/>
        <v>17.476862570025283</v>
      </c>
      <c r="AY824" s="33">
        <f t="shared" si="202"/>
        <v>-0.92316305315504676</v>
      </c>
      <c r="AZ824" s="33">
        <f t="shared" si="203"/>
        <v>7.1889035657478439</v>
      </c>
      <c r="BA824" s="39">
        <f t="shared" si="204"/>
        <v>-0.61390702210049963</v>
      </c>
      <c r="BB824" s="39">
        <f t="shared" si="205"/>
        <v>2.2241059604395614</v>
      </c>
      <c r="BC824" s="45">
        <f t="shared" si="206"/>
        <v>-1.9579373510722482</v>
      </c>
      <c r="BD824" s="45">
        <f t="shared" si="207"/>
        <v>8.063853043837879</v>
      </c>
      <c r="BE824" s="64">
        <f t="shared" si="208"/>
        <v>72091043142.628922</v>
      </c>
      <c r="BF824" s="65">
        <f t="shared" si="209"/>
        <v>77764713434.098694</v>
      </c>
      <c r="BG824" s="66">
        <f t="shared" si="210"/>
        <v>62948216719.303345</v>
      </c>
    </row>
    <row r="825" spans="43:59" x14ac:dyDescent="0.25">
      <c r="AQ825" s="7">
        <v>810</v>
      </c>
      <c r="AR825" s="58">
        <f t="shared" si="211"/>
        <v>405</v>
      </c>
      <c r="AS825" s="58">
        <f t="shared" si="212"/>
        <v>54618.038690950125</v>
      </c>
      <c r="AT825" s="58">
        <f t="shared" si="213"/>
        <v>-259551.46369594324</v>
      </c>
      <c r="AU825" s="58">
        <f t="shared" si="214"/>
        <v>838.56414977766474</v>
      </c>
      <c r="AV825" s="58">
        <f t="shared" si="215"/>
        <v>-1476.6732725890515</v>
      </c>
      <c r="AW825" s="58">
        <f t="shared" si="201"/>
        <v>-3.490925914641279</v>
      </c>
      <c r="AX825" s="58">
        <f t="shared" si="216"/>
        <v>17.366220827227629</v>
      </c>
      <c r="AY825" s="33">
        <f t="shared" si="202"/>
        <v>-0.92632317583518464</v>
      </c>
      <c r="AZ825" s="33">
        <f t="shared" si="203"/>
        <v>7.1458687238376069</v>
      </c>
      <c r="BA825" s="39">
        <f t="shared" si="204"/>
        <v>-0.6119321370760894</v>
      </c>
      <c r="BB825" s="39">
        <f t="shared" si="205"/>
        <v>2.2105539910344993</v>
      </c>
      <c r="BC825" s="45">
        <f t="shared" si="206"/>
        <v>-1.9526706017300046</v>
      </c>
      <c r="BD825" s="45">
        <f t="shared" si="207"/>
        <v>8.0097981123555222</v>
      </c>
      <c r="BE825" s="64">
        <f t="shared" si="208"/>
        <v>72514892864.953812</v>
      </c>
      <c r="BF825" s="65">
        <f t="shared" si="209"/>
        <v>78225843278.709549</v>
      </c>
      <c r="BG825" s="66">
        <f t="shared" si="210"/>
        <v>63359728933.183876</v>
      </c>
    </row>
    <row r="826" spans="43:59" x14ac:dyDescent="0.25">
      <c r="AQ826" s="7">
        <v>811</v>
      </c>
      <c r="AR826" s="58">
        <f t="shared" si="211"/>
        <v>405.5</v>
      </c>
      <c r="AS826" s="58">
        <f t="shared" si="212"/>
        <v>55036.884400099625</v>
      </c>
      <c r="AT826" s="58">
        <f t="shared" si="213"/>
        <v>-260287.62955463436</v>
      </c>
      <c r="AU826" s="58">
        <f t="shared" si="214"/>
        <v>836.81868682034406</v>
      </c>
      <c r="AV826" s="58">
        <f t="shared" si="215"/>
        <v>-1467.9901621754377</v>
      </c>
      <c r="AW826" s="58">
        <f t="shared" si="201"/>
        <v>-3.486833105135938</v>
      </c>
      <c r="AX826" s="58">
        <f t="shared" si="216"/>
        <v>17.257153804500557</v>
      </c>
      <c r="AY826" s="33">
        <f t="shared" si="202"/>
        <v>-0.92939984847688106</v>
      </c>
      <c r="AZ826" s="33">
        <f t="shared" si="203"/>
        <v>7.103422196162871</v>
      </c>
      <c r="BA826" s="39">
        <f t="shared" si="204"/>
        <v>-0.6099810057740932</v>
      </c>
      <c r="BB826" s="39">
        <f t="shared" si="205"/>
        <v>2.1971903743355909</v>
      </c>
      <c r="BC826" s="45">
        <f t="shared" si="206"/>
        <v>-1.9474522508849634</v>
      </c>
      <c r="BD826" s="45">
        <f t="shared" si="207"/>
        <v>7.9565412340020947</v>
      </c>
      <c r="BE826" s="64">
        <f t="shared" si="208"/>
        <v>72937797810.956009</v>
      </c>
      <c r="BF826" s="65">
        <f t="shared" si="209"/>
        <v>78685936710.737152</v>
      </c>
      <c r="BG826" s="66">
        <f t="shared" si="210"/>
        <v>63770448701.002457</v>
      </c>
    </row>
    <row r="827" spans="43:59" x14ac:dyDescent="0.25">
      <c r="AQ827" s="7">
        <v>812</v>
      </c>
      <c r="AR827" s="58">
        <f t="shared" si="211"/>
        <v>406</v>
      </c>
      <c r="AS827" s="58">
        <f t="shared" si="212"/>
        <v>55454.857889371655</v>
      </c>
      <c r="AT827" s="58">
        <f t="shared" si="213"/>
        <v>-261019.46749149653</v>
      </c>
      <c r="AU827" s="58">
        <f t="shared" si="214"/>
        <v>835.07527026777609</v>
      </c>
      <c r="AV827" s="58">
        <f t="shared" si="215"/>
        <v>-1459.3615852731875</v>
      </c>
      <c r="AW827" s="58">
        <f t="shared" si="201"/>
        <v>-3.4827308565354249</v>
      </c>
      <c r="AX827" s="58">
        <f t="shared" si="216"/>
        <v>17.149630479178771</v>
      </c>
      <c r="AY827" s="33">
        <f t="shared" si="202"/>
        <v>-0.93239554570481831</v>
      </c>
      <c r="AZ827" s="33">
        <f t="shared" si="203"/>
        <v>7.0615529247165236</v>
      </c>
      <c r="BA827" s="39">
        <f t="shared" si="204"/>
        <v>-0.60805327666560671</v>
      </c>
      <c r="BB827" s="39">
        <f t="shared" si="205"/>
        <v>2.1840114719980774</v>
      </c>
      <c r="BC827" s="45">
        <f t="shared" si="206"/>
        <v>-1.9422820341649996</v>
      </c>
      <c r="BD827" s="45">
        <f t="shared" si="207"/>
        <v>7.90406608246417</v>
      </c>
      <c r="BE827" s="64">
        <f t="shared" si="208"/>
        <v>73359751369.872391</v>
      </c>
      <c r="BF827" s="65">
        <f t="shared" si="209"/>
        <v>79144987338.479614</v>
      </c>
      <c r="BG827" s="66">
        <f t="shared" si="210"/>
        <v>64180368227.22364</v>
      </c>
    </row>
    <row r="828" spans="43:59" x14ac:dyDescent="0.25">
      <c r="AQ828" s="7">
        <v>813</v>
      </c>
      <c r="AR828" s="58">
        <f t="shared" si="211"/>
        <v>406.5</v>
      </c>
      <c r="AS828" s="58">
        <f t="shared" si="212"/>
        <v>55871.960183148476</v>
      </c>
      <c r="AT828" s="58">
        <f t="shared" si="213"/>
        <v>-261747.00458032321</v>
      </c>
      <c r="AU828" s="58">
        <f t="shared" si="214"/>
        <v>833.33390483950836</v>
      </c>
      <c r="AV828" s="58">
        <f t="shared" si="215"/>
        <v>-1450.786770033598</v>
      </c>
      <c r="AW828" s="58">
        <f t="shared" si="201"/>
        <v>-3.4786209488859674</v>
      </c>
      <c r="AX828" s="58">
        <f t="shared" si="216"/>
        <v>17.043620628808661</v>
      </c>
      <c r="AY828" s="33">
        <f t="shared" si="202"/>
        <v>-0.93531266321423701</v>
      </c>
      <c r="AZ828" s="33">
        <f t="shared" si="203"/>
        <v>7.0202501237939012</v>
      </c>
      <c r="BA828" s="39">
        <f t="shared" si="204"/>
        <v>-0.60614860554786565</v>
      </c>
      <c r="BB828" s="39">
        <f t="shared" si="205"/>
        <v>2.1710137380206671</v>
      </c>
      <c r="BC828" s="45">
        <f t="shared" si="206"/>
        <v>-1.9371596801238649</v>
      </c>
      <c r="BD828" s="45">
        <f t="shared" si="207"/>
        <v>7.8523567669940908</v>
      </c>
      <c r="BE828" s="64">
        <f t="shared" si="208"/>
        <v>73780747002.858002</v>
      </c>
      <c r="BF828" s="65">
        <f t="shared" si="209"/>
        <v>79602988840.411484</v>
      </c>
      <c r="BG828" s="66">
        <f t="shared" si="210"/>
        <v>64589479805.900848</v>
      </c>
    </row>
    <row r="829" spans="43:59" x14ac:dyDescent="0.25">
      <c r="AQ829" s="7">
        <v>814</v>
      </c>
      <c r="AR829" s="58">
        <f t="shared" si="211"/>
        <v>407</v>
      </c>
      <c r="AS829" s="58">
        <f t="shared" si="212"/>
        <v>56288.192307949619</v>
      </c>
      <c r="AT829" s="58">
        <f t="shared" si="213"/>
        <v>-262470.26751276141</v>
      </c>
      <c r="AU829" s="58">
        <f t="shared" si="214"/>
        <v>831.5945943650654</v>
      </c>
      <c r="AV829" s="58">
        <f t="shared" si="215"/>
        <v>-1442.2649597191937</v>
      </c>
      <c r="AW829" s="58">
        <f t="shared" si="201"/>
        <v>-3.4745050868978793</v>
      </c>
      <c r="AX829" s="58">
        <f t="shared" si="216"/>
        <v>16.93909480586824</v>
      </c>
      <c r="AY829" s="33">
        <f t="shared" si="202"/>
        <v>-0.93815352066065338</v>
      </c>
      <c r="AZ829" s="33">
        <f t="shared" si="203"/>
        <v>6.9795032717932095</v>
      </c>
      <c r="BA829" s="39">
        <f t="shared" si="204"/>
        <v>-0.60426665535639068</v>
      </c>
      <c r="BB829" s="39">
        <f t="shared" si="205"/>
        <v>2.1581937158686686</v>
      </c>
      <c r="BC829" s="45">
        <f t="shared" si="206"/>
        <v>-1.9320849108808353</v>
      </c>
      <c r="BD829" s="45">
        <f t="shared" si="207"/>
        <v>7.8013978182063628</v>
      </c>
      <c r="BE829" s="64">
        <f t="shared" si="208"/>
        <v>74200778241.890686</v>
      </c>
      <c r="BF829" s="65">
        <f t="shared" si="209"/>
        <v>80059934964.090469</v>
      </c>
      <c r="BG829" s="66">
        <f t="shared" si="210"/>
        <v>64997775819.213905</v>
      </c>
    </row>
    <row r="830" spans="43:59" x14ac:dyDescent="0.25">
      <c r="AQ830" s="7">
        <v>815</v>
      </c>
      <c r="AR830" s="58">
        <f t="shared" si="211"/>
        <v>407.5</v>
      </c>
      <c r="AS830" s="58">
        <f t="shared" si="212"/>
        <v>56703.555291996287</v>
      </c>
      <c r="AT830" s="58">
        <f t="shared" si="213"/>
        <v>-263189.28260577022</v>
      </c>
      <c r="AU830" s="58">
        <f t="shared" si="214"/>
        <v>829.8573418216165</v>
      </c>
      <c r="AV830" s="58">
        <f t="shared" si="215"/>
        <v>-1433.7954123162597</v>
      </c>
      <c r="AW830" s="58">
        <f t="shared" si="201"/>
        <v>-3.4703849031345193</v>
      </c>
      <c r="AX830" s="58">
        <f t="shared" si="216"/>
        <v>16.836024313431562</v>
      </c>
      <c r="AY830" s="33">
        <f t="shared" si="202"/>
        <v>-0.94092036442956117</v>
      </c>
      <c r="AZ830" s="33">
        <f t="shared" si="203"/>
        <v>6.939302103307087</v>
      </c>
      <c r="BA830" s="39">
        <f t="shared" si="204"/>
        <v>-0.60240709598291864</v>
      </c>
      <c r="BB830" s="39">
        <f t="shared" si="205"/>
        <v>2.1455480357032588</v>
      </c>
      <c r="BC830" s="45">
        <f t="shared" si="206"/>
        <v>-1.9270574427220397</v>
      </c>
      <c r="BD830" s="45">
        <f t="shared" si="207"/>
        <v>7.751174174421215</v>
      </c>
      <c r="BE830" s="64">
        <f t="shared" si="208"/>
        <v>74619838688.699173</v>
      </c>
      <c r="BF830" s="65">
        <f t="shared" si="209"/>
        <v>80515819525.087708</v>
      </c>
      <c r="BG830" s="66">
        <f t="shared" si="210"/>
        <v>65405248736.039314</v>
      </c>
    </row>
    <row r="831" spans="43:59" x14ac:dyDescent="0.25">
      <c r="AQ831" s="7">
        <v>816</v>
      </c>
      <c r="AR831" s="58">
        <f t="shared" si="211"/>
        <v>408</v>
      </c>
      <c r="AS831" s="58">
        <f t="shared" si="212"/>
        <v>57118.0501647942</v>
      </c>
      <c r="AT831" s="58">
        <f t="shared" si="213"/>
        <v>-263904.07580888917</v>
      </c>
      <c r="AU831" s="58">
        <f t="shared" si="214"/>
        <v>828.12214937004921</v>
      </c>
      <c r="AV831" s="58">
        <f t="shared" si="215"/>
        <v>-1425.3774001595439</v>
      </c>
      <c r="AW831" s="58">
        <f t="shared" si="201"/>
        <v>-3.4662619610563459</v>
      </c>
      <c r="AX831" s="58">
        <f t="shared" si="216"/>
        <v>16.734381181737493</v>
      </c>
      <c r="AY831" s="33">
        <f t="shared" si="202"/>
        <v>-0.9436153702918717</v>
      </c>
      <c r="AZ831" s="33">
        <f t="shared" si="203"/>
        <v>6.89963660149464</v>
      </c>
      <c r="BA831" s="39">
        <f t="shared" si="204"/>
        <v>-0.60056960409892757</v>
      </c>
      <c r="BB831" s="39">
        <f t="shared" si="205"/>
        <v>2.1330734117124215</v>
      </c>
      <c r="BC831" s="45">
        <f t="shared" si="206"/>
        <v>-1.9220769866655465</v>
      </c>
      <c r="BD831" s="45">
        <f t="shared" si="207"/>
        <v>7.7016711685304315</v>
      </c>
      <c r="BE831" s="64">
        <f t="shared" si="208"/>
        <v>75037922013.71344</v>
      </c>
      <c r="BF831" s="65">
        <f t="shared" si="209"/>
        <v>80970636405.941422</v>
      </c>
      <c r="BG831" s="66">
        <f t="shared" si="210"/>
        <v>65811891110.553139</v>
      </c>
    </row>
    <row r="832" spans="43:59" x14ac:dyDescent="0.25">
      <c r="AQ832" s="7">
        <v>817</v>
      </c>
      <c r="AR832" s="58">
        <f t="shared" si="211"/>
        <v>408.5</v>
      </c>
      <c r="AS832" s="58">
        <f t="shared" si="212"/>
        <v>57531.677956734093</v>
      </c>
      <c r="AT832" s="58">
        <f t="shared" si="213"/>
        <v>-264614.67271132121</v>
      </c>
      <c r="AU832" s="58">
        <f t="shared" si="214"/>
        <v>826.38901838952108</v>
      </c>
      <c r="AV832" s="58">
        <f t="shared" si="215"/>
        <v>-1417.010209568675</v>
      </c>
      <c r="AW832" s="58">
        <f t="shared" si="201"/>
        <v>-3.4621377579272812</v>
      </c>
      <c r="AX832" s="58">
        <f t="shared" si="216"/>
        <v>16.634138145623659</v>
      </c>
      <c r="AY832" s="33">
        <f t="shared" si="202"/>
        <v>-0.94624064595023527</v>
      </c>
      <c r="AZ832" s="33">
        <f t="shared" si="203"/>
        <v>6.8604969907213604</v>
      </c>
      <c r="BA832" s="39">
        <f t="shared" si="204"/>
        <v>-0.59875386298456423</v>
      </c>
      <c r="BB832" s="39">
        <f t="shared" si="205"/>
        <v>2.1207666395392897</v>
      </c>
      <c r="BC832" s="45">
        <f t="shared" si="206"/>
        <v>-1.9171432489924818</v>
      </c>
      <c r="BD832" s="45">
        <f t="shared" si="207"/>
        <v>7.6528745153630107</v>
      </c>
      <c r="BE832" s="64">
        <f t="shared" si="208"/>
        <v>75455021955.03746</v>
      </c>
      <c r="BF832" s="65">
        <f t="shared" si="209"/>
        <v>81424379555.132797</v>
      </c>
      <c r="BG832" s="66">
        <f t="shared" si="210"/>
        <v>66217695580.864708</v>
      </c>
    </row>
    <row r="833" spans="43:59" x14ac:dyDescent="0.25">
      <c r="AQ833" s="7">
        <v>818</v>
      </c>
      <c r="AR833" s="58">
        <f t="shared" si="211"/>
        <v>409</v>
      </c>
      <c r="AS833" s="58">
        <f t="shared" si="212"/>
        <v>57944.439698709117</v>
      </c>
      <c r="AT833" s="58">
        <f t="shared" si="213"/>
        <v>-265321.09854883736</v>
      </c>
      <c r="AU833" s="58">
        <f t="shared" si="214"/>
        <v>824.65794951055739</v>
      </c>
      <c r="AV833" s="58">
        <f t="shared" si="215"/>
        <v>-1408.6931404958632</v>
      </c>
      <c r="AW833" s="58">
        <f t="shared" si="201"/>
        <v>-3.4580137275899778</v>
      </c>
      <c r="AX833" s="58">
        <f t="shared" si="216"/>
        <v>16.535268622788308</v>
      </c>
      <c r="AY833" s="33">
        <f t="shared" si="202"/>
        <v>-0.94879823348140058</v>
      </c>
      <c r="AZ833" s="33">
        <f t="shared" si="203"/>
        <v>6.8218737294570779</v>
      </c>
      <c r="BA833" s="39">
        <f t="shared" si="204"/>
        <v>-0.59695956236274594</v>
      </c>
      <c r="BB833" s="39">
        <f t="shared" si="205"/>
        <v>2.1086245938036603</v>
      </c>
      <c r="BC833" s="45">
        <f t="shared" si="206"/>
        <v>-1.9122559317458314</v>
      </c>
      <c r="BD833" s="45">
        <f t="shared" si="207"/>
        <v>7.6047702995275674</v>
      </c>
      <c r="BE833" s="64">
        <f t="shared" si="208"/>
        <v>75871132317.44339</v>
      </c>
      <c r="BF833" s="65">
        <f t="shared" si="209"/>
        <v>81877042986.08432</v>
      </c>
      <c r="BG833" s="66">
        <f t="shared" si="210"/>
        <v>66622654867.681175</v>
      </c>
    </row>
    <row r="834" spans="43:59" x14ac:dyDescent="0.25">
      <c r="AQ834" s="7">
        <v>819</v>
      </c>
      <c r="AR834" s="58">
        <f t="shared" si="211"/>
        <v>409.5</v>
      </c>
      <c r="AS834" s="58">
        <f t="shared" si="212"/>
        <v>58356.336421748449</v>
      </c>
      <c r="AT834" s="58">
        <f t="shared" si="213"/>
        <v>-266023.37821050745</v>
      </c>
      <c r="AU834" s="58">
        <f t="shared" si="214"/>
        <v>822.92894264676238</v>
      </c>
      <c r="AV834" s="58">
        <f t="shared" si="215"/>
        <v>-1400.425506184469</v>
      </c>
      <c r="AW834" s="58">
        <f t="shared" si="201"/>
        <v>-3.4538912431168711</v>
      </c>
      <c r="AX834" s="58">
        <f t="shared" si="216"/>
        <v>16.437746692846261</v>
      </c>
      <c r="AY834" s="33">
        <f t="shared" si="202"/>
        <v>-0.9512901116792688</v>
      </c>
      <c r="AZ834" s="33">
        <f t="shared" si="203"/>
        <v>6.7837575034206949</v>
      </c>
      <c r="BA834" s="39">
        <f t="shared" si="204"/>
        <v>-0.59518639823829123</v>
      </c>
      <c r="BB834" s="39">
        <f t="shared" si="205"/>
        <v>2.0966442257129163</v>
      </c>
      <c r="BC834" s="45">
        <f t="shared" si="206"/>
        <v>-1.907414733199311</v>
      </c>
      <c r="BD834" s="45">
        <f t="shared" si="207"/>
        <v>7.557344963712648</v>
      </c>
      <c r="BE834" s="64">
        <f t="shared" si="208"/>
        <v>76286246971.386658</v>
      </c>
      <c r="BF834" s="65">
        <f t="shared" si="209"/>
        <v>82328620776.179062</v>
      </c>
      <c r="BG834" s="66">
        <f t="shared" si="210"/>
        <v>67026761773.001236</v>
      </c>
    </row>
    <row r="835" spans="43:59" x14ac:dyDescent="0.25">
      <c r="AQ835" s="7">
        <v>820</v>
      </c>
      <c r="AR835" s="58">
        <f t="shared" si="211"/>
        <v>410</v>
      </c>
      <c r="AS835" s="58">
        <f t="shared" si="212"/>
        <v>58767.369156666435</v>
      </c>
      <c r="AT835" s="58">
        <f t="shared" si="213"/>
        <v>-266721.53624526307</v>
      </c>
      <c r="AU835" s="58">
        <f t="shared" si="214"/>
        <v>821.20199702520392</v>
      </c>
      <c r="AV835" s="58">
        <f t="shared" si="215"/>
        <v>-1392.2066328380458</v>
      </c>
      <c r="AW835" s="58">
        <f t="shared" si="201"/>
        <v>-3.4497716193426839</v>
      </c>
      <c r="AX835" s="58">
        <f t="shared" si="216"/>
        <v>16.341547077144241</v>
      </c>
      <c r="AY835" s="33">
        <f t="shared" si="202"/>
        <v>-0.95371819830324656</v>
      </c>
      <c r="AZ835" s="33">
        <f t="shared" si="203"/>
        <v>6.7461392189623997</v>
      </c>
      <c r="BA835" s="39">
        <f t="shared" si="204"/>
        <v>-0.59343407274190274</v>
      </c>
      <c r="BB835" s="39">
        <f t="shared" si="205"/>
        <v>2.0848225607586413</v>
      </c>
      <c r="BC835" s="45">
        <f t="shared" si="206"/>
        <v>-1.9026193482975347</v>
      </c>
      <c r="BD835" s="45">
        <f t="shared" si="207"/>
        <v>7.5105852974232015</v>
      </c>
      <c r="BE835" s="64">
        <f t="shared" si="208"/>
        <v>76700359852.041382</v>
      </c>
      <c r="BF835" s="65">
        <f t="shared" si="209"/>
        <v>82779107065.80101</v>
      </c>
      <c r="BG835" s="66">
        <f t="shared" si="210"/>
        <v>67430009178.83786</v>
      </c>
    </row>
    <row r="836" spans="43:59" x14ac:dyDescent="0.25">
      <c r="AQ836" s="7">
        <v>821</v>
      </c>
      <c r="AR836" s="58">
        <f t="shared" si="211"/>
        <v>410.5</v>
      </c>
      <c r="AS836" s="58">
        <f t="shared" si="212"/>
        <v>59177.538933726617</v>
      </c>
      <c r="AT836" s="58">
        <f t="shared" si="213"/>
        <v>-267415.59686829743</v>
      </c>
      <c r="AU836" s="58">
        <f t="shared" si="214"/>
        <v>819.47711121553255</v>
      </c>
      <c r="AV836" s="58">
        <f t="shared" si="215"/>
        <v>-1384.0358592994737</v>
      </c>
      <c r="AW836" s="58">
        <f t="shared" si="201"/>
        <v>-3.4456561152844358</v>
      </c>
      <c r="AX836" s="58">
        <f t="shared" si="216"/>
        <v>16.246645119304645</v>
      </c>
      <c r="AY836" s="33">
        <f t="shared" si="202"/>
        <v>-0.95608435223614074</v>
      </c>
      <c r="AZ836" s="33">
        <f t="shared" si="203"/>
        <v>6.7090099966735268</v>
      </c>
      <c r="BA836" s="39">
        <f t="shared" si="204"/>
        <v>-0.59170229397876206</v>
      </c>
      <c r="BB836" s="39">
        <f t="shared" si="205"/>
        <v>2.0731566964951287</v>
      </c>
      <c r="BC836" s="45">
        <f t="shared" si="206"/>
        <v>-1.8978694690695332</v>
      </c>
      <c r="BD836" s="45">
        <f t="shared" si="207"/>
        <v>7.4644784261359911</v>
      </c>
      <c r="BE836" s="64">
        <f t="shared" si="208"/>
        <v>77113464958.355896</v>
      </c>
      <c r="BF836" s="65">
        <f t="shared" si="209"/>
        <v>83228496057.395508</v>
      </c>
      <c r="BG836" s="66">
        <f t="shared" si="210"/>
        <v>67832390045.968842</v>
      </c>
    </row>
    <row r="837" spans="43:59" x14ac:dyDescent="0.25">
      <c r="AQ837" s="7">
        <v>822</v>
      </c>
      <c r="AR837" s="58">
        <f t="shared" si="211"/>
        <v>411</v>
      </c>
      <c r="AS837" s="58">
        <f t="shared" si="212"/>
        <v>59586.846782319968</v>
      </c>
      <c r="AT837" s="58">
        <f t="shared" si="213"/>
        <v>-268105.58396730723</v>
      </c>
      <c r="AU837" s="58">
        <f t="shared" si="214"/>
        <v>817.75428315789031</v>
      </c>
      <c r="AV837" s="58">
        <f t="shared" si="215"/>
        <v>-1375.9125367398215</v>
      </c>
      <c r="AW837" s="58">
        <f t="shared" si="201"/>
        <v>-3.4415459364543617</v>
      </c>
      <c r="AX837" s="58">
        <f t="shared" si="216"/>
        <v>16.153016766467424</v>
      </c>
      <c r="AY837" s="33">
        <f t="shared" si="202"/>
        <v>-0.95839037555575357</v>
      </c>
      <c r="AZ837" s="33">
        <f t="shared" si="203"/>
        <v>6.6723611652155617</v>
      </c>
      <c r="BA837" s="39">
        <f t="shared" si="204"/>
        <v>-0.58999077588171422</v>
      </c>
      <c r="BB837" s="39">
        <f t="shared" si="205"/>
        <v>2.0616438003969111</v>
      </c>
      <c r="BC837" s="45">
        <f t="shared" si="206"/>
        <v>-1.893164785016894</v>
      </c>
      <c r="BD837" s="45">
        <f t="shared" si="207"/>
        <v>7.4190118008549533</v>
      </c>
      <c r="BE837" s="64">
        <f t="shared" si="208"/>
        <v>77525556352.127304</v>
      </c>
      <c r="BF837" s="65">
        <f t="shared" si="209"/>
        <v>83676782014.549438</v>
      </c>
      <c r="BG837" s="66">
        <f t="shared" si="210"/>
        <v>68233897412.714485</v>
      </c>
    </row>
    <row r="838" spans="43:59" x14ac:dyDescent="0.25">
      <c r="AQ838" s="7">
        <v>823</v>
      </c>
      <c r="AR838" s="58">
        <f t="shared" si="211"/>
        <v>411.5</v>
      </c>
      <c r="AS838" s="58">
        <f t="shared" si="212"/>
        <v>59995.293730656856</v>
      </c>
      <c r="AT838" s="58">
        <f t="shared" si="213"/>
        <v>-268791.52110858134</v>
      </c>
      <c r="AU838" s="58">
        <f t="shared" si="214"/>
        <v>816.03351018966316</v>
      </c>
      <c r="AV838" s="58">
        <f t="shared" si="215"/>
        <v>-1367.8360283565878</v>
      </c>
      <c r="AW838" s="58">
        <f t="shared" si="201"/>
        <v>-3.4374422370708837</v>
      </c>
      <c r="AX838" s="58">
        <f t="shared" si="216"/>
        <v>16.06063855120086</v>
      </c>
      <c r="AY838" s="33">
        <f t="shared" si="202"/>
        <v>-0.96063801552394434</v>
      </c>
      <c r="AZ838" s="33">
        <f t="shared" si="203"/>
        <v>6.6361842553588986</v>
      </c>
      <c r="BA838" s="39">
        <f t="shared" si="204"/>
        <v>-0.58829923806871531</v>
      </c>
      <c r="BB838" s="39">
        <f t="shared" si="205"/>
        <v>2.0502811077914878</v>
      </c>
      <c r="BC838" s="45">
        <f t="shared" si="206"/>
        <v>-1.8885049834782242</v>
      </c>
      <c r="BD838" s="45">
        <f t="shared" si="207"/>
        <v>7.3741731880504728</v>
      </c>
      <c r="BE838" s="64">
        <f t="shared" si="208"/>
        <v>77936628157.095169</v>
      </c>
      <c r="BF838" s="65">
        <f t="shared" si="209"/>
        <v>84123959261.090607</v>
      </c>
      <c r="BG838" s="66">
        <f t="shared" si="210"/>
        <v>68634524393.741844</v>
      </c>
    </row>
    <row r="839" spans="43:59" x14ac:dyDescent="0.25">
      <c r="AQ839" s="7">
        <v>824</v>
      </c>
      <c r="AR839" s="58">
        <f t="shared" si="211"/>
        <v>412</v>
      </c>
      <c r="AS839" s="58">
        <f t="shared" si="212"/>
        <v>60402.880805472058</v>
      </c>
      <c r="AT839" s="58">
        <f t="shared" si="213"/>
        <v>-269473.43154294073</v>
      </c>
      <c r="AU839" s="58">
        <f t="shared" si="214"/>
        <v>814.31478907112773</v>
      </c>
      <c r="AV839" s="58">
        <f t="shared" si="215"/>
        <v>-1359.8057090809873</v>
      </c>
      <c r="AW839" s="58">
        <f t="shared" si="201"/>
        <v>-3.4333461221725212</v>
      </c>
      <c r="AX839" s="58">
        <f t="shared" si="216"/>
        <v>15.969487574053744</v>
      </c>
      <c r="AY839" s="33">
        <f t="shared" si="202"/>
        <v>-0.96282896649691097</v>
      </c>
      <c r="AZ839" s="33">
        <f t="shared" si="203"/>
        <v>6.6004709942236204</v>
      </c>
      <c r="BA839" s="39">
        <f t="shared" si="204"/>
        <v>-0.58662740570454863</v>
      </c>
      <c r="BB839" s="39">
        <f t="shared" si="205"/>
        <v>2.0390659198647172</v>
      </c>
      <c r="BC839" s="45">
        <f t="shared" si="206"/>
        <v>-1.8838897499710616</v>
      </c>
      <c r="BD839" s="45">
        <f t="shared" si="207"/>
        <v>7.3299506599654061</v>
      </c>
      <c r="BE839" s="64">
        <f t="shared" si="208"/>
        <v>78346674558.053253</v>
      </c>
      <c r="BF839" s="65">
        <f t="shared" si="209"/>
        <v>84570022180.205719</v>
      </c>
      <c r="BG839" s="66">
        <f t="shared" si="210"/>
        <v>69034264178.894531</v>
      </c>
    </row>
    <row r="840" spans="43:59" x14ac:dyDescent="0.25">
      <c r="AQ840" s="7">
        <v>825</v>
      </c>
      <c r="AR840" s="58">
        <f t="shared" si="211"/>
        <v>412.5</v>
      </c>
      <c r="AS840" s="58">
        <f t="shared" si="212"/>
        <v>60809.609031742351</v>
      </c>
      <c r="AT840" s="58">
        <f t="shared" si="213"/>
        <v>-270151.33821153449</v>
      </c>
      <c r="AU840" s="58">
        <f t="shared" si="214"/>
        <v>812.59811601004151</v>
      </c>
      <c r="AV840" s="58">
        <f t="shared" si="215"/>
        <v>-1351.8209652939604</v>
      </c>
      <c r="AW840" s="58">
        <f t="shared" si="201"/>
        <v>-3.4292586496395243</v>
      </c>
      <c r="AX840" s="58">
        <f t="shared" si="216"/>
        <v>15.879541486723511</v>
      </c>
      <c r="AY840" s="33">
        <f t="shared" si="202"/>
        <v>-0.96496487176023737</v>
      </c>
      <c r="AZ840" s="33">
        <f t="shared" si="203"/>
        <v>6.5652132997146913</v>
      </c>
      <c r="BA840" s="39">
        <f t="shared" si="204"/>
        <v>-0.58497500936656577</v>
      </c>
      <c r="BB840" s="39">
        <f t="shared" si="205"/>
        <v>2.027995601735618</v>
      </c>
      <c r="BC840" s="45">
        <f t="shared" si="206"/>
        <v>-1.8793187685127213</v>
      </c>
      <c r="BD840" s="45">
        <f t="shared" si="207"/>
        <v>7.2863325852732013</v>
      </c>
      <c r="BE840" s="64">
        <f t="shared" si="208"/>
        <v>78755689799.979584</v>
      </c>
      <c r="BF840" s="65">
        <f t="shared" si="209"/>
        <v>85014965213.57663</v>
      </c>
      <c r="BG840" s="66">
        <f t="shared" si="210"/>
        <v>69433110032.047638</v>
      </c>
    </row>
    <row r="841" spans="43:59" x14ac:dyDescent="0.25">
      <c r="AQ841" s="7">
        <v>826</v>
      </c>
      <c r="AR841" s="58">
        <f t="shared" si="211"/>
        <v>413</v>
      </c>
      <c r="AS841" s="58">
        <f t="shared" si="212"/>
        <v>61215.479432416163</v>
      </c>
      <c r="AT841" s="58">
        <f t="shared" si="213"/>
        <v>-270825.26375149563</v>
      </c>
      <c r="AU841" s="58">
        <f t="shared" si="214"/>
        <v>810.88348668522178</v>
      </c>
      <c r="AV841" s="58">
        <f t="shared" si="215"/>
        <v>-1343.8811945505986</v>
      </c>
      <c r="AW841" s="58">
        <f t="shared" si="201"/>
        <v>-3.4251808321274133</v>
      </c>
      <c r="AX841" s="58">
        <f t="shared" si="216"/>
        <v>15.790778475814008</v>
      </c>
      <c r="AY841" s="33">
        <f t="shared" si="202"/>
        <v>-0.96704732529190851</v>
      </c>
      <c r="AZ841" s="33">
        <f t="shared" si="203"/>
        <v>6.5304032751432279</v>
      </c>
      <c r="BA841" s="39">
        <f t="shared" si="204"/>
        <v>-0.58334178491434119</v>
      </c>
      <c r="BB841" s="39">
        <f t="shared" si="205"/>
        <v>2.0170675805978502</v>
      </c>
      <c r="BC841" s="45">
        <f t="shared" si="206"/>
        <v>-1.8747917219211638</v>
      </c>
      <c r="BD841" s="45">
        <f t="shared" si="207"/>
        <v>7.2433076200729305</v>
      </c>
      <c r="BE841" s="64">
        <f t="shared" si="208"/>
        <v>79163668187.183517</v>
      </c>
      <c r="BF841" s="65">
        <f t="shared" si="209"/>
        <v>85458782860.534302</v>
      </c>
      <c r="BG841" s="66">
        <f t="shared" si="210"/>
        <v>69831055289.98703</v>
      </c>
    </row>
    <row r="842" spans="43:59" x14ac:dyDescent="0.25">
      <c r="AQ842" s="7">
        <v>827</v>
      </c>
      <c r="AR842" s="58">
        <f t="shared" si="211"/>
        <v>413.5</v>
      </c>
      <c r="AS842" s="58">
        <f t="shared" si="212"/>
        <v>61620.493028154764</v>
      </c>
      <c r="AT842" s="58">
        <f t="shared" si="213"/>
        <v>-271495.23050146142</v>
      </c>
      <c r="AU842" s="58">
        <f t="shared" si="214"/>
        <v>809.17089626915811</v>
      </c>
      <c r="AV842" s="58">
        <f t="shared" si="215"/>
        <v>-1335.9858053126916</v>
      </c>
      <c r="AW842" s="58">
        <f t="shared" si="201"/>
        <v>-3.4211136389167938</v>
      </c>
      <c r="AX842" s="58">
        <f t="shared" si="216"/>
        <v>15.703177247160019</v>
      </c>
      <c r="AY842" s="33">
        <f t="shared" si="202"/>
        <v>-0.96907787345652119</v>
      </c>
      <c r="AZ842" s="33">
        <f t="shared" si="203"/>
        <v>6.4960332040270137</v>
      </c>
      <c r="BA842" s="39">
        <f t="shared" si="204"/>
        <v>-0.58172747336310682</v>
      </c>
      <c r="BB842" s="39">
        <f t="shared" si="205"/>
        <v>2.0062793439252342</v>
      </c>
      <c r="BC842" s="45">
        <f t="shared" si="206"/>
        <v>-1.8703082920971656</v>
      </c>
      <c r="BD842" s="45">
        <f t="shared" si="207"/>
        <v>7.2008646992077718</v>
      </c>
      <c r="BE842" s="64">
        <f t="shared" si="208"/>
        <v>79570604082.470276</v>
      </c>
      <c r="BF842" s="65">
        <f t="shared" si="209"/>
        <v>85901469677.22995</v>
      </c>
      <c r="BG842" s="66">
        <f t="shared" si="210"/>
        <v>70228093361.312241</v>
      </c>
    </row>
    <row r="843" spans="43:59" x14ac:dyDescent="0.25">
      <c r="AQ843" s="7">
        <v>828</v>
      </c>
      <c r="AR843" s="58">
        <f t="shared" si="211"/>
        <v>414</v>
      </c>
      <c r="AS843" s="58">
        <f t="shared" si="212"/>
        <v>62024.650837084482</v>
      </c>
      <c r="AT843" s="58">
        <f t="shared" si="213"/>
        <v>-272161.26050696184</v>
      </c>
      <c r="AU843" s="58">
        <f t="shared" si="214"/>
        <v>807.46033944969975</v>
      </c>
      <c r="AV843" s="58">
        <f t="shared" si="215"/>
        <v>-1328.1342166891116</v>
      </c>
      <c r="AW843" s="58">
        <f t="shared" si="201"/>
        <v>-3.417057997683326</v>
      </c>
      <c r="AX843" s="58">
        <f t="shared" si="216"/>
        <v>15.616717010695787</v>
      </c>
      <c r="AY843" s="33">
        <f t="shared" si="202"/>
        <v>-0.97105801663380853</v>
      </c>
      <c r="AZ843" s="33">
        <f t="shared" si="203"/>
        <v>6.4620955450641784</v>
      </c>
      <c r="BA843" s="39">
        <f t="shared" si="204"/>
        <v>-0.5801318207608881</v>
      </c>
      <c r="BB843" s="39">
        <f t="shared" si="205"/>
        <v>1.9956284377389166</v>
      </c>
      <c r="BC843" s="45">
        <f t="shared" si="206"/>
        <v>-1.8658681602886296</v>
      </c>
      <c r="BD843" s="45">
        <f t="shared" si="207"/>
        <v>7.1589930278926923</v>
      </c>
      <c r="BE843" s="64">
        <f t="shared" si="208"/>
        <v>79976491906.32164</v>
      </c>
      <c r="BF843" s="65">
        <f t="shared" si="209"/>
        <v>86343020275.823196</v>
      </c>
      <c r="BG843" s="66">
        <f t="shared" si="210"/>
        <v>70624217725.362579</v>
      </c>
    </row>
    <row r="844" spans="43:59" x14ac:dyDescent="0.25">
      <c r="AQ844" s="7">
        <v>829</v>
      </c>
      <c r="AR844" s="58">
        <f t="shared" si="211"/>
        <v>414.5</v>
      </c>
      <c r="AS844" s="58">
        <f t="shared" si="212"/>
        <v>62427.953874559622</v>
      </c>
      <c r="AT844" s="58">
        <f t="shared" si="213"/>
        <v>-272823.37552568008</v>
      </c>
      <c r="AU844" s="58">
        <f t="shared" si="214"/>
        <v>805.7518104508581</v>
      </c>
      <c r="AV844" s="58">
        <f t="shared" si="215"/>
        <v>-1320.3258581837636</v>
      </c>
      <c r="AW844" s="58">
        <f t="shared" si="201"/>
        <v>-3.4130147961915678</v>
      </c>
      <c r="AX844" s="58">
        <f t="shared" si="216"/>
        <v>15.531377465844914</v>
      </c>
      <c r="AY844" s="33">
        <f t="shared" si="202"/>
        <v>-0.97298921078410805</v>
      </c>
      <c r="AZ844" s="33">
        <f t="shared" si="203"/>
        <v>6.4285829272717816</v>
      </c>
      <c r="BA844" s="39">
        <f t="shared" si="204"/>
        <v>-0.57855457806909805</v>
      </c>
      <c r="BB844" s="39">
        <f t="shared" si="205"/>
        <v>1.9851124649333305</v>
      </c>
      <c r="BC844" s="45">
        <f t="shared" si="206"/>
        <v>-1.8614710073383618</v>
      </c>
      <c r="BD844" s="45">
        <f t="shared" si="207"/>
        <v>7.1176820736398021</v>
      </c>
      <c r="BE844" s="64">
        <f t="shared" si="208"/>
        <v>80381326136.093216</v>
      </c>
      <c r="BF844" s="65">
        <f t="shared" si="209"/>
        <v>86783429323.686386</v>
      </c>
      <c r="BG844" s="66">
        <f t="shared" si="210"/>
        <v>71019421931.165588</v>
      </c>
    </row>
    <row r="845" spans="43:59" x14ac:dyDescent="0.25">
      <c r="AQ845" s="7">
        <v>830</v>
      </c>
      <c r="AR845" s="58">
        <f t="shared" si="211"/>
        <v>415</v>
      </c>
      <c r="AS845" s="58">
        <f t="shared" si="212"/>
        <v>62830.403152935527</v>
      </c>
      <c r="AT845" s="58">
        <f t="shared" si="213"/>
        <v>-273481.59703258873</v>
      </c>
      <c r="AU845" s="58">
        <f t="shared" si="214"/>
        <v>804.04530305276228</v>
      </c>
      <c r="AV845" s="58">
        <f t="shared" si="215"/>
        <v>-1312.5601694508412</v>
      </c>
      <c r="AW845" s="58">
        <f t="shared" si="201"/>
        <v>-3.4089848839163341</v>
      </c>
      <c r="AX845" s="58">
        <f t="shared" si="216"/>
        <v>15.447138787411934</v>
      </c>
      <c r="AY845" s="33">
        <f t="shared" si="202"/>
        <v>-0.97487286895372249</v>
      </c>
      <c r="AZ845" s="33">
        <f t="shared" si="203"/>
        <v>6.395488145284582</v>
      </c>
      <c r="BA845" s="39">
        <f t="shared" si="204"/>
        <v>-0.57699550104664143</v>
      </c>
      <c r="BB845" s="39">
        <f t="shared" si="205"/>
        <v>1.9747290836592259</v>
      </c>
      <c r="BC845" s="45">
        <f t="shared" si="206"/>
        <v>-1.8571165139159704</v>
      </c>
      <c r="BD845" s="45">
        <f t="shared" si="207"/>
        <v>7.0769215584681264</v>
      </c>
      <c r="BE845" s="64">
        <f t="shared" si="208"/>
        <v>80785101305.227066</v>
      </c>
      <c r="BF845" s="65">
        <f t="shared" si="209"/>
        <v>87222691542.624847</v>
      </c>
      <c r="BG845" s="66">
        <f t="shared" si="210"/>
        <v>71413699596.407349</v>
      </c>
    </row>
    <row r="846" spans="43:59" x14ac:dyDescent="0.25">
      <c r="AQ846" s="7">
        <v>831</v>
      </c>
      <c r="AR846" s="58">
        <f t="shared" si="211"/>
        <v>415.5</v>
      </c>
      <c r="AS846" s="58">
        <f t="shared" si="212"/>
        <v>63231.999681351415</v>
      </c>
      <c r="AT846" s="58">
        <f t="shared" si="213"/>
        <v>-274135.94622496574</v>
      </c>
      <c r="AU846" s="58">
        <f t="shared" si="214"/>
        <v>802.34081061080406</v>
      </c>
      <c r="AV846" s="58">
        <f t="shared" si="215"/>
        <v>-1304.8366000571352</v>
      </c>
      <c r="AW846" s="58">
        <f t="shared" si="201"/>
        <v>-3.4049690735948914</v>
      </c>
      <c r="AX846" s="58">
        <f t="shared" si="216"/>
        <v>15.363981611955207</v>
      </c>
      <c r="AY846" s="33">
        <f t="shared" si="202"/>
        <v>-0.97671036272267231</v>
      </c>
      <c r="AZ846" s="33">
        <f t="shared" si="203"/>
        <v>6.3628041548072689</v>
      </c>
      <c r="BA846" s="39">
        <f t="shared" si="204"/>
        <v>-0.57545435013721069</v>
      </c>
      <c r="BB846" s="39">
        <f t="shared" si="205"/>
        <v>1.9644760057608441</v>
      </c>
      <c r="BC846" s="45">
        <f t="shared" si="206"/>
        <v>-1.8528043607350086</v>
      </c>
      <c r="BD846" s="45">
        <f t="shared" si="207"/>
        <v>7.0367014513870938</v>
      </c>
      <c r="BE846" s="64">
        <f t="shared" si="208"/>
        <v>81187812002.480164</v>
      </c>
      <c r="BF846" s="65">
        <f t="shared" si="209"/>
        <v>87660801708.113098</v>
      </c>
      <c r="BG846" s="66">
        <f t="shared" si="210"/>
        <v>71807044406.424271</v>
      </c>
    </row>
    <row r="847" spans="43:59" x14ac:dyDescent="0.25">
      <c r="AQ847" s="7">
        <v>832</v>
      </c>
      <c r="AR847" s="58">
        <f t="shared" si="211"/>
        <v>416</v>
      </c>
      <c r="AS847" s="58">
        <f t="shared" si="212"/>
        <v>63632.744465522621</v>
      </c>
      <c r="AT847" s="58">
        <f t="shared" si="213"/>
        <v>-274786.44402729277</v>
      </c>
      <c r="AU847" s="58">
        <f t="shared" si="214"/>
        <v>800.63832607400661</v>
      </c>
      <c r="AV847" s="58">
        <f t="shared" si="215"/>
        <v>-1297.1546092511576</v>
      </c>
      <c r="AW847" s="58">
        <f t="shared" si="201"/>
        <v>-3.4009681427132215</v>
      </c>
      <c r="AX847" s="58">
        <f t="shared" si="216"/>
        <v>15.281887024622126</v>
      </c>
      <c r="AY847" s="33">
        <f t="shared" si="202"/>
        <v>-0.97850302359727448</v>
      </c>
      <c r="AZ847" s="33">
        <f t="shared" si="203"/>
        <v>6.3305240682141513</v>
      </c>
      <c r="BA847" s="39">
        <f t="shared" si="204"/>
        <v>-0.57393089035987377</v>
      </c>
      <c r="BB847" s="39">
        <f t="shared" si="205"/>
        <v>1.9543509952658245</v>
      </c>
      <c r="BC847" s="45">
        <f t="shared" si="206"/>
        <v>-1.8485342287560731</v>
      </c>
      <c r="BD847" s="45">
        <f t="shared" si="207"/>
        <v>6.9970119611421495</v>
      </c>
      <c r="BE847" s="64">
        <f t="shared" si="208"/>
        <v>81589452871.167496</v>
      </c>
      <c r="BF847" s="65">
        <f t="shared" si="209"/>
        <v>88097754648.545761</v>
      </c>
      <c r="BG847" s="66">
        <f t="shared" si="210"/>
        <v>72199450113.215439</v>
      </c>
    </row>
    <row r="848" spans="43:59" x14ac:dyDescent="0.25">
      <c r="AQ848" s="7">
        <v>833</v>
      </c>
      <c r="AR848" s="58">
        <f t="shared" si="211"/>
        <v>416.5</v>
      </c>
      <c r="AS848" s="58">
        <f t="shared" si="212"/>
        <v>64032.638507541786</v>
      </c>
      <c r="AT848" s="58">
        <f t="shared" si="213"/>
        <v>-275433.11109604029</v>
      </c>
      <c r="AU848" s="58">
        <f t="shared" si="214"/>
        <v>798.93784200264997</v>
      </c>
      <c r="AV848" s="58">
        <f t="shared" si="215"/>
        <v>-1289.5136657388466</v>
      </c>
      <c r="AW848" s="58">
        <f t="shared" ref="AW848:AW911" si="217">(AY848+BA848+BC848)</f>
        <v>-3.3969828349292852</v>
      </c>
      <c r="AX848" s="58">
        <f t="shared" si="216"/>
        <v>15.200836546428404</v>
      </c>
      <c r="AY848" s="33">
        <f t="shared" ref="AY848:AY911" si="218">$H$27*(($H$23-AS848)/(BE848+$H$28^2)^(3/2))</f>
        <v>-0.98025214434996066</v>
      </c>
      <c r="AZ848" s="33">
        <f t="shared" ref="AZ848:AZ911" si="219">$H$27*(($I$23-AT848)/(BE848+$H$28^2)^(3/2))</f>
        <v>6.2986411502911901</v>
      </c>
      <c r="BA848" s="39">
        <f t="shared" ref="BA848:BA911" si="220">$H$35*(($H$31-AS848)/(BF848+$H$36^2)^(3/2))</f>
        <v>-0.57242489120270057</v>
      </c>
      <c r="BB848" s="39">
        <f t="shared" ref="BB848:BB911" si="221">$H$35*(($I$31-AT848)/(BF848+$H$36^2)^(3/2))</f>
        <v>1.9443518669253173</v>
      </c>
      <c r="BC848" s="45">
        <f t="shared" ref="BC848:BC911" si="222">$H$43*(($H$39-AS848)/(BG848+$H$44^2)^(3/2))</f>
        <v>-1.8443057993766239</v>
      </c>
      <c r="BD848" s="45">
        <f t="shared" ref="BD848:BD911" si="223">$H$43*(($I$39-AT848)/(BG848+$H$44^2)^(3/2))</f>
        <v>6.9578435292118961</v>
      </c>
      <c r="BE848" s="64">
        <f t="shared" ref="BE848:BE911" si="224">($H$23-AS848)^2+($I$23-AT848)^2</f>
        <v>81990018608.42012</v>
      </c>
      <c r="BF848" s="65">
        <f t="shared" ref="BF848:BF911" si="225">($H$31-AS848)^2+($I$31-AT848)^2</f>
        <v>88533545244.503677</v>
      </c>
      <c r="BG848" s="66">
        <f t="shared" ref="BG848:BG911" si="226">($H$39-AS848)^2+($I$39-AT848)^2</f>
        <v>72590910534.475403</v>
      </c>
    </row>
    <row r="849" spans="43:59" x14ac:dyDescent="0.25">
      <c r="AQ849" s="7">
        <v>834</v>
      </c>
      <c r="AR849" s="58">
        <f t="shared" ref="AR849:AR912" si="227">AR848+$H$9</f>
        <v>417</v>
      </c>
      <c r="AS849" s="58">
        <f t="shared" ref="AS849:AS912" si="228">AS848+(AU848*$H$9)+(AW848*$H$9^2)*(1/2)</f>
        <v>64431.682805688746</v>
      </c>
      <c r="AT849" s="58">
        <f t="shared" ref="AT849:AT912" si="229">AT848+(AV848*$H$9)+(AX848*$H$9^2)*(1/2)</f>
        <v>-276075.96782434144</v>
      </c>
      <c r="AU849" s="58">
        <f t="shared" ref="AU849:AU912" si="230">AU848+AW848*$H$9</f>
        <v>797.23935058518532</v>
      </c>
      <c r="AV849" s="58">
        <f t="shared" ref="AV849:AV912" si="231">AV848+AX848*$H$9</f>
        <v>-1281.9132474656324</v>
      </c>
      <c r="AW849" s="58">
        <f t="shared" si="217"/>
        <v>-3.3930138614365122</v>
      </c>
      <c r="AX849" s="58">
        <f t="shared" ref="AX849:AX912" si="232">(AZ849+BB849+BD849)</f>
        <v>15.120812121965331</v>
      </c>
      <c r="AY849" s="33">
        <f t="shared" si="218"/>
        <v>-0.98195898030858253</v>
      </c>
      <c r="AZ849" s="33">
        <f t="shared" si="219"/>
        <v>6.2671488141150826</v>
      </c>
      <c r="BA849" s="39">
        <f t="shared" si="220"/>
        <v>-0.57093612651936576</v>
      </c>
      <c r="BB849" s="39">
        <f t="shared" si="221"/>
        <v>1.9344764848024973</v>
      </c>
      <c r="BC849" s="45">
        <f t="shared" si="222"/>
        <v>-1.8401187546085638</v>
      </c>
      <c r="BD849" s="45">
        <f t="shared" si="223"/>
        <v>6.9191868230477507</v>
      </c>
      <c r="BE849" s="64">
        <f t="shared" si="224"/>
        <v>82389503964.457275</v>
      </c>
      <c r="BF849" s="65">
        <f t="shared" si="225"/>
        <v>88968168428.034073</v>
      </c>
      <c r="BG849" s="66">
        <f t="shared" si="226"/>
        <v>72981419552.646332</v>
      </c>
    </row>
    <row r="850" spans="43:59" x14ac:dyDescent="0.25">
      <c r="AQ850" s="7">
        <v>835</v>
      </c>
      <c r="AR850" s="58">
        <f t="shared" si="227"/>
        <v>417.5</v>
      </c>
      <c r="AS850" s="58">
        <f t="shared" si="228"/>
        <v>64829.878354248656</v>
      </c>
      <c r="AT850" s="58">
        <f t="shared" si="229"/>
        <v>-276715.03434655903</v>
      </c>
      <c r="AU850" s="58">
        <f t="shared" si="230"/>
        <v>795.54284365446711</v>
      </c>
      <c r="AV850" s="58">
        <f t="shared" si="231"/>
        <v>-1274.3528414046498</v>
      </c>
      <c r="AW850" s="58">
        <f t="shared" si="217"/>
        <v>-3.3890619022697885</v>
      </c>
      <c r="AX850" s="58">
        <f t="shared" si="232"/>
        <v>15.041796107516646</v>
      </c>
      <c r="AY850" s="33">
        <f t="shared" si="218"/>
        <v>-0.98362475059732202</v>
      </c>
      <c r="AZ850" s="33">
        <f t="shared" si="219"/>
        <v>6.2360406170642371</v>
      </c>
      <c r="BA850" s="39">
        <f t="shared" si="220"/>
        <v>-0.56946437442868825</v>
      </c>
      <c r="BB850" s="39">
        <f t="shared" si="221"/>
        <v>1.9247227609078099</v>
      </c>
      <c r="BC850" s="45">
        <f t="shared" si="222"/>
        <v>-1.8359727772437784</v>
      </c>
      <c r="BD850" s="45">
        <f t="shared" si="223"/>
        <v>6.8810327295445974</v>
      </c>
      <c r="BE850" s="64">
        <f t="shared" si="224"/>
        <v>82787903741.872452</v>
      </c>
      <c r="BF850" s="65">
        <f t="shared" si="225"/>
        <v>89401619181.945145</v>
      </c>
      <c r="BG850" s="66">
        <f t="shared" si="226"/>
        <v>73370971113.989731</v>
      </c>
    </row>
    <row r="851" spans="43:59" x14ac:dyDescent="0.25">
      <c r="AQ851" s="7">
        <v>836</v>
      </c>
      <c r="AR851" s="58">
        <f t="shared" si="227"/>
        <v>418</v>
      </c>
      <c r="AS851" s="58">
        <f t="shared" si="228"/>
        <v>65227.226143338106</v>
      </c>
      <c r="AT851" s="58">
        <f t="shared" si="229"/>
        <v>-277350.33054274792</v>
      </c>
      <c r="AU851" s="58">
        <f t="shared" si="230"/>
        <v>793.84831270333223</v>
      </c>
      <c r="AV851" s="58">
        <f t="shared" si="231"/>
        <v>-1266.8319433508914</v>
      </c>
      <c r="AW851" s="58">
        <f t="shared" si="217"/>
        <v>-3.3851276075569352</v>
      </c>
      <c r="AX851" s="58">
        <f t="shared" si="232"/>
        <v>14.963771259570482</v>
      </c>
      <c r="AY851" s="33">
        <f t="shared" si="218"/>
        <v>-0.98525063933115464</v>
      </c>
      <c r="AZ851" s="33">
        <f t="shared" si="219"/>
        <v>6.2053102569561904</v>
      </c>
      <c r="BA851" s="39">
        <f t="shared" si="220"/>
        <v>-0.5680094172168989</v>
      </c>
      <c r="BB851" s="39">
        <f t="shared" si="221"/>
        <v>1.9150886538788006</v>
      </c>
      <c r="BC851" s="45">
        <f t="shared" si="222"/>
        <v>-1.8318675510088813</v>
      </c>
      <c r="BD851" s="45">
        <f t="shared" si="223"/>
        <v>6.8433723487354916</v>
      </c>
      <c r="BE851" s="64">
        <f t="shared" si="224"/>
        <v>83185212794.933395</v>
      </c>
      <c r="BF851" s="65">
        <f t="shared" si="225"/>
        <v>89833892539.114182</v>
      </c>
      <c r="BG851" s="66">
        <f t="shared" si="226"/>
        <v>73759559227.676651</v>
      </c>
    </row>
    <row r="852" spans="43:59" x14ac:dyDescent="0.25">
      <c r="AQ852" s="7">
        <v>837</v>
      </c>
      <c r="AR852" s="58">
        <f t="shared" si="227"/>
        <v>418.5</v>
      </c>
      <c r="AS852" s="58">
        <f t="shared" si="228"/>
        <v>65623.727158738839</v>
      </c>
      <c r="AT852" s="58">
        <f t="shared" si="229"/>
        <v>-277981.87604301592</v>
      </c>
      <c r="AU852" s="58">
        <f t="shared" si="230"/>
        <v>792.15574889955371</v>
      </c>
      <c r="AV852" s="58">
        <f t="shared" si="231"/>
        <v>-1259.3500577211062</v>
      </c>
      <c r="AW852" s="58">
        <f t="shared" si="217"/>
        <v>-3.3812115987179547</v>
      </c>
      <c r="AX852" s="58">
        <f t="shared" si="232"/>
        <v>14.886720723711111</v>
      </c>
      <c r="AY852" s="33">
        <f t="shared" si="218"/>
        <v>-0.98683779676605121</v>
      </c>
      <c r="AZ852" s="33">
        <f t="shared" si="219"/>
        <v>6.174951568308396</v>
      </c>
      <c r="BA852" s="39">
        <f t="shared" si="220"/>
        <v>-0.56657104124268198</v>
      </c>
      <c r="BB852" s="39">
        <f t="shared" si="221"/>
        <v>1.9055721677032837</v>
      </c>
      <c r="BC852" s="45">
        <f t="shared" si="222"/>
        <v>-1.8278027607092218</v>
      </c>
      <c r="BD852" s="45">
        <f t="shared" si="223"/>
        <v>6.8061969876994324</v>
      </c>
      <c r="BE852" s="64">
        <f t="shared" si="224"/>
        <v>83581426028.894943</v>
      </c>
      <c r="BF852" s="65">
        <f t="shared" si="225"/>
        <v>90264983581.809143</v>
      </c>
      <c r="BG852" s="66">
        <f t="shared" si="226"/>
        <v>74147177964.896179</v>
      </c>
    </row>
    <row r="853" spans="43:59" x14ac:dyDescent="0.25">
      <c r="AQ853" s="7">
        <v>838</v>
      </c>
      <c r="AR853" s="58">
        <f t="shared" si="227"/>
        <v>419</v>
      </c>
      <c r="AS853" s="58">
        <f t="shared" si="228"/>
        <v>66019.382381738775</v>
      </c>
      <c r="AT853" s="58">
        <f t="shared" si="229"/>
        <v>-278609.69023178599</v>
      </c>
      <c r="AU853" s="58">
        <f t="shared" si="230"/>
        <v>790.46514310019472</v>
      </c>
      <c r="AV853" s="58">
        <f t="shared" si="231"/>
        <v>-1251.9066973592505</v>
      </c>
      <c r="AW853" s="58">
        <f t="shared" si="217"/>
        <v>-3.3773144696145607</v>
      </c>
      <c r="AX853" s="58">
        <f t="shared" si="232"/>
        <v>14.810628023875651</v>
      </c>
      <c r="AY853" s="33">
        <f t="shared" si="218"/>
        <v>-0.9883873404064164</v>
      </c>
      <c r="AZ853" s="33">
        <f t="shared" si="219"/>
        <v>6.1449585187156517</v>
      </c>
      <c r="BA853" s="39">
        <f t="shared" si="220"/>
        <v>-0.56514903684478413</v>
      </c>
      <c r="BB853" s="39">
        <f t="shared" si="221"/>
        <v>1.8961713504838158</v>
      </c>
      <c r="BC853" s="45">
        <f t="shared" si="222"/>
        <v>-1.82377809236336</v>
      </c>
      <c r="BD853" s="45">
        <f t="shared" si="223"/>
        <v>6.7694981546761843</v>
      </c>
      <c r="BE853" s="64">
        <f t="shared" si="224"/>
        <v>83976538399.325226</v>
      </c>
      <c r="BF853" s="65">
        <f t="shared" si="225"/>
        <v>90694887441.023254</v>
      </c>
      <c r="BG853" s="66">
        <f t="shared" si="226"/>
        <v>74533821457.981796</v>
      </c>
    </row>
    <row r="854" spans="43:59" x14ac:dyDescent="0.25">
      <c r="AQ854" s="7">
        <v>839</v>
      </c>
      <c r="AR854" s="58">
        <f t="shared" si="227"/>
        <v>419.5</v>
      </c>
      <c r="AS854" s="58">
        <f t="shared" si="228"/>
        <v>66414.192788980159</v>
      </c>
      <c r="AT854" s="58">
        <f t="shared" si="229"/>
        <v>-279233.79225196264</v>
      </c>
      <c r="AU854" s="58">
        <f t="shared" si="230"/>
        <v>788.77648586538749</v>
      </c>
      <c r="AV854" s="58">
        <f t="shared" si="231"/>
        <v>-1244.5013833473126</v>
      </c>
      <c r="AW854" s="58">
        <f t="shared" si="217"/>
        <v>-3.3734367876519999</v>
      </c>
      <c r="AX854" s="58">
        <f t="shared" si="232"/>
        <v>14.735477051962063</v>
      </c>
      <c r="AY854" s="33">
        <f t="shared" si="218"/>
        <v>-0.98990035607189708</v>
      </c>
      <c r="AZ854" s="33">
        <f t="shared" si="219"/>
        <v>6.1153252053422138</v>
      </c>
      <c r="BA854" s="39">
        <f t="shared" si="220"/>
        <v>-0.56374319825217678</v>
      </c>
      <c r="BB854" s="39">
        <f t="shared" si="221"/>
        <v>1.8868842932421659</v>
      </c>
      <c r="BC854" s="45">
        <f t="shared" si="222"/>
        <v>-1.8197932333279261</v>
      </c>
      <c r="BD854" s="45">
        <f t="shared" si="223"/>
        <v>6.7332675533776829</v>
      </c>
      <c r="BE854" s="64">
        <f t="shared" si="224"/>
        <v>84370544911.44429</v>
      </c>
      <c r="BF854" s="65">
        <f t="shared" si="225"/>
        <v>91123599295.822525</v>
      </c>
      <c r="BG854" s="66">
        <f t="shared" si="226"/>
        <v>74919483899.554977</v>
      </c>
    </row>
    <row r="855" spans="43:59" x14ac:dyDescent="0.25">
      <c r="AQ855" s="7">
        <v>840</v>
      </c>
      <c r="AR855" s="58">
        <f t="shared" si="227"/>
        <v>420</v>
      </c>
      <c r="AS855" s="58">
        <f t="shared" si="228"/>
        <v>66808.159352314397</v>
      </c>
      <c r="AT855" s="58">
        <f t="shared" si="229"/>
        <v>-279854.20100900478</v>
      </c>
      <c r="AU855" s="58">
        <f t="shared" si="230"/>
        <v>787.08976747156146</v>
      </c>
      <c r="AV855" s="58">
        <f t="shared" si="231"/>
        <v>-1237.1336448213317</v>
      </c>
      <c r="AW855" s="58">
        <f t="shared" si="217"/>
        <v>-3.3695790948355135</v>
      </c>
      <c r="AX855" s="58">
        <f t="shared" si="232"/>
        <v>14.661252057775153</v>
      </c>
      <c r="AY855" s="33">
        <f t="shared" si="218"/>
        <v>-0.99137789892494199</v>
      </c>
      <c r="AZ855" s="33">
        <f t="shared" si="219"/>
        <v>6.0860458515226163</v>
      </c>
      <c r="BA855" s="39">
        <f t="shared" si="220"/>
        <v>-0.56235332349667588</v>
      </c>
      <c r="BB855" s="39">
        <f t="shared" si="221"/>
        <v>1.8777091287622332</v>
      </c>
      <c r="BC855" s="45">
        <f t="shared" si="222"/>
        <v>-1.8158478724138958</v>
      </c>
      <c r="BD855" s="45">
        <f t="shared" si="223"/>
        <v>6.6974970774903033</v>
      </c>
      <c r="BE855" s="64">
        <f t="shared" si="224"/>
        <v>84763440619.475189</v>
      </c>
      <c r="BF855" s="65">
        <f t="shared" si="225"/>
        <v>91551114372.705353</v>
      </c>
      <c r="BG855" s="66">
        <f t="shared" si="226"/>
        <v>75304159541.685699</v>
      </c>
    </row>
    <row r="856" spans="43:59" x14ac:dyDescent="0.25">
      <c r="AQ856" s="7">
        <v>841</v>
      </c>
      <c r="AR856" s="58">
        <f t="shared" si="227"/>
        <v>420.5</v>
      </c>
      <c r="AS856" s="58">
        <f t="shared" si="228"/>
        <v>67201.283038663329</v>
      </c>
      <c r="AT856" s="58">
        <f t="shared" si="229"/>
        <v>-280470.93517490826</v>
      </c>
      <c r="AU856" s="58">
        <f t="shared" si="230"/>
        <v>785.40497792414374</v>
      </c>
      <c r="AV856" s="58">
        <f t="shared" si="231"/>
        <v>-1229.8030187924442</v>
      </c>
      <c r="AW856" s="58">
        <f t="shared" si="217"/>
        <v>-3.3657419087834546</v>
      </c>
      <c r="AX856" s="58">
        <f t="shared" si="232"/>
        <v>14.587937639298506</v>
      </c>
      <c r="AY856" s="33">
        <f t="shared" si="218"/>
        <v>-0.99282099446095018</v>
      </c>
      <c r="AZ856" s="33">
        <f t="shared" si="219"/>
        <v>6.0571148034686688</v>
      </c>
      <c r="BA856" s="39">
        <f t="shared" si="220"/>
        <v>-0.56097921432792575</v>
      </c>
      <c r="BB856" s="39">
        <f t="shared" si="221"/>
        <v>1.8686440304699403</v>
      </c>
      <c r="BC856" s="45">
        <f t="shared" si="222"/>
        <v>-1.8119416999945788</v>
      </c>
      <c r="BD856" s="45">
        <f t="shared" si="223"/>
        <v>6.6621788053598969</v>
      </c>
      <c r="BE856" s="64">
        <f t="shared" si="224"/>
        <v>85155220626.007217</v>
      </c>
      <c r="BF856" s="65">
        <f t="shared" si="225"/>
        <v>91977427944.974823</v>
      </c>
      <c r="BG856" s="66">
        <f t="shared" si="226"/>
        <v>75687842695.069504</v>
      </c>
    </row>
    <row r="857" spans="43:59" x14ac:dyDescent="0.25">
      <c r="AQ857" s="7">
        <v>842</v>
      </c>
      <c r="AR857" s="58">
        <f t="shared" si="227"/>
        <v>421</v>
      </c>
      <c r="AS857" s="58">
        <f t="shared" si="228"/>
        <v>67593.564809886797</v>
      </c>
      <c r="AT857" s="58">
        <f t="shared" si="229"/>
        <v>-281084.01319209958</v>
      </c>
      <c r="AU857" s="58">
        <f t="shared" si="230"/>
        <v>783.72210696975196</v>
      </c>
      <c r="AV857" s="58">
        <f t="shared" si="231"/>
        <v>-1222.5090499727949</v>
      </c>
      <c r="AW857" s="58">
        <f t="shared" si="217"/>
        <v>-3.3619257236987199</v>
      </c>
      <c r="AX857" s="58">
        <f t="shared" si="232"/>
        <v>14.515518733278588</v>
      </c>
      <c r="AY857" s="33">
        <f t="shared" si="218"/>
        <v>-0.99423063946232793</v>
      </c>
      <c r="AZ857" s="33">
        <f t="shared" si="219"/>
        <v>6.0285265270775268</v>
      </c>
      <c r="BA857" s="39">
        <f t="shared" si="220"/>
        <v>-0.55962067613068711</v>
      </c>
      <c r="BB857" s="39">
        <f t="shared" si="221"/>
        <v>1.8596872113487755</v>
      </c>
      <c r="BC857" s="45">
        <f t="shared" si="222"/>
        <v>-1.8080744081057045</v>
      </c>
      <c r="BD857" s="45">
        <f t="shared" si="223"/>
        <v>6.6273049948522864</v>
      </c>
      <c r="BE857" s="64">
        <f t="shared" si="224"/>
        <v>85545880081.370804</v>
      </c>
      <c r="BF857" s="65">
        <f t="shared" si="225"/>
        <v>92402535332.122238</v>
      </c>
      <c r="BG857" s="66">
        <f t="shared" si="226"/>
        <v>76070527728.220657</v>
      </c>
    </row>
    <row r="858" spans="43:59" x14ac:dyDescent="0.25">
      <c r="AQ858" s="7">
        <v>843</v>
      </c>
      <c r="AR858" s="58">
        <f t="shared" si="227"/>
        <v>421.5</v>
      </c>
      <c r="AS858" s="58">
        <f t="shared" si="228"/>
        <v>67985.005622656201</v>
      </c>
      <c r="AT858" s="58">
        <f t="shared" si="229"/>
        <v>-281693.45327724429</v>
      </c>
      <c r="AU858" s="58">
        <f t="shared" si="230"/>
        <v>782.0411441079026</v>
      </c>
      <c r="AV858" s="58">
        <f t="shared" si="231"/>
        <v>-1215.2512906061556</v>
      </c>
      <c r="AW858" s="58">
        <f t="shared" si="217"/>
        <v>-3.3581310113008245</v>
      </c>
      <c r="AX858" s="58">
        <f t="shared" si="232"/>
        <v>14.443980606111879</v>
      </c>
      <c r="AY858" s="33">
        <f t="shared" si="218"/>
        <v>-0.99560780291816575</v>
      </c>
      <c r="AZ858" s="33">
        <f t="shared" si="219"/>
        <v>6.0002756048387527</v>
      </c>
      <c r="BA858" s="39">
        <f t="shared" si="220"/>
        <v>-0.5582775178443623</v>
      </c>
      <c r="BB858" s="39">
        <f t="shared" si="221"/>
        <v>1.8508369228897055</v>
      </c>
      <c r="BC858" s="45">
        <f t="shared" si="222"/>
        <v>-1.8042456905382966</v>
      </c>
      <c r="BD858" s="45">
        <f t="shared" si="223"/>
        <v>6.5928680783834208</v>
      </c>
      <c r="BE858" s="64">
        <f t="shared" si="224"/>
        <v>85935414183.024033</v>
      </c>
      <c r="BF858" s="65">
        <f t="shared" si="225"/>
        <v>92826431899.222733</v>
      </c>
      <c r="BG858" s="66">
        <f t="shared" si="226"/>
        <v>76452209066.680832</v>
      </c>
    </row>
    <row r="859" spans="43:59" x14ac:dyDescent="0.25">
      <c r="AQ859" s="7">
        <v>844</v>
      </c>
      <c r="AR859" s="58">
        <f t="shared" si="227"/>
        <v>422</v>
      </c>
      <c r="AS859" s="58">
        <f t="shared" si="228"/>
        <v>68375.606428333747</v>
      </c>
      <c r="AT859" s="58">
        <f t="shared" si="229"/>
        <v>-282299.27342497156</v>
      </c>
      <c r="AU859" s="58">
        <f t="shared" si="230"/>
        <v>780.36207860225215</v>
      </c>
      <c r="AV859" s="58">
        <f t="shared" si="231"/>
        <v>-1208.0293003030997</v>
      </c>
      <c r="AW859" s="58">
        <f t="shared" si="217"/>
        <v>-3.3543582217197763</v>
      </c>
      <c r="AX859" s="58">
        <f t="shared" si="232"/>
        <v>14.373308845021024</v>
      </c>
      <c r="AY859" s="33">
        <f t="shared" si="218"/>
        <v>-0.99695342691066025</v>
      </c>
      <c r="AZ859" s="33">
        <f t="shared" si="219"/>
        <v>5.9723567328352001</v>
      </c>
      <c r="BA859" s="39">
        <f t="shared" si="220"/>
        <v>-0.55694955188465056</v>
      </c>
      <c r="BB859" s="39">
        <f t="shared" si="221"/>
        <v>1.842091454074068</v>
      </c>
      <c r="BC859" s="45">
        <f t="shared" si="222"/>
        <v>-1.8004552429244653</v>
      </c>
      <c r="BD859" s="45">
        <f t="shared" si="223"/>
        <v>6.5588606581117554</v>
      </c>
      <c r="BE859" s="64">
        <f t="shared" si="224"/>
        <v>86323818174.950485</v>
      </c>
      <c r="BF859" s="65">
        <f t="shared" si="225"/>
        <v>93249113056.342026</v>
      </c>
      <c r="BG859" s="66">
        <f t="shared" si="226"/>
        <v>76832881192.243439</v>
      </c>
    </row>
    <row r="860" spans="43:59" x14ac:dyDescent="0.25">
      <c r="AQ860" s="7">
        <v>845</v>
      </c>
      <c r="AR860" s="58">
        <f t="shared" si="227"/>
        <v>422.5</v>
      </c>
      <c r="AS860" s="58">
        <f t="shared" si="228"/>
        <v>68765.368172857154</v>
      </c>
      <c r="AT860" s="58">
        <f t="shared" si="229"/>
        <v>-282901.49141151749</v>
      </c>
      <c r="AU860" s="58">
        <f t="shared" si="230"/>
        <v>778.68489949139223</v>
      </c>
      <c r="AV860" s="58">
        <f t="shared" si="231"/>
        <v>-1200.8426458805893</v>
      </c>
      <c r="AW860" s="58">
        <f t="shared" si="217"/>
        <v>-3.3506077843539575</v>
      </c>
      <c r="AX860" s="58">
        <f t="shared" si="232"/>
        <v>14.303489349511977</v>
      </c>
      <c r="AY860" s="33">
        <f t="shared" si="218"/>
        <v>-0.99826842746987476</v>
      </c>
      <c r="AZ860" s="33">
        <f t="shared" si="219"/>
        <v>5.9447647178359606</v>
      </c>
      <c r="BA860" s="39">
        <f t="shared" si="220"/>
        <v>-0.55563659406735655</v>
      </c>
      <c r="BB860" s="39">
        <f t="shared" si="221"/>
        <v>1.8334491303885527</v>
      </c>
      <c r="BC860" s="45">
        <f t="shared" si="222"/>
        <v>-1.796702762816726</v>
      </c>
      <c r="BD860" s="45">
        <f t="shared" si="223"/>
        <v>6.5252755012874646</v>
      </c>
      <c r="BE860" s="64">
        <f t="shared" si="224"/>
        <v>86711087347.067963</v>
      </c>
      <c r="BF860" s="65">
        <f t="shared" si="225"/>
        <v>93670574257.954132</v>
      </c>
      <c r="BG860" s="66">
        <f t="shared" si="226"/>
        <v>77212538642.192551</v>
      </c>
    </row>
    <row r="861" spans="43:59" x14ac:dyDescent="0.25">
      <c r="AQ861" s="7">
        <v>846</v>
      </c>
      <c r="AR861" s="58">
        <f t="shared" si="227"/>
        <v>423</v>
      </c>
      <c r="AS861" s="58">
        <f t="shared" si="228"/>
        <v>69154.291796629812</v>
      </c>
      <c r="AT861" s="58">
        <f t="shared" si="229"/>
        <v>-283500.12479828909</v>
      </c>
      <c r="AU861" s="58">
        <f t="shared" si="230"/>
        <v>777.00959559921523</v>
      </c>
      <c r="AV861" s="58">
        <f t="shared" si="231"/>
        <v>-1193.6909012058334</v>
      </c>
      <c r="AW861" s="58">
        <f t="shared" si="217"/>
        <v>-3.3468801086932203</v>
      </c>
      <c r="AX861" s="58">
        <f t="shared" si="232"/>
        <v>14.234508323099973</v>
      </c>
      <c r="AY861" s="33">
        <f t="shared" si="218"/>
        <v>-0.99955369539790884</v>
      </c>
      <c r="AZ861" s="33">
        <f t="shared" si="219"/>
        <v>5.9174944744769071</v>
      </c>
      <c r="BA861" s="39">
        <f t="shared" si="220"/>
        <v>-0.55433846353412852</v>
      </c>
      <c r="BB861" s="39">
        <f t="shared" si="221"/>
        <v>1.8249083128705736</v>
      </c>
      <c r="BC861" s="45">
        <f t="shared" si="222"/>
        <v>-1.7929879497611829</v>
      </c>
      <c r="BD861" s="45">
        <f t="shared" si="223"/>
        <v>6.4921055357524926</v>
      </c>
      <c r="BE861" s="64">
        <f t="shared" si="224"/>
        <v>87097217034.648056</v>
      </c>
      <c r="BF861" s="65">
        <f t="shared" si="225"/>
        <v>94090811002.369873</v>
      </c>
      <c r="BG861" s="66">
        <f t="shared" si="226"/>
        <v>77591176008.556549</v>
      </c>
    </row>
    <row r="862" spans="43:59" x14ac:dyDescent="0.25">
      <c r="AQ862" s="7">
        <v>847</v>
      </c>
      <c r="AR862" s="58">
        <f t="shared" si="227"/>
        <v>423.5</v>
      </c>
      <c r="AS862" s="58">
        <f t="shared" si="228"/>
        <v>69542.378234415839</v>
      </c>
      <c r="AT862" s="58">
        <f t="shared" si="229"/>
        <v>-284095.19093535165</v>
      </c>
      <c r="AU862" s="58">
        <f t="shared" si="230"/>
        <v>775.33615554486857</v>
      </c>
      <c r="AV862" s="58">
        <f t="shared" si="231"/>
        <v>-1186.5736470442835</v>
      </c>
      <c r="AW862" s="58">
        <f t="shared" si="217"/>
        <v>-3.3431755851088827</v>
      </c>
      <c r="AX862" s="58">
        <f t="shared" si="232"/>
        <v>14.166352265295586</v>
      </c>
      <c r="AY862" s="33">
        <f t="shared" si="218"/>
        <v>-1.0008100970638489</v>
      </c>
      <c r="AZ862" s="33">
        <f t="shared" si="219"/>
        <v>5.8905410225267083</v>
      </c>
      <c r="BA862" s="39">
        <f t="shared" si="220"/>
        <v>-0.55305498268026621</v>
      </c>
      <c r="BB862" s="39">
        <f t="shared" si="221"/>
        <v>1.8164673971836192</v>
      </c>
      <c r="BC862" s="45">
        <f t="shared" si="222"/>
        <v>-1.7893105053647673</v>
      </c>
      <c r="BD862" s="45">
        <f t="shared" si="223"/>
        <v>6.4593438455852601</v>
      </c>
      <c r="BE862" s="64">
        <f t="shared" si="224"/>
        <v>87482202617.746109</v>
      </c>
      <c r="BF862" s="65">
        <f t="shared" si="225"/>
        <v>94509818831.176132</v>
      </c>
      <c r="BG862" s="66">
        <f t="shared" si="226"/>
        <v>77968787937.376068</v>
      </c>
    </row>
    <row r="863" spans="43:59" x14ac:dyDescent="0.25">
      <c r="AQ863" s="7">
        <v>848</v>
      </c>
      <c r="AR863" s="58">
        <f t="shared" si="227"/>
        <v>424</v>
      </c>
      <c r="AS863" s="58">
        <f t="shared" si="228"/>
        <v>69929.628415240135</v>
      </c>
      <c r="AT863" s="58">
        <f t="shared" si="229"/>
        <v>-284686.70696484059</v>
      </c>
      <c r="AU863" s="58">
        <f t="shared" si="230"/>
        <v>773.66456775231416</v>
      </c>
      <c r="AV863" s="58">
        <f t="shared" si="231"/>
        <v>-1179.4904709116356</v>
      </c>
      <c r="AW863" s="58">
        <f t="shared" si="217"/>
        <v>-3.3394945856120701</v>
      </c>
      <c r="AX863" s="58">
        <f t="shared" si="232"/>
        <v>14.099007963841228</v>
      </c>
      <c r="AY863" s="33">
        <f t="shared" si="218"/>
        <v>-1.0020384751705607</v>
      </c>
      <c r="AZ863" s="33">
        <f t="shared" si="219"/>
        <v>5.8638994842346897</v>
      </c>
      <c r="BA863" s="39">
        <f t="shared" si="220"/>
        <v>-0.55178597708435007</v>
      </c>
      <c r="BB863" s="39">
        <f t="shared" si="221"/>
        <v>1.8081248127208769</v>
      </c>
      <c r="BC863" s="45">
        <f t="shared" si="222"/>
        <v>-1.7856701333571594</v>
      </c>
      <c r="BD863" s="45">
        <f t="shared" si="223"/>
        <v>6.4269836668856613</v>
      </c>
      <c r="BE863" s="64">
        <f t="shared" si="224"/>
        <v>87866039520.641586</v>
      </c>
      <c r="BF863" s="65">
        <f t="shared" si="225"/>
        <v>94927593328.684998</v>
      </c>
      <c r="BG863" s="66">
        <f t="shared" si="226"/>
        <v>78345369127.985764</v>
      </c>
    </row>
    <row r="864" spans="43:59" x14ac:dyDescent="0.25">
      <c r="AQ864" s="7">
        <v>849</v>
      </c>
      <c r="AR864" s="58">
        <f t="shared" si="227"/>
        <v>424.5</v>
      </c>
      <c r="AS864" s="58">
        <f t="shared" si="228"/>
        <v>70316.043262293082</v>
      </c>
      <c r="AT864" s="58">
        <f t="shared" si="229"/>
        <v>-285274.68982430093</v>
      </c>
      <c r="AU864" s="58">
        <f t="shared" si="230"/>
        <v>771.99482045950811</v>
      </c>
      <c r="AV864" s="58">
        <f t="shared" si="231"/>
        <v>-1172.4409669297149</v>
      </c>
      <c r="AW864" s="58">
        <f t="shared" si="217"/>
        <v>-3.3358374645815747</v>
      </c>
      <c r="AX864" s="58">
        <f t="shared" si="232"/>
        <v>14.032462487188393</v>
      </c>
      <c r="AY864" s="33">
        <f t="shared" si="218"/>
        <v>-1.0032396494944604</v>
      </c>
      <c r="AZ864" s="33">
        <f t="shared" si="219"/>
        <v>5.8375650817578819</v>
      </c>
      <c r="BA864" s="39">
        <f t="shared" si="220"/>
        <v>-0.55053127543975178</v>
      </c>
      <c r="BB864" s="39">
        <f t="shared" si="221"/>
        <v>1.7998790217365221</v>
      </c>
      <c r="BC864" s="45">
        <f t="shared" si="222"/>
        <v>-1.7820665396473623</v>
      </c>
      <c r="BD864" s="45">
        <f t="shared" si="223"/>
        <v>6.3950183836939898</v>
      </c>
      <c r="BE864" s="64">
        <f t="shared" si="224"/>
        <v>88248723211.288574</v>
      </c>
      <c r="BF864" s="65">
        <f t="shared" si="225"/>
        <v>95344130121.393524</v>
      </c>
      <c r="BG864" s="66">
        <f t="shared" si="226"/>
        <v>78720914332.309692</v>
      </c>
    </row>
    <row r="865" spans="43:59" x14ac:dyDescent="0.25">
      <c r="AQ865" s="7">
        <v>850</v>
      </c>
      <c r="AR865" s="58">
        <f t="shared" si="227"/>
        <v>425</v>
      </c>
      <c r="AS865" s="58">
        <f t="shared" si="228"/>
        <v>70701.62369283977</v>
      </c>
      <c r="AT865" s="58">
        <f t="shared" si="229"/>
        <v>-285859.15624995489</v>
      </c>
      <c r="AU865" s="58">
        <f t="shared" si="230"/>
        <v>770.32690172721732</v>
      </c>
      <c r="AV865" s="58">
        <f t="shared" si="231"/>
        <v>-1165.4247356861208</v>
      </c>
      <c r="AW865" s="58">
        <f t="shared" si="217"/>
        <v>-3.3322045594629062</v>
      </c>
      <c r="AX865" s="58">
        <f t="shared" si="232"/>
        <v>13.966703177208524</v>
      </c>
      <c r="AY865" s="33">
        <f t="shared" si="218"/>
        <v>-1.0044144175994005</v>
      </c>
      <c r="AZ865" s="33">
        <f t="shared" si="219"/>
        <v>5.8115331346649155</v>
      </c>
      <c r="BA865" s="39">
        <f t="shared" si="220"/>
        <v>-0.54929070948795233</v>
      </c>
      <c r="BB865" s="39">
        <f t="shared" si="221"/>
        <v>1.7917285185036202</v>
      </c>
      <c r="BC865" s="45">
        <f t="shared" si="222"/>
        <v>-1.778499432375553</v>
      </c>
      <c r="BD865" s="45">
        <f t="shared" si="223"/>
        <v>6.3634415240399882</v>
      </c>
      <c r="BE865" s="64">
        <f t="shared" si="224"/>
        <v>88630249200.775772</v>
      </c>
      <c r="BF865" s="65">
        <f t="shared" si="225"/>
        <v>95759424877.452744</v>
      </c>
      <c r="BG865" s="66">
        <f t="shared" si="226"/>
        <v>79095418354.169785</v>
      </c>
    </row>
    <row r="866" spans="43:59" x14ac:dyDescent="0.25">
      <c r="AQ866" s="7">
        <v>851</v>
      </c>
      <c r="AR866" s="58">
        <f t="shared" si="227"/>
        <v>425.5</v>
      </c>
      <c r="AS866" s="58">
        <f t="shared" si="228"/>
        <v>71086.370618133442</v>
      </c>
      <c r="AT866" s="58">
        <f t="shared" si="229"/>
        <v>-286440.12277990079</v>
      </c>
      <c r="AU866" s="58">
        <f t="shared" si="230"/>
        <v>768.66079944748583</v>
      </c>
      <c r="AV866" s="58">
        <f t="shared" si="231"/>
        <v>-1158.4413840975164</v>
      </c>
      <c r="AW866" s="58">
        <f t="shared" si="217"/>
        <v>-3.3285961914393907</v>
      </c>
      <c r="AX866" s="58">
        <f t="shared" si="232"/>
        <v>13.901717642127515</v>
      </c>
      <c r="AY866" s="33">
        <f t="shared" si="218"/>
        <v>-1.0055635555255815</v>
      </c>
      <c r="AZ866" s="33">
        <f t="shared" si="219"/>
        <v>5.7857990575135236</v>
      </c>
      <c r="BA866" s="39">
        <f t="shared" si="220"/>
        <v>-0.5480641139535436</v>
      </c>
      <c r="BB866" s="39">
        <f t="shared" si="221"/>
        <v>1.7836718284974884</v>
      </c>
      <c r="BC866" s="45">
        <f t="shared" si="222"/>
        <v>-1.7749685219602653</v>
      </c>
      <c r="BD866" s="45">
        <f t="shared" si="223"/>
        <v>6.3322467561165032</v>
      </c>
      <c r="BE866" s="64">
        <f t="shared" si="224"/>
        <v>89010613042.796432</v>
      </c>
      <c r="BF866" s="65">
        <f t="shared" si="225"/>
        <v>96173473306.146606</v>
      </c>
      <c r="BG866" s="66">
        <f t="shared" si="226"/>
        <v>79468876048.607574</v>
      </c>
    </row>
    <row r="867" spans="43:59" x14ac:dyDescent="0.25">
      <c r="AQ867" s="7">
        <v>852</v>
      </c>
      <c r="AR867" s="58">
        <f t="shared" si="227"/>
        <v>426</v>
      </c>
      <c r="AS867" s="58">
        <f t="shared" si="228"/>
        <v>71470.284943333245</v>
      </c>
      <c r="AT867" s="58">
        <f t="shared" si="229"/>
        <v>-287017.60575724428</v>
      </c>
      <c r="AU867" s="58">
        <f t="shared" si="230"/>
        <v>766.99650135176614</v>
      </c>
      <c r="AV867" s="58">
        <f t="shared" si="231"/>
        <v>-1151.4905252764527</v>
      </c>
      <c r="AW867" s="58">
        <f t="shared" si="217"/>
        <v>-3.3250126660767174</v>
      </c>
      <c r="AX867" s="58">
        <f t="shared" si="232"/>
        <v>13.837493749676891</v>
      </c>
      <c r="AY867" s="33">
        <f t="shared" si="218"/>
        <v>-1.0066878184545571</v>
      </c>
      <c r="AZ867" s="33">
        <f t="shared" si="219"/>
        <v>5.760358357499678</v>
      </c>
      <c r="BA867" s="39">
        <f t="shared" si="220"/>
        <v>-0.54685132648095425</v>
      </c>
      <c r="BB867" s="39">
        <f t="shared" si="221"/>
        <v>1.7757075076039144</v>
      </c>
      <c r="BC867" s="45">
        <f t="shared" si="222"/>
        <v>-1.7714735211412058</v>
      </c>
      <c r="BD867" s="45">
        <f t="shared" si="223"/>
        <v>6.3014278845733003</v>
      </c>
      <c r="BE867" s="64">
        <f t="shared" si="224"/>
        <v>89389810333.127487</v>
      </c>
      <c r="BF867" s="65">
        <f t="shared" si="225"/>
        <v>96586271157.380371</v>
      </c>
      <c r="BG867" s="66">
        <f t="shared" si="226"/>
        <v>79841282321.218155</v>
      </c>
    </row>
    <row r="868" spans="43:59" x14ac:dyDescent="0.25">
      <c r="AQ868" s="7">
        <v>853</v>
      </c>
      <c r="AR868" s="58">
        <f t="shared" si="227"/>
        <v>426.5</v>
      </c>
      <c r="AS868" s="58">
        <f t="shared" si="228"/>
        <v>71853.36756742587</v>
      </c>
      <c r="AT868" s="58">
        <f t="shared" si="229"/>
        <v>-287591.62133316376</v>
      </c>
      <c r="AU868" s="58">
        <f t="shared" si="230"/>
        <v>765.33399501872782</v>
      </c>
      <c r="AV868" s="58">
        <f t="shared" si="231"/>
        <v>-1144.5717784016142</v>
      </c>
      <c r="AW868" s="58">
        <f t="shared" si="217"/>
        <v>-3.3214542739420931</v>
      </c>
      <c r="AX868" s="58">
        <f t="shared" si="232"/>
        <v>13.774019620453918</v>
      </c>
      <c r="AY868" s="33">
        <f t="shared" si="218"/>
        <v>-1.0077879413511825</v>
      </c>
      <c r="AZ868" s="33">
        <f t="shared" si="219"/>
        <v>5.7352066321754416</v>
      </c>
      <c r="BA868" s="39">
        <f t="shared" si="220"/>
        <v>-0.54565218757280276</v>
      </c>
      <c r="BB868" s="39">
        <f t="shared" si="221"/>
        <v>1.767834141351216</v>
      </c>
      <c r="BC868" s="45">
        <f t="shared" si="222"/>
        <v>-1.7680141450181075</v>
      </c>
      <c r="BD868" s="45">
        <f t="shared" si="223"/>
        <v>6.2709788469272612</v>
      </c>
      <c r="BE868" s="64">
        <f t="shared" si="224"/>
        <v>89767836709.117889</v>
      </c>
      <c r="BF868" s="65">
        <f t="shared" si="225"/>
        <v>96997814221.177765</v>
      </c>
      <c r="BG868" s="66">
        <f t="shared" si="226"/>
        <v>80212632127.496811</v>
      </c>
    </row>
    <row r="869" spans="43:59" x14ac:dyDescent="0.25">
      <c r="AQ869" s="7">
        <v>854</v>
      </c>
      <c r="AR869" s="58">
        <f t="shared" si="227"/>
        <v>427</v>
      </c>
      <c r="AS869" s="58">
        <f t="shared" si="228"/>
        <v>72235.619383151003</v>
      </c>
      <c r="AT869" s="58">
        <f t="shared" si="229"/>
        <v>-288162.18546991202</v>
      </c>
      <c r="AU869" s="58">
        <f t="shared" si="230"/>
        <v>763.67326788175683</v>
      </c>
      <c r="AV869" s="58">
        <f t="shared" si="231"/>
        <v>-1137.6847685913872</v>
      </c>
      <c r="AW869" s="58">
        <f t="shared" si="217"/>
        <v>-3.3179212911988909</v>
      </c>
      <c r="AX869" s="58">
        <f t="shared" si="232"/>
        <v>13.711283621482732</v>
      </c>
      <c r="AY869" s="33">
        <f t="shared" si="218"/>
        <v>-1.008864639583444</v>
      </c>
      <c r="AZ869" s="33">
        <f t="shared" si="219"/>
        <v>5.7103395672334969</v>
      </c>
      <c r="BA869" s="39">
        <f t="shared" si="220"/>
        <v>-0.54446654052981991</v>
      </c>
      <c r="BB869" s="39">
        <f t="shared" si="221"/>
        <v>1.7600503441652888</v>
      </c>
      <c r="BC869" s="45">
        <f t="shared" si="222"/>
        <v>-1.764590111085627</v>
      </c>
      <c r="BD869" s="45">
        <f t="shared" si="223"/>
        <v>6.2408937100839452</v>
      </c>
      <c r="BE869" s="64">
        <f t="shared" si="224"/>
        <v>90144687849.186066</v>
      </c>
      <c r="BF869" s="65">
        <f t="shared" si="225"/>
        <v>97408098327.187714</v>
      </c>
      <c r="BG869" s="66">
        <f t="shared" si="226"/>
        <v>80582920472.197586</v>
      </c>
    </row>
    <row r="870" spans="43:59" x14ac:dyDescent="0.25">
      <c r="AQ870" s="7">
        <v>855</v>
      </c>
      <c r="AR870" s="58">
        <f t="shared" si="227"/>
        <v>427.5</v>
      </c>
      <c r="AS870" s="58">
        <f t="shared" si="228"/>
        <v>72617.041276930482</v>
      </c>
      <c r="AT870" s="58">
        <f t="shared" si="229"/>
        <v>-288729.31394375506</v>
      </c>
      <c r="AU870" s="58">
        <f t="shared" si="230"/>
        <v>762.01430723615738</v>
      </c>
      <c r="AV870" s="58">
        <f t="shared" si="231"/>
        <v>-1130.8291267806458</v>
      </c>
      <c r="AW870" s="58">
        <f t="shared" si="217"/>
        <v>-3.3144139801780943</v>
      </c>
      <c r="AX870" s="58">
        <f t="shared" si="232"/>
        <v>13.649274359970494</v>
      </c>
      <c r="AY870" s="33">
        <f t="shared" si="218"/>
        <v>-1.0099186095210728</v>
      </c>
      <c r="AZ870" s="33">
        <f t="shared" si="219"/>
        <v>5.6857529343563842</v>
      </c>
      <c r="BA870" s="39">
        <f t="shared" si="220"/>
        <v>-0.54329423139229871</v>
      </c>
      <c r="BB870" s="39">
        <f t="shared" si="221"/>
        <v>1.7523547586468526</v>
      </c>
      <c r="BC870" s="45">
        <f t="shared" si="222"/>
        <v>-1.7612011392647227</v>
      </c>
      <c r="BD870" s="45">
        <f t="shared" si="223"/>
        <v>6.2111666669672569</v>
      </c>
      <c r="BE870" s="64">
        <f t="shared" si="224"/>
        <v>90520359472.326004</v>
      </c>
      <c r="BF870" s="65">
        <f t="shared" si="225"/>
        <v>97817119344.199203</v>
      </c>
      <c r="BG870" s="66">
        <f t="shared" si="226"/>
        <v>80952142408.703552</v>
      </c>
    </row>
    <row r="871" spans="43:59" x14ac:dyDescent="0.25">
      <c r="AQ871" s="7">
        <v>856</v>
      </c>
      <c r="AR871" s="58">
        <f t="shared" si="227"/>
        <v>428</v>
      </c>
      <c r="AS871" s="58">
        <f t="shared" si="228"/>
        <v>72997.63412880103</v>
      </c>
      <c r="AT871" s="58">
        <f t="shared" si="229"/>
        <v>-289293.02234785038</v>
      </c>
      <c r="AU871" s="58">
        <f t="shared" si="230"/>
        <v>760.35710024606828</v>
      </c>
      <c r="AV871" s="58">
        <f t="shared" si="231"/>
        <v>-1124.0044896006605</v>
      </c>
      <c r="AW871" s="58">
        <f t="shared" si="217"/>
        <v>-3.310932589927174</v>
      </c>
      <c r="AX871" s="58">
        <f t="shared" si="232"/>
        <v>13.58798067725027</v>
      </c>
      <c r="AY871" s="33">
        <f t="shared" si="218"/>
        <v>-1.0109505291136127</v>
      </c>
      <c r="AZ871" s="33">
        <f t="shared" si="219"/>
        <v>5.6614425891274314</v>
      </c>
      <c r="BA871" s="39">
        <f t="shared" si="220"/>
        <v>-0.54213510888308902</v>
      </c>
      <c r="BB871" s="39">
        <f t="shared" si="221"/>
        <v>1.7447460548703377</v>
      </c>
      <c r="BC871" s="45">
        <f t="shared" si="222"/>
        <v>-1.757846951930472</v>
      </c>
      <c r="BD871" s="45">
        <f t="shared" si="223"/>
        <v>6.1817920332525009</v>
      </c>
      <c r="BE871" s="64">
        <f t="shared" si="224"/>
        <v>90894847337.621872</v>
      </c>
      <c r="BF871" s="65">
        <f t="shared" si="225"/>
        <v>98224873179.665207</v>
      </c>
      <c r="BG871" s="66">
        <f t="shared" si="226"/>
        <v>81320293038.408661</v>
      </c>
    </row>
    <row r="872" spans="43:59" x14ac:dyDescent="0.25">
      <c r="AQ872" s="7">
        <v>857</v>
      </c>
      <c r="AR872" s="58">
        <f t="shared" si="227"/>
        <v>428.5</v>
      </c>
      <c r="AS872" s="58">
        <f t="shared" si="228"/>
        <v>73377.398812350322</v>
      </c>
      <c r="AT872" s="58">
        <f t="shared" si="229"/>
        <v>-289853.32609506603</v>
      </c>
      <c r="AU872" s="58">
        <f t="shared" si="230"/>
        <v>758.70163395110467</v>
      </c>
      <c r="AV872" s="58">
        <f t="shared" si="231"/>
        <v>-1117.2104992620352</v>
      </c>
      <c r="AW872" s="58">
        <f t="shared" si="217"/>
        <v>-3.3074773567378726</v>
      </c>
      <c r="AX872" s="58">
        <f t="shared" si="232"/>
        <v>13.527391642906451</v>
      </c>
      <c r="AY872" s="33">
        <f t="shared" si="218"/>
        <v>-1.0119610584489211</v>
      </c>
      <c r="AZ872" s="33">
        <f t="shared" si="219"/>
        <v>5.6374044690024583</v>
      </c>
      <c r="BA872" s="39">
        <f t="shared" si="220"/>
        <v>-0.54098902435196172</v>
      </c>
      <c r="BB872" s="39">
        <f t="shared" si="221"/>
        <v>1.7372229297032542</v>
      </c>
      <c r="BC872" s="45">
        <f t="shared" si="222"/>
        <v>-1.7545272739369895</v>
      </c>
      <c r="BD872" s="45">
        <f t="shared" si="223"/>
        <v>6.15276424420074</v>
      </c>
      <c r="BE872" s="64">
        <f t="shared" si="224"/>
        <v>91268147243.771378</v>
      </c>
      <c r="BF872" s="65">
        <f t="shared" si="225"/>
        <v>98631355779.234726</v>
      </c>
      <c r="BG872" s="66">
        <f t="shared" si="226"/>
        <v>81687367510.110916</v>
      </c>
    </row>
    <row r="873" spans="43:59" x14ac:dyDescent="0.25">
      <c r="AQ873" s="7">
        <v>858</v>
      </c>
      <c r="AR873" s="58">
        <f t="shared" si="227"/>
        <v>429</v>
      </c>
      <c r="AS873" s="58">
        <f t="shared" si="228"/>
        <v>73756.33619465628</v>
      </c>
      <c r="AT873" s="58">
        <f t="shared" si="229"/>
        <v>-290410.24042074173</v>
      </c>
      <c r="AU873" s="58">
        <f t="shared" si="230"/>
        <v>757.04789527273579</v>
      </c>
      <c r="AV873" s="58">
        <f t="shared" si="231"/>
        <v>-1110.446803440582</v>
      </c>
      <c r="AW873" s="58">
        <f t="shared" si="217"/>
        <v>-3.3040485046529318</v>
      </c>
      <c r="AX873" s="58">
        <f t="shared" si="232"/>
        <v>13.467496549072976</v>
      </c>
      <c r="AY873" s="33">
        <f t="shared" si="218"/>
        <v>-1.0129508402926322</v>
      </c>
      <c r="AZ873" s="33">
        <f t="shared" si="219"/>
        <v>5.6136345913389851</v>
      </c>
      <c r="BA873" s="39">
        <f t="shared" si="220"/>
        <v>-0.53985583172142826</v>
      </c>
      <c r="BB873" s="39">
        <f t="shared" si="221"/>
        <v>1.729784106145748</v>
      </c>
      <c r="BC873" s="45">
        <f t="shared" si="222"/>
        <v>-1.7512418326388717</v>
      </c>
      <c r="BD873" s="45">
        <f t="shared" si="223"/>
        <v>6.1240778515882432</v>
      </c>
      <c r="BE873" s="64">
        <f t="shared" si="224"/>
        <v>91640255028.61705</v>
      </c>
      <c r="BF873" s="65">
        <f t="shared" si="225"/>
        <v>99036563126.293259</v>
      </c>
      <c r="BG873" s="66">
        <f t="shared" si="226"/>
        <v>82053361019.416489</v>
      </c>
    </row>
    <row r="874" spans="43:59" x14ac:dyDescent="0.25">
      <c r="AQ874" s="7">
        <v>859</v>
      </c>
      <c r="AR874" s="58">
        <f t="shared" si="227"/>
        <v>429.5</v>
      </c>
      <c r="AS874" s="58">
        <f t="shared" si="228"/>
        <v>74134.447136229559</v>
      </c>
      <c r="AT874" s="58">
        <f t="shared" si="229"/>
        <v>-290963.78038539336</v>
      </c>
      <c r="AU874" s="58">
        <f t="shared" si="230"/>
        <v>755.39587102040934</v>
      </c>
      <c r="AV874" s="58">
        <f t="shared" si="231"/>
        <v>-1103.7130551660455</v>
      </c>
      <c r="AW874" s="58">
        <f t="shared" si="217"/>
        <v>-3.3006462459537511</v>
      </c>
      <c r="AX874" s="58">
        <f t="shared" si="232"/>
        <v>13.408284904902747</v>
      </c>
      <c r="AY874" s="33">
        <f t="shared" si="218"/>
        <v>-1.0139205006095262</v>
      </c>
      <c r="AZ874" s="33">
        <f t="shared" si="219"/>
        <v>5.5901290514823021</v>
      </c>
      <c r="BA874" s="39">
        <f t="shared" si="220"/>
        <v>-0.53873538743393623</v>
      </c>
      <c r="BB874" s="39">
        <f t="shared" si="221"/>
        <v>1.7224283326895342</v>
      </c>
      <c r="BC874" s="45">
        <f t="shared" si="222"/>
        <v>-1.7479903579102885</v>
      </c>
      <c r="BD874" s="45">
        <f t="shared" si="223"/>
        <v>6.095727520730911</v>
      </c>
      <c r="BE874" s="64">
        <f t="shared" si="224"/>
        <v>92011166568.685562</v>
      </c>
      <c r="BF874" s="65">
        <f t="shared" si="225"/>
        <v>99440491241.51088</v>
      </c>
      <c r="BG874" s="66">
        <f t="shared" si="226"/>
        <v>82418268808.154327</v>
      </c>
    </row>
    <row r="875" spans="43:59" x14ac:dyDescent="0.25">
      <c r="AQ875" s="7">
        <v>860</v>
      </c>
      <c r="AR875" s="58">
        <f t="shared" si="227"/>
        <v>430</v>
      </c>
      <c r="AS875" s="58">
        <f t="shared" si="228"/>
        <v>74511.732490959024</v>
      </c>
      <c r="AT875" s="58">
        <f t="shared" si="229"/>
        <v>-291513.96087736328</v>
      </c>
      <c r="AU875" s="58">
        <f t="shared" si="230"/>
        <v>753.74554789743252</v>
      </c>
      <c r="AV875" s="58">
        <f t="shared" si="231"/>
        <v>-1097.0089127135941</v>
      </c>
      <c r="AW875" s="58">
        <f t="shared" si="217"/>
        <v>-3.2972707816286677</v>
      </c>
      <c r="AX875" s="58">
        <f t="shared" si="232"/>
        <v>13.349746431198247</v>
      </c>
      <c r="AY875" s="33">
        <f t="shared" si="218"/>
        <v>-1.0148706490672847</v>
      </c>
      <c r="AZ875" s="33">
        <f t="shared" si="219"/>
        <v>5.5668840209053965</v>
      </c>
      <c r="BA875" s="39">
        <f t="shared" si="220"/>
        <v>-0.5376275504003124</v>
      </c>
      <c r="BB875" s="39">
        <f t="shared" si="221"/>
        <v>1.7151543826952822</v>
      </c>
      <c r="BC875" s="45">
        <f t="shared" si="222"/>
        <v>-1.7447725821610709</v>
      </c>
      <c r="BD875" s="45">
        <f t="shared" si="223"/>
        <v>6.0677080275975683</v>
      </c>
      <c r="BE875" s="64">
        <f t="shared" si="224"/>
        <v>92380877778.735214</v>
      </c>
      <c r="BF875" s="65">
        <f t="shared" si="225"/>
        <v>99843136182.398758</v>
      </c>
      <c r="BG875" s="66">
        <f t="shared" si="226"/>
        <v>82782086163.801819</v>
      </c>
    </row>
    <row r="876" spans="43:59" x14ac:dyDescent="0.25">
      <c r="AQ876" s="7">
        <v>861</v>
      </c>
      <c r="AR876" s="58">
        <f t="shared" si="227"/>
        <v>430.5</v>
      </c>
      <c r="AS876" s="58">
        <f t="shared" si="228"/>
        <v>74888.193106060047</v>
      </c>
      <c r="AT876" s="58">
        <f t="shared" si="229"/>
        <v>-292060.79661541618</v>
      </c>
      <c r="AU876" s="58">
        <f t="shared" si="230"/>
        <v>752.0969125066182</v>
      </c>
      <c r="AV876" s="58">
        <f t="shared" si="231"/>
        <v>-1090.334039497995</v>
      </c>
      <c r="AW876" s="58">
        <f t="shared" si="217"/>
        <v>-3.2939223018234749</v>
      </c>
      <c r="AX876" s="58">
        <f t="shared" si="232"/>
        <v>13.291871055200909</v>
      </c>
      <c r="AY876" s="33">
        <f t="shared" si="218"/>
        <v>-1.0158018795234811</v>
      </c>
      <c r="AZ876" s="33">
        <f t="shared" si="219"/>
        <v>5.5438957454020246</v>
      </c>
      <c r="BA876" s="39">
        <f t="shared" si="220"/>
        <v>-0.5365321819495944</v>
      </c>
      <c r="BB876" s="39">
        <f t="shared" si="221"/>
        <v>1.7079610537883831</v>
      </c>
      <c r="BC876" s="45">
        <f t="shared" si="222"/>
        <v>-1.7415882403503993</v>
      </c>
      <c r="BD876" s="45">
        <f t="shared" si="223"/>
        <v>6.040014256010501</v>
      </c>
      <c r="BE876" s="64">
        <f t="shared" si="224"/>
        <v>92749384611.310883</v>
      </c>
      <c r="BF876" s="65">
        <f t="shared" si="225"/>
        <v>100244494042.87276</v>
      </c>
      <c r="BG876" s="66">
        <f t="shared" si="226"/>
        <v>83144808418.920151</v>
      </c>
    </row>
    <row r="877" spans="43:59" x14ac:dyDescent="0.25">
      <c r="AQ877" s="7">
        <v>862</v>
      </c>
      <c r="AR877" s="58">
        <f t="shared" si="227"/>
        <v>431</v>
      </c>
      <c r="AS877" s="58">
        <f t="shared" si="228"/>
        <v>75263.829822025626</v>
      </c>
      <c r="AT877" s="58">
        <f t="shared" si="229"/>
        <v>-292604.30215128331</v>
      </c>
      <c r="AU877" s="58">
        <f t="shared" si="230"/>
        <v>750.4499513557065</v>
      </c>
      <c r="AV877" s="58">
        <f t="shared" si="231"/>
        <v>-1083.6881039703946</v>
      </c>
      <c r="AW877" s="58">
        <f t="shared" si="217"/>
        <v>-3.2906009862744594</v>
      </c>
      <c r="AX877" s="58">
        <f t="shared" si="232"/>
        <v>13.234648905532113</v>
      </c>
      <c r="AY877" s="33">
        <f t="shared" si="218"/>
        <v>-1.0167147704962525</v>
      </c>
      <c r="AZ877" s="33">
        <f t="shared" si="219"/>
        <v>5.5211605433301516</v>
      </c>
      <c r="BA877" s="39">
        <f t="shared" si="220"/>
        <v>-0.53544914578002822</v>
      </c>
      <c r="BB877" s="39">
        <f t="shared" si="221"/>
        <v>1.7008471672719163</v>
      </c>
      <c r="BC877" s="45">
        <f t="shared" si="222"/>
        <v>-1.7384370699981786</v>
      </c>
      <c r="BD877" s="45">
        <f t="shared" si="223"/>
        <v>6.0126411949300458</v>
      </c>
      <c r="BE877" s="64">
        <f t="shared" si="224"/>
        <v>93116683056.306549</v>
      </c>
      <c r="BF877" s="65">
        <f t="shared" si="225"/>
        <v>100644560952.82503</v>
      </c>
      <c r="BG877" s="66">
        <f t="shared" si="226"/>
        <v>83506430950.600098</v>
      </c>
    </row>
    <row r="878" spans="43:59" x14ac:dyDescent="0.25">
      <c r="AQ878" s="7">
        <v>863</v>
      </c>
      <c r="AR878" s="58">
        <f t="shared" si="227"/>
        <v>431.5</v>
      </c>
      <c r="AS878" s="58">
        <f t="shared" si="228"/>
        <v>75638.643472580196</v>
      </c>
      <c r="AT878" s="58">
        <f t="shared" si="229"/>
        <v>-293144.49187215528</v>
      </c>
      <c r="AU878" s="58">
        <f t="shared" si="230"/>
        <v>748.80465086256925</v>
      </c>
      <c r="AV878" s="58">
        <f t="shared" si="231"/>
        <v>-1077.0707795176286</v>
      </c>
      <c r="AW878" s="58">
        <f t="shared" si="217"/>
        <v>-3.2873070047248349</v>
      </c>
      <c r="AX878" s="58">
        <f t="shared" si="232"/>
        <v>13.178070307281416</v>
      </c>
      <c r="AY878" s="33">
        <f t="shared" si="218"/>
        <v>-1.0176098856194111</v>
      </c>
      <c r="AZ878" s="33">
        <f t="shared" si="219"/>
        <v>5.4986748039049971</v>
      </c>
      <c r="BA878" s="39">
        <f t="shared" si="220"/>
        <v>-0.53437830791131102</v>
      </c>
      <c r="BB878" s="39">
        <f t="shared" si="221"/>
        <v>1.6938115675565859</v>
      </c>
      <c r="BC878" s="45">
        <f t="shared" si="222"/>
        <v>-1.7353188111941125</v>
      </c>
      <c r="BD878" s="45">
        <f t="shared" si="223"/>
        <v>5.9855839358198342</v>
      </c>
      <c r="BE878" s="64">
        <f t="shared" si="224"/>
        <v>93482769140.535324</v>
      </c>
      <c r="BF878" s="65">
        <f t="shared" si="225"/>
        <v>101043333077.70251</v>
      </c>
      <c r="BG878" s="66">
        <f t="shared" si="226"/>
        <v>83866949179.917358</v>
      </c>
    </row>
    <row r="879" spans="43:59" x14ac:dyDescent="0.25">
      <c r="AQ879" s="7">
        <v>864</v>
      </c>
      <c r="AR879" s="58">
        <f t="shared" si="227"/>
        <v>432</v>
      </c>
      <c r="AS879" s="58">
        <f t="shared" si="228"/>
        <v>76012.634884635889</v>
      </c>
      <c r="AT879" s="58">
        <f t="shared" si="229"/>
        <v>-293681.3800031257</v>
      </c>
      <c r="AU879" s="58">
        <f t="shared" si="230"/>
        <v>747.16099736020681</v>
      </c>
      <c r="AV879" s="58">
        <f t="shared" si="231"/>
        <v>-1070.4817443639879</v>
      </c>
      <c r="AW879" s="58">
        <f t="shared" si="217"/>
        <v>-3.284040517325288</v>
      </c>
      <c r="AX879" s="58">
        <f t="shared" si="232"/>
        <v>13.12212577723713</v>
      </c>
      <c r="AY879" s="33">
        <f t="shared" si="218"/>
        <v>-1.0184877740824825</v>
      </c>
      <c r="AZ879" s="33">
        <f t="shared" si="219"/>
        <v>5.4764349855395631</v>
      </c>
      <c r="BA879" s="39">
        <f t="shared" si="220"/>
        <v>-0.53331953663801934</v>
      </c>
      <c r="BB879" s="39">
        <f t="shared" si="221"/>
        <v>1.6868531216070008</v>
      </c>
      <c r="BC879" s="45">
        <f t="shared" si="222"/>
        <v>-1.7322332066047861</v>
      </c>
      <c r="BD879" s="45">
        <f t="shared" si="223"/>
        <v>5.9588376700905652</v>
      </c>
      <c r="BE879" s="64">
        <f t="shared" si="224"/>
        <v>93847638927.306732</v>
      </c>
      <c r="BF879" s="65">
        <f t="shared" si="225"/>
        <v>101440806618.09323</v>
      </c>
      <c r="BG879" s="66">
        <f t="shared" si="226"/>
        <v>84226358571.397873</v>
      </c>
    </row>
    <row r="880" spans="43:59" x14ac:dyDescent="0.25">
      <c r="AQ880" s="7">
        <v>865</v>
      </c>
      <c r="AR880" s="58">
        <f t="shared" si="227"/>
        <v>432.5</v>
      </c>
      <c r="AS880" s="58">
        <f t="shared" si="228"/>
        <v>76385.804878251336</v>
      </c>
      <c r="AT880" s="58">
        <f t="shared" si="229"/>
        <v>-294214.98060958553</v>
      </c>
      <c r="AU880" s="58">
        <f t="shared" si="230"/>
        <v>745.51897710154412</v>
      </c>
      <c r="AV880" s="58">
        <f t="shared" si="231"/>
        <v>-1063.9206814753693</v>
      </c>
      <c r="AW880" s="58">
        <f t="shared" si="217"/>
        <v>-3.2808016750191809</v>
      </c>
      <c r="AX880" s="58">
        <f t="shared" si="232"/>
        <v>13.066806019254134</v>
      </c>
      <c r="AY880" s="33">
        <f t="shared" si="218"/>
        <v>-1.0193489710562806</v>
      </c>
      <c r="AZ880" s="33">
        <f t="shared" si="219"/>
        <v>5.4544376142314039</v>
      </c>
      <c r="BA880" s="39">
        <f t="shared" si="220"/>
        <v>-0.5322727024841547</v>
      </c>
      <c r="BB880" s="39">
        <f t="shared" si="221"/>
        <v>1.6799707184036383</v>
      </c>
      <c r="BC880" s="45">
        <f t="shared" si="222"/>
        <v>-1.7291800014787455</v>
      </c>
      <c r="BD880" s="45">
        <f t="shared" si="223"/>
        <v>5.9323976866190922</v>
      </c>
      <c r="BE880" s="64">
        <f t="shared" si="224"/>
        <v>94211288516.010803</v>
      </c>
      <c r="BF880" s="65">
        <f t="shared" si="225"/>
        <v>101836977809.31883</v>
      </c>
      <c r="BG880" s="66">
        <f t="shared" si="226"/>
        <v>84584654632.49202</v>
      </c>
    </row>
    <row r="881" spans="43:59" x14ac:dyDescent="0.25">
      <c r="AQ881" s="7">
        <v>866</v>
      </c>
      <c r="AR881" s="58">
        <f t="shared" si="227"/>
        <v>433</v>
      </c>
      <c r="AS881" s="58">
        <f t="shared" si="228"/>
        <v>76758.154266592726</v>
      </c>
      <c r="AT881" s="58">
        <f t="shared" si="229"/>
        <v>-294745.30759957078</v>
      </c>
      <c r="AU881" s="58">
        <f t="shared" si="230"/>
        <v>743.87857626403456</v>
      </c>
      <c r="AV881" s="58">
        <f t="shared" si="231"/>
        <v>-1057.3872784657422</v>
      </c>
      <c r="AW881" s="58">
        <f t="shared" si="217"/>
        <v>-3.2775906199130493</v>
      </c>
      <c r="AX881" s="58">
        <f t="shared" si="232"/>
        <v>13.012101919754453</v>
      </c>
      <c r="AY881" s="33">
        <f t="shared" si="218"/>
        <v>-1.0201939981045107</v>
      </c>
      <c r="AZ881" s="33">
        <f t="shared" si="219"/>
        <v>5.4326792819939316</v>
      </c>
      <c r="BA881" s="39">
        <f t="shared" si="220"/>
        <v>-0.53123767815882739</v>
      </c>
      <c r="BB881" s="39">
        <f t="shared" si="221"/>
        <v>1.6731632684201527</v>
      </c>
      <c r="BC881" s="45">
        <f t="shared" si="222"/>
        <v>-1.7261589436497111</v>
      </c>
      <c r="BD881" s="45">
        <f t="shared" si="223"/>
        <v>5.9062593693403693</v>
      </c>
      <c r="BE881" s="64">
        <f t="shared" si="224"/>
        <v>94573714041.709488</v>
      </c>
      <c r="BF881" s="65">
        <f t="shared" si="225"/>
        <v>102231842921.03477</v>
      </c>
      <c r="BG881" s="66">
        <f t="shared" si="226"/>
        <v>84941832913.058441</v>
      </c>
    </row>
    <row r="882" spans="43:59" x14ac:dyDescent="0.25">
      <c r="AQ882" s="7">
        <v>867</v>
      </c>
      <c r="AR882" s="58">
        <f t="shared" si="227"/>
        <v>433.5</v>
      </c>
      <c r="AS882" s="58">
        <f t="shared" si="228"/>
        <v>77129.683855897267</v>
      </c>
      <c r="AT882" s="58">
        <f t="shared" si="229"/>
        <v>-295272.37472606369</v>
      </c>
      <c r="AU882" s="58">
        <f t="shared" si="230"/>
        <v>742.23978095407801</v>
      </c>
      <c r="AV882" s="58">
        <f t="shared" si="231"/>
        <v>-1050.8812275058649</v>
      </c>
      <c r="AW882" s="58">
        <f t="shared" si="217"/>
        <v>-3.2744074856331418</v>
      </c>
      <c r="AX882" s="58">
        <f t="shared" si="232"/>
        <v>12.958004543356662</v>
      </c>
      <c r="AY882" s="33">
        <f t="shared" si="218"/>
        <v>-1.0210233635819435</v>
      </c>
      <c r="AZ882" s="33">
        <f t="shared" si="219"/>
        <v>5.4111566453310083</v>
      </c>
      <c r="BA882" s="39">
        <f t="shared" si="220"/>
        <v>-0.53021433851300748</v>
      </c>
      <c r="BB882" s="39">
        <f t="shared" si="221"/>
        <v>1.6664297031153921</v>
      </c>
      <c r="BC882" s="45">
        <f t="shared" si="222"/>
        <v>-1.7231697835381905</v>
      </c>
      <c r="BD882" s="45">
        <f t="shared" si="223"/>
        <v>5.880418194910261</v>
      </c>
      <c r="BE882" s="64">
        <f t="shared" si="224"/>
        <v>94934911674.734695</v>
      </c>
      <c r="BF882" s="65">
        <f t="shared" si="225"/>
        <v>102625398256.83679</v>
      </c>
      <c r="BG882" s="66">
        <f t="shared" si="226"/>
        <v>85297889004.856705</v>
      </c>
    </row>
    <row r="883" spans="43:59" x14ac:dyDescent="0.25">
      <c r="AQ883" s="7">
        <v>868</v>
      </c>
      <c r="AR883" s="58">
        <f t="shared" si="227"/>
        <v>434</v>
      </c>
      <c r="AS883" s="58">
        <f t="shared" si="228"/>
        <v>77500.394445438607</v>
      </c>
      <c r="AT883" s="58">
        <f t="shared" si="229"/>
        <v>-295796.19558924867</v>
      </c>
      <c r="AU883" s="58">
        <f t="shared" si="230"/>
        <v>740.6025772112614</v>
      </c>
      <c r="AV883" s="58">
        <f t="shared" si="231"/>
        <v>-1044.4022252341865</v>
      </c>
      <c r="AW883" s="58">
        <f t="shared" si="217"/>
        <v>-3.2712523976683143</v>
      </c>
      <c r="AX883" s="58">
        <f t="shared" si="232"/>
        <v>12.904505128629086</v>
      </c>
      <c r="AY883" s="33">
        <f t="shared" si="218"/>
        <v>-1.0218375630196384</v>
      </c>
      <c r="AZ883" s="33">
        <f t="shared" si="219"/>
        <v>5.3898664237533902</v>
      </c>
      <c r="BA883" s="39">
        <f t="shared" si="220"/>
        <v>-0.52920256049732239</v>
      </c>
      <c r="BB883" s="39">
        <f t="shared" si="221"/>
        <v>1.6597689744396851</v>
      </c>
      <c r="BC883" s="45">
        <f t="shared" si="222"/>
        <v>-1.7202122741513537</v>
      </c>
      <c r="BD883" s="45">
        <f t="shared" si="223"/>
        <v>5.8548697304360111</v>
      </c>
      <c r="BE883" s="64">
        <f t="shared" si="224"/>
        <v>95294877620.292816</v>
      </c>
      <c r="BF883" s="65">
        <f t="shared" si="225"/>
        <v>103017640153.87415</v>
      </c>
      <c r="BG883" s="66">
        <f t="shared" si="226"/>
        <v>85652818541.048553</v>
      </c>
    </row>
    <row r="884" spans="43:59" x14ac:dyDescent="0.25">
      <c r="AQ884" s="7">
        <v>869</v>
      </c>
      <c r="AR884" s="58">
        <f t="shared" si="227"/>
        <v>434.5</v>
      </c>
      <c r="AS884" s="58">
        <f t="shared" si="228"/>
        <v>77870.286827494521</v>
      </c>
      <c r="AT884" s="58">
        <f t="shared" si="229"/>
        <v>-296316.78363872471</v>
      </c>
      <c r="AU884" s="58">
        <f t="shared" si="230"/>
        <v>738.96695101242722</v>
      </c>
      <c r="AV884" s="58">
        <f t="shared" si="231"/>
        <v>-1037.9499726698721</v>
      </c>
      <c r="AW884" s="58">
        <f t="shared" si="217"/>
        <v>-3.2681254737000334</v>
      </c>
      <c r="AX884" s="58">
        <f t="shared" si="232"/>
        <v>12.851595083963335</v>
      </c>
      <c r="AY884" s="33">
        <f t="shared" si="218"/>
        <v>-1.0226370794976598</v>
      </c>
      <c r="AZ884" s="33">
        <f t="shared" si="219"/>
        <v>5.3688053983355264</v>
      </c>
      <c r="BA884" s="39">
        <f t="shared" si="220"/>
        <v>-0.52820222312088128</v>
      </c>
      <c r="BB884" s="39">
        <f t="shared" si="221"/>
        <v>1.6531800543549544</v>
      </c>
      <c r="BC884" s="45">
        <f t="shared" si="222"/>
        <v>-1.7172861710814922</v>
      </c>
      <c r="BD884" s="45">
        <f t="shared" si="223"/>
        <v>5.8296096312728558</v>
      </c>
      <c r="BE884" s="64">
        <f t="shared" si="224"/>
        <v>95653608118.076157</v>
      </c>
      <c r="BF884" s="65">
        <f t="shared" si="225"/>
        <v>103408564982.46933</v>
      </c>
      <c r="BG884" s="66">
        <f t="shared" si="226"/>
        <v>86006617195.708267</v>
      </c>
    </row>
    <row r="885" spans="43:59" x14ac:dyDescent="0.25">
      <c r="AQ885" s="7">
        <v>870</v>
      </c>
      <c r="AR885" s="58">
        <f t="shared" si="227"/>
        <v>435</v>
      </c>
      <c r="AS885" s="58">
        <f t="shared" si="228"/>
        <v>78239.36178731652</v>
      </c>
      <c r="AT885" s="58">
        <f t="shared" si="229"/>
        <v>-296834.1521756741</v>
      </c>
      <c r="AU885" s="58">
        <f t="shared" si="230"/>
        <v>737.33288827557715</v>
      </c>
      <c r="AV885" s="58">
        <f t="shared" si="231"/>
        <v>-1031.5241751278904</v>
      </c>
      <c r="AW885" s="58">
        <f t="shared" si="217"/>
        <v>-3.2650268239200013</v>
      </c>
      <c r="AX885" s="58">
        <f t="shared" si="232"/>
        <v>12.799265983564393</v>
      </c>
      <c r="AY885" s="33">
        <f t="shared" si="218"/>
        <v>-1.0234223840058194</v>
      </c>
      <c r="AZ885" s="33">
        <f t="shared" si="219"/>
        <v>5.3479704103118975</v>
      </c>
      <c r="BA885" s="39">
        <f t="shared" si="220"/>
        <v>-0.52721320741109567</v>
      </c>
      <c r="BB885" s="39">
        <f t="shared" si="221"/>
        <v>1.6466619343682134</v>
      </c>
      <c r="BC885" s="45">
        <f t="shared" si="222"/>
        <v>-1.7143912325030863</v>
      </c>
      <c r="BD885" s="45">
        <f t="shared" si="223"/>
        <v>5.8046336388842814</v>
      </c>
      <c r="BE885" s="64">
        <f t="shared" si="224"/>
        <v>96011099441.88031</v>
      </c>
      <c r="BF885" s="65">
        <f t="shared" si="225"/>
        <v>103798169145.74399</v>
      </c>
      <c r="BG885" s="66">
        <f t="shared" si="226"/>
        <v>86359280683.34079</v>
      </c>
    </row>
    <row r="886" spans="43:59" x14ac:dyDescent="0.25">
      <c r="AQ886" s="7">
        <v>871</v>
      </c>
      <c r="AR886" s="58">
        <f t="shared" si="227"/>
        <v>435.5</v>
      </c>
      <c r="AS886" s="58">
        <f t="shared" si="228"/>
        <v>78607.620103101319</v>
      </c>
      <c r="AT886" s="58">
        <f t="shared" si="229"/>
        <v>-297348.31435499009</v>
      </c>
      <c r="AU886" s="58">
        <f t="shared" si="230"/>
        <v>735.70037486361718</v>
      </c>
      <c r="AV886" s="58">
        <f t="shared" si="231"/>
        <v>-1025.1245421361082</v>
      </c>
      <c r="AW886" s="58">
        <f t="shared" si="217"/>
        <v>-3.2619565513356354</v>
      </c>
      <c r="AX886" s="58">
        <f t="shared" si="232"/>
        <v>12.747509563552473</v>
      </c>
      <c r="AY886" s="33">
        <f t="shared" si="218"/>
        <v>-1.0241939357928087</v>
      </c>
      <c r="AZ886" s="33">
        <f t="shared" si="219"/>
        <v>5.3273583597112975</v>
      </c>
      <c r="BA886" s="39">
        <f t="shared" si="220"/>
        <v>-0.52623539637443939</v>
      </c>
      <c r="BB886" s="39">
        <f t="shared" si="221"/>
        <v>1.6402136250779178</v>
      </c>
      <c r="BC886" s="45">
        <f t="shared" si="222"/>
        <v>-1.7115272191683872</v>
      </c>
      <c r="BD886" s="45">
        <f t="shared" si="223"/>
        <v>5.779937578763259</v>
      </c>
      <c r="BE886" s="64">
        <f t="shared" si="224"/>
        <v>96367347899.228302</v>
      </c>
      <c r="BF886" s="65">
        <f t="shared" si="225"/>
        <v>104186449079.25136</v>
      </c>
      <c r="BG886" s="66">
        <f t="shared" si="226"/>
        <v>86710804758.408813</v>
      </c>
    </row>
    <row r="887" spans="43:59" x14ac:dyDescent="0.25">
      <c r="AQ887" s="7">
        <v>872</v>
      </c>
      <c r="AR887" s="58">
        <f t="shared" si="227"/>
        <v>436</v>
      </c>
      <c r="AS887" s="58">
        <f t="shared" si="228"/>
        <v>78975.062545964203</v>
      </c>
      <c r="AT887" s="58">
        <f t="shared" si="229"/>
        <v>-297859.28318736271</v>
      </c>
      <c r="AU887" s="58">
        <f t="shared" si="230"/>
        <v>734.06939658794931</v>
      </c>
      <c r="AV887" s="58">
        <f t="shared" si="231"/>
        <v>-1018.7507873543319</v>
      </c>
      <c r="AW887" s="58">
        <f t="shared" si="217"/>
        <v>-3.2589147520643067</v>
      </c>
      <c r="AX887" s="58">
        <f t="shared" si="232"/>
        <v>12.696317718174322</v>
      </c>
      <c r="AY887" s="33">
        <f t="shared" si="218"/>
        <v>-1.0249521827040848</v>
      </c>
      <c r="AZ887" s="33">
        <f t="shared" si="219"/>
        <v>5.3069662040275363</v>
      </c>
      <c r="BA887" s="39">
        <f t="shared" si="220"/>
        <v>-0.52526867495818741</v>
      </c>
      <c r="BB887" s="39">
        <f t="shared" si="221"/>
        <v>1.6338341557329705</v>
      </c>
      <c r="BC887" s="45">
        <f t="shared" si="222"/>
        <v>-1.7086938944020347</v>
      </c>
      <c r="BD887" s="45">
        <f t="shared" si="223"/>
        <v>5.7555173584138153</v>
      </c>
      <c r="BE887" s="64">
        <f t="shared" si="224"/>
        <v>96722349831.000366</v>
      </c>
      <c r="BF887" s="65">
        <f t="shared" si="225"/>
        <v>104573401250.61432</v>
      </c>
      <c r="BG887" s="66">
        <f t="shared" si="226"/>
        <v>87061185214.867264</v>
      </c>
    </row>
    <row r="888" spans="43:59" x14ac:dyDescent="0.25">
      <c r="AQ888" s="7">
        <v>873</v>
      </c>
      <c r="AR888" s="58">
        <f t="shared" si="227"/>
        <v>436.5</v>
      </c>
      <c r="AS888" s="58">
        <f t="shared" si="228"/>
        <v>79341.689879914178</v>
      </c>
      <c r="AT888" s="58">
        <f t="shared" si="229"/>
        <v>-298367.07154132507</v>
      </c>
      <c r="AU888" s="58">
        <f t="shared" si="230"/>
        <v>732.43993921191714</v>
      </c>
      <c r="AV888" s="58">
        <f t="shared" si="231"/>
        <v>-1012.4026284952448</v>
      </c>
      <c r="AW888" s="58">
        <f t="shared" si="217"/>
        <v>-3.2559015156164426</v>
      </c>
      <c r="AX888" s="58">
        <f t="shared" si="232"/>
        <v>12.645682496119672</v>
      </c>
      <c r="AY888" s="33">
        <f t="shared" si="218"/>
        <v>-1.0256975615091295</v>
      </c>
      <c r="AZ888" s="33">
        <f t="shared" si="219"/>
        <v>5.2867909569266427</v>
      </c>
      <c r="BA888" s="39">
        <f t="shared" si="220"/>
        <v>-0.52431293001303181</v>
      </c>
      <c r="BB888" s="39">
        <f t="shared" si="221"/>
        <v>1.6275225738037347</v>
      </c>
      <c r="BC888" s="45">
        <f t="shared" si="222"/>
        <v>-1.7058910240942815</v>
      </c>
      <c r="BD888" s="45">
        <f t="shared" si="223"/>
        <v>5.7313689653892963</v>
      </c>
      <c r="BE888" s="64">
        <f t="shared" si="224"/>
        <v>97076101611.069977</v>
      </c>
      <c r="BF888" s="65">
        <f t="shared" si="225"/>
        <v>104959022159.16974</v>
      </c>
      <c r="BG888" s="66">
        <f t="shared" si="226"/>
        <v>87410417885.70607</v>
      </c>
    </row>
    <row r="889" spans="43:59" x14ac:dyDescent="0.25">
      <c r="AQ889" s="7">
        <v>874</v>
      </c>
      <c r="AR889" s="58">
        <f t="shared" si="227"/>
        <v>437</v>
      </c>
      <c r="AS889" s="58">
        <f t="shared" si="228"/>
        <v>79707.502861830682</v>
      </c>
      <c r="AT889" s="58">
        <f t="shared" si="229"/>
        <v>-298871.69214526069</v>
      </c>
      <c r="AU889" s="58">
        <f t="shared" si="230"/>
        <v>730.81198845410893</v>
      </c>
      <c r="AV889" s="58">
        <f t="shared" si="231"/>
        <v>-1006.079787247185</v>
      </c>
      <c r="AW889" s="58">
        <f t="shared" si="217"/>
        <v>-3.2529169251680283</v>
      </c>
      <c r="AX889" s="58">
        <f t="shared" si="232"/>
        <v>12.595596096939353</v>
      </c>
      <c r="AY889" s="33">
        <f t="shared" si="218"/>
        <v>-1.0264304982181616</v>
      </c>
      <c r="AZ889" s="33">
        <f t="shared" si="219"/>
        <v>5.2668296869878377</v>
      </c>
      <c r="BA889" s="39">
        <f t="shared" si="220"/>
        <v>-0.52336805025659072</v>
      </c>
      <c r="BB889" s="39">
        <f t="shared" si="221"/>
        <v>1.6212779445648127</v>
      </c>
      <c r="BC889" s="45">
        <f t="shared" si="222"/>
        <v>-1.7031183766932758</v>
      </c>
      <c r="BD889" s="45">
        <f t="shared" si="223"/>
        <v>5.7074884653867031</v>
      </c>
      <c r="BE889" s="64">
        <f t="shared" si="224"/>
        <v>97428599645.945908</v>
      </c>
      <c r="BF889" s="65">
        <f t="shared" si="225"/>
        <v>105343308335.61867</v>
      </c>
      <c r="BG889" s="66">
        <f t="shared" si="226"/>
        <v>87758498642.500717</v>
      </c>
    </row>
    <row r="890" spans="43:59" x14ac:dyDescent="0.25">
      <c r="AQ890" s="7">
        <v>875</v>
      </c>
      <c r="AR890" s="58">
        <f t="shared" si="227"/>
        <v>437.5</v>
      </c>
      <c r="AS890" s="58">
        <f t="shared" si="228"/>
        <v>80072.502241442096</v>
      </c>
      <c r="AT890" s="58">
        <f t="shared" si="229"/>
        <v>-299373.15758937219</v>
      </c>
      <c r="AU890" s="58">
        <f t="shared" si="230"/>
        <v>729.18552999152496</v>
      </c>
      <c r="AV890" s="58">
        <f t="shared" si="231"/>
        <v>-999.78198919871534</v>
      </c>
      <c r="AW890" s="58">
        <f t="shared" si="217"/>
        <v>-3.2499610578231182</v>
      </c>
      <c r="AX890" s="58">
        <f t="shared" si="232"/>
        <v>12.54605086756272</v>
      </c>
      <c r="AY890" s="33">
        <f t="shared" si="218"/>
        <v>-1.0271514083889233</v>
      </c>
      <c r="AZ890" s="33">
        <f t="shared" si="219"/>
        <v>5.2470795164785011</v>
      </c>
      <c r="BA890" s="39">
        <f t="shared" si="220"/>
        <v>-0.5224339262377945</v>
      </c>
      <c r="BB890" s="39">
        <f t="shared" si="221"/>
        <v>1.6150993506892299</v>
      </c>
      <c r="BC890" s="45">
        <f t="shared" si="222"/>
        <v>-1.7003757231964003</v>
      </c>
      <c r="BD890" s="45">
        <f t="shared" si="223"/>
        <v>5.683872000394989</v>
      </c>
      <c r="BE890" s="64">
        <f t="shared" si="224"/>
        <v>97779840374.419724</v>
      </c>
      <c r="BF890" s="65">
        <f t="shared" si="225"/>
        <v>105726256341.68195</v>
      </c>
      <c r="BG890" s="66">
        <f t="shared" si="226"/>
        <v>88105423394.970093</v>
      </c>
    </row>
    <row r="891" spans="43:59" x14ac:dyDescent="0.25">
      <c r="AQ891" s="7">
        <v>876</v>
      </c>
      <c r="AR891" s="58">
        <f t="shared" si="227"/>
        <v>438</v>
      </c>
      <c r="AS891" s="58">
        <f t="shared" si="228"/>
        <v>80436.688761305631</v>
      </c>
      <c r="AT891" s="58">
        <f t="shared" si="229"/>
        <v>-299871.48032761313</v>
      </c>
      <c r="AU891" s="58">
        <f t="shared" si="230"/>
        <v>727.56054946261338</v>
      </c>
      <c r="AV891" s="58">
        <f t="shared" si="231"/>
        <v>-993.50896376493392</v>
      </c>
      <c r="AW891" s="58">
        <f t="shared" si="217"/>
        <v>-3.2470339848662739</v>
      </c>
      <c r="AX891" s="58">
        <f t="shared" si="232"/>
        <v>12.497039298909613</v>
      </c>
      <c r="AY891" s="33">
        <f t="shared" si="218"/>
        <v>-1.0278606974237732</v>
      </c>
      <c r="AZ891" s="33">
        <f t="shared" si="219"/>
        <v>5.2275376201615176</v>
      </c>
      <c r="BA891" s="39">
        <f t="shared" si="220"/>
        <v>-0.52151045030209164</v>
      </c>
      <c r="BB891" s="39">
        <f t="shared" si="221"/>
        <v>1.6089858918535749</v>
      </c>
      <c r="BC891" s="45">
        <f t="shared" si="222"/>
        <v>-1.6976628371404094</v>
      </c>
      <c r="BD891" s="45">
        <f t="shared" si="223"/>
        <v>5.6605157868945195</v>
      </c>
      <c r="BE891" s="64">
        <f t="shared" si="224"/>
        <v>98129820267.219193</v>
      </c>
      <c r="BF891" s="65">
        <f t="shared" si="225"/>
        <v>106107862769.7617</v>
      </c>
      <c r="BG891" s="66">
        <f t="shared" si="226"/>
        <v>88451188090.54187</v>
      </c>
    </row>
    <row r="892" spans="43:59" x14ac:dyDescent="0.25">
      <c r="AQ892" s="7">
        <v>877</v>
      </c>
      <c r="AR892" s="58">
        <f t="shared" si="227"/>
        <v>438.5</v>
      </c>
      <c r="AS892" s="58">
        <f t="shared" si="228"/>
        <v>80800.063156788834</v>
      </c>
      <c r="AT892" s="58">
        <f t="shared" si="229"/>
        <v>-300366.67267958319</v>
      </c>
      <c r="AU892" s="58">
        <f t="shared" si="230"/>
        <v>725.93703247018027</v>
      </c>
      <c r="AV892" s="58">
        <f t="shared" si="231"/>
        <v>-987.26044411547912</v>
      </c>
      <c r="AW892" s="58">
        <f t="shared" si="217"/>
        <v>-3.2441357720060653</v>
      </c>
      <c r="AX892" s="58">
        <f t="shared" si="232"/>
        <v>12.448554022596245</v>
      </c>
      <c r="AY892" s="33">
        <f t="shared" si="218"/>
        <v>-1.0285587608574449</v>
      </c>
      <c r="AZ892" s="33">
        <f t="shared" si="219"/>
        <v>5.2082012241340747</v>
      </c>
      <c r="BA892" s="39">
        <f t="shared" si="220"/>
        <v>-0.52059751655749265</v>
      </c>
      <c r="BB892" s="39">
        <f t="shared" si="221"/>
        <v>1.6029366843538646</v>
      </c>
      <c r="BC892" s="45">
        <f t="shared" si="222"/>
        <v>-1.6949794945911276</v>
      </c>
      <c r="BD892" s="45">
        <f t="shared" si="223"/>
        <v>5.637416114108305</v>
      </c>
      <c r="BE892" s="64">
        <f t="shared" si="224"/>
        <v>98478535826.66713</v>
      </c>
      <c r="BF892" s="65">
        <f t="shared" si="225"/>
        <v>106488124242.60814</v>
      </c>
      <c r="BG892" s="66">
        <f t="shared" si="226"/>
        <v>88795788713.925323</v>
      </c>
    </row>
    <row r="893" spans="43:59" x14ac:dyDescent="0.25">
      <c r="AQ893" s="7">
        <v>878</v>
      </c>
      <c r="AR893" s="58">
        <f t="shared" si="227"/>
        <v>439</v>
      </c>
      <c r="AS893" s="58">
        <f t="shared" si="228"/>
        <v>81162.626156052429</v>
      </c>
      <c r="AT893" s="58">
        <f t="shared" si="229"/>
        <v>-300858.7468323881</v>
      </c>
      <c r="AU893" s="58">
        <f t="shared" si="230"/>
        <v>724.31496458417723</v>
      </c>
      <c r="AV893" s="58">
        <f t="shared" si="231"/>
        <v>-981.036167104181</v>
      </c>
      <c r="AW893" s="58">
        <f t="shared" si="217"/>
        <v>-3.241266479609155</v>
      </c>
      <c r="AX893" s="58">
        <f t="shared" si="232"/>
        <v>12.400587807729408</v>
      </c>
      <c r="AY893" s="33">
        <f t="shared" si="218"/>
        <v>-1.0292459846358171</v>
      </c>
      <c r="AZ893" s="33">
        <f t="shared" si="219"/>
        <v>5.1890676046970468</v>
      </c>
      <c r="BA893" s="39">
        <f t="shared" si="220"/>
        <v>-0.5196950208413873</v>
      </c>
      <c r="BB893" s="39">
        <f t="shared" si="221"/>
        <v>1.596950860731684</v>
      </c>
      <c r="BC893" s="45">
        <f t="shared" si="222"/>
        <v>-1.6923254741319507</v>
      </c>
      <c r="BD893" s="45">
        <f t="shared" si="223"/>
        <v>5.6145693423006771</v>
      </c>
      <c r="BE893" s="64">
        <f t="shared" si="224"/>
        <v>98825983586.34584</v>
      </c>
      <c r="BF893" s="65">
        <f t="shared" si="225"/>
        <v>106867037412.99197</v>
      </c>
      <c r="BG893" s="66">
        <f t="shared" si="226"/>
        <v>89139221286.69101</v>
      </c>
    </row>
    <row r="894" spans="43:59" x14ac:dyDescent="0.25">
      <c r="AQ894" s="7">
        <v>879</v>
      </c>
      <c r="AR894" s="58">
        <f t="shared" si="227"/>
        <v>439.5</v>
      </c>
      <c r="AS894" s="58">
        <f t="shared" si="228"/>
        <v>81524.378480034575</v>
      </c>
      <c r="AT894" s="58">
        <f t="shared" si="229"/>
        <v>-301347.71484246419</v>
      </c>
      <c r="AU894" s="58">
        <f t="shared" si="230"/>
        <v>722.6943313443727</v>
      </c>
      <c r="AV894" s="58">
        <f t="shared" si="231"/>
        <v>-974.83587320031631</v>
      </c>
      <c r="AW894" s="58">
        <f t="shared" si="217"/>
        <v>-3.2384261629259017</v>
      </c>
      <c r="AX894" s="58">
        <f t="shared" si="232"/>
        <v>12.353133557787977</v>
      </c>
      <c r="AY894" s="33">
        <f t="shared" si="218"/>
        <v>-1.0299227453859869</v>
      </c>
      <c r="AZ894" s="33">
        <f t="shared" si="219"/>
        <v>5.1701340872539339</v>
      </c>
      <c r="BA894" s="39">
        <f t="shared" si="220"/>
        <v>-0.51880286068813175</v>
      </c>
      <c r="BB894" s="39">
        <f t="shared" si="221"/>
        <v>1.5910275694103229</v>
      </c>
      <c r="BC894" s="45">
        <f t="shared" si="222"/>
        <v>-1.6897005568517831</v>
      </c>
      <c r="BD894" s="45">
        <f t="shared" si="223"/>
        <v>5.5919719011237214</v>
      </c>
      <c r="BE894" s="64">
        <f t="shared" si="224"/>
        <v>99172160110.766617</v>
      </c>
      <c r="BF894" s="65">
        <f t="shared" si="225"/>
        <v>107244598963.38171</v>
      </c>
      <c r="BG894" s="66">
        <f t="shared" si="226"/>
        <v>89481481866.857452</v>
      </c>
    </row>
    <row r="895" spans="43:59" x14ac:dyDescent="0.25">
      <c r="AQ895" s="7">
        <v>880</v>
      </c>
      <c r="AR895" s="58">
        <f t="shared" si="227"/>
        <v>440</v>
      </c>
      <c r="AS895" s="58">
        <f t="shared" si="228"/>
        <v>81885.320842436384</v>
      </c>
      <c r="AT895" s="58">
        <f t="shared" si="229"/>
        <v>-301833.58863736963</v>
      </c>
      <c r="AU895" s="58">
        <f t="shared" si="230"/>
        <v>721.07511826290977</v>
      </c>
      <c r="AV895" s="58">
        <f t="shared" si="231"/>
        <v>-968.65930642142234</v>
      </c>
      <c r="AW895" s="58">
        <f t="shared" si="217"/>
        <v>-3.2356148723077798</v>
      </c>
      <c r="AX895" s="58">
        <f t="shared" si="232"/>
        <v>12.306184307589046</v>
      </c>
      <c r="AY895" s="33">
        <f t="shared" si="218"/>
        <v>-1.0305894106779845</v>
      </c>
      <c r="AZ895" s="33">
        <f t="shared" si="219"/>
        <v>5.1513980452386399</v>
      </c>
      <c r="BA895" s="39">
        <f t="shared" si="220"/>
        <v>-0.51792093529743166</v>
      </c>
      <c r="BB895" s="39">
        <f t="shared" si="221"/>
        <v>1.5851659743407542</v>
      </c>
      <c r="BC895" s="45">
        <f t="shared" si="222"/>
        <v>-1.6871045263323634</v>
      </c>
      <c r="BD895" s="45">
        <f t="shared" si="223"/>
        <v>5.5696202880096513</v>
      </c>
      <c r="BE895" s="64">
        <f t="shared" si="224"/>
        <v>99517061995.044693</v>
      </c>
      <c r="BF895" s="65">
        <f t="shared" si="225"/>
        <v>107620805605.62646</v>
      </c>
      <c r="BG895" s="66">
        <f t="shared" si="226"/>
        <v>89822566548.484894</v>
      </c>
    </row>
    <row r="896" spans="43:59" x14ac:dyDescent="0.25">
      <c r="AQ896" s="7">
        <v>881</v>
      </c>
      <c r="AR896" s="58">
        <f t="shared" si="227"/>
        <v>440.5</v>
      </c>
      <c r="AS896" s="58">
        <f t="shared" si="228"/>
        <v>82245.453949708797</v>
      </c>
      <c r="AT896" s="58">
        <f t="shared" si="229"/>
        <v>-302316.38001754187</v>
      </c>
      <c r="AU896" s="58">
        <f t="shared" si="230"/>
        <v>719.45731082675593</v>
      </c>
      <c r="AV896" s="58">
        <f t="shared" si="231"/>
        <v>-962.5062142676278</v>
      </c>
      <c r="AW896" s="58">
        <f t="shared" si="217"/>
        <v>-3.2328326534165779</v>
      </c>
      <c r="AX896" s="58">
        <f t="shared" si="232"/>
        <v>12.259733220334745</v>
      </c>
      <c r="AY896" s="33">
        <f t="shared" si="218"/>
        <v>-1.0312463392784006</v>
      </c>
      <c r="AZ896" s="33">
        <f t="shared" si="219"/>
        <v>5.1328568990711094</v>
      </c>
      <c r="BA896" s="39">
        <f t="shared" si="220"/>
        <v>-0.51704914550338754</v>
      </c>
      <c r="BB896" s="39">
        <f t="shared" si="221"/>
        <v>1.5793652546567933</v>
      </c>
      <c r="BC896" s="45">
        <f t="shared" si="222"/>
        <v>-1.6845371686347899</v>
      </c>
      <c r="BD896" s="45">
        <f t="shared" si="223"/>
        <v>5.5475110666068428</v>
      </c>
      <c r="BE896" s="64">
        <f t="shared" si="224"/>
        <v>99860685864.579239</v>
      </c>
      <c r="BF896" s="65">
        <f t="shared" si="225"/>
        <v>107995654080.64365</v>
      </c>
      <c r="BG896" s="66">
        <f t="shared" si="226"/>
        <v>90162471461.275299</v>
      </c>
    </row>
    <row r="897" spans="43:59" x14ac:dyDescent="0.25">
      <c r="AQ897" s="7">
        <v>882</v>
      </c>
      <c r="AR897" s="58">
        <f t="shared" si="227"/>
        <v>441</v>
      </c>
      <c r="AS897" s="58">
        <f t="shared" si="228"/>
        <v>82604.778501040491</v>
      </c>
      <c r="AT897" s="58">
        <f t="shared" si="229"/>
        <v>-302796.10065802309</v>
      </c>
      <c r="AU897" s="58">
        <f t="shared" si="230"/>
        <v>717.84089450004763</v>
      </c>
      <c r="AV897" s="58">
        <f t="shared" si="231"/>
        <v>-956.37634765746043</v>
      </c>
      <c r="AW897" s="58">
        <f t="shared" si="217"/>
        <v>-3.2300795474259698</v>
      </c>
      <c r="AX897" s="58">
        <f t="shared" si="232"/>
        <v>12.213773584738147</v>
      </c>
      <c r="AY897" s="33">
        <f t="shared" si="218"/>
        <v>-1.0318938813961309</v>
      </c>
      <c r="AZ897" s="33">
        <f t="shared" si="219"/>
        <v>5.1145081151396514</v>
      </c>
      <c r="BA897" s="39">
        <f t="shared" si="220"/>
        <v>-0.51618739374431233</v>
      </c>
      <c r="BB897" s="39">
        <f t="shared" si="221"/>
        <v>1.5736246043395647</v>
      </c>
      <c r="BC897" s="45">
        <f t="shared" si="222"/>
        <v>-1.6819982722855267</v>
      </c>
      <c r="BD897" s="45">
        <f t="shared" si="223"/>
        <v>5.5256408652589313</v>
      </c>
      <c r="BE897" s="64">
        <f t="shared" si="224"/>
        <v>100203028374.73833</v>
      </c>
      <c r="BF897" s="65">
        <f t="shared" si="225"/>
        <v>108369141158.11169</v>
      </c>
      <c r="BG897" s="66">
        <f t="shared" si="226"/>
        <v>90501192770.179321</v>
      </c>
    </row>
    <row r="898" spans="43:59" x14ac:dyDescent="0.25">
      <c r="AQ898" s="7">
        <v>883</v>
      </c>
      <c r="AR898" s="58">
        <f t="shared" si="227"/>
        <v>441.5</v>
      </c>
      <c r="AS898" s="58">
        <f t="shared" si="228"/>
        <v>82963.295188347096</v>
      </c>
      <c r="AT898" s="58">
        <f t="shared" si="229"/>
        <v>-303272.76211015368</v>
      </c>
      <c r="AU898" s="58">
        <f t="shared" si="230"/>
        <v>716.22585472633466</v>
      </c>
      <c r="AV898" s="58">
        <f t="shared" si="231"/>
        <v>-950.26946086509133</v>
      </c>
      <c r="AW898" s="58">
        <f t="shared" si="217"/>
        <v>-3.2273555912158258</v>
      </c>
      <c r="AX898" s="58">
        <f t="shared" si="232"/>
        <v>12.168298812226244</v>
      </c>
      <c r="AY898" s="33">
        <f t="shared" si="218"/>
        <v>-1.0325323789206957</v>
      </c>
      <c r="AZ898" s="33">
        <f t="shared" si="219"/>
        <v>5.0963492048100374</v>
      </c>
      <c r="BA898" s="39">
        <f t="shared" si="220"/>
        <v>-0.515335584033218</v>
      </c>
      <c r="BB898" s="39">
        <f t="shared" si="221"/>
        <v>1.5679432318907225</v>
      </c>
      <c r="BC898" s="45">
        <f t="shared" si="222"/>
        <v>-1.6794876282619122</v>
      </c>
      <c r="BD898" s="45">
        <f t="shared" si="223"/>
        <v>5.5040063755254831</v>
      </c>
      <c r="BE898" s="64">
        <f t="shared" si="224"/>
        <v>100544086210.5491</v>
      </c>
      <c r="BF898" s="65">
        <f t="shared" si="225"/>
        <v>108741263636.16763</v>
      </c>
      <c r="BG898" s="66">
        <f t="shared" si="226"/>
        <v>90838726675.009537</v>
      </c>
    </row>
    <row r="899" spans="43:59" x14ac:dyDescent="0.25">
      <c r="AQ899" s="7">
        <v>884</v>
      </c>
      <c r="AR899" s="58">
        <f t="shared" si="227"/>
        <v>442</v>
      </c>
      <c r="AS899" s="58">
        <f t="shared" si="228"/>
        <v>83321.004696261356</v>
      </c>
      <c r="AT899" s="58">
        <f t="shared" si="229"/>
        <v>-303746.3758032347</v>
      </c>
      <c r="AU899" s="58">
        <f t="shared" si="230"/>
        <v>714.61217693072672</v>
      </c>
      <c r="AV899" s="58">
        <f t="shared" si="231"/>
        <v>-944.18531145897816</v>
      </c>
      <c r="AW899" s="58">
        <f t="shared" si="217"/>
        <v>-3.2246608175592448</v>
      </c>
      <c r="AX899" s="58">
        <f t="shared" si="232"/>
        <v>12.123302434216409</v>
      </c>
      <c r="AY899" s="33">
        <f t="shared" si="218"/>
        <v>-1.033162165653174</v>
      </c>
      <c r="AZ899" s="33">
        <f t="shared" si="219"/>
        <v>5.0783777234595551</v>
      </c>
      <c r="BA899" s="39">
        <f t="shared" si="220"/>
        <v>-0.51449362192896408</v>
      </c>
      <c r="BB899" s="39">
        <f t="shared" si="221"/>
        <v>1.5623203600142019</v>
      </c>
      <c r="BC899" s="45">
        <f t="shared" si="222"/>
        <v>-1.6770050299771069</v>
      </c>
      <c r="BD899" s="45">
        <f t="shared" si="223"/>
        <v>5.4826043507426512</v>
      </c>
      <c r="BE899" s="64">
        <f t="shared" si="224"/>
        <v>100883856086.39236</v>
      </c>
      <c r="BF899" s="65">
        <f t="shared" si="225"/>
        <v>109112018341.10944</v>
      </c>
      <c r="BG899" s="66">
        <f t="shared" si="226"/>
        <v>91175069410.05986</v>
      </c>
    </row>
    <row r="900" spans="43:59" x14ac:dyDescent="0.25">
      <c r="AQ900" s="7">
        <v>885</v>
      </c>
      <c r="AR900" s="58">
        <f t="shared" si="227"/>
        <v>442.5</v>
      </c>
      <c r="AS900" s="58">
        <f t="shared" si="228"/>
        <v>83677.907702124532</v>
      </c>
      <c r="AT900" s="58">
        <f t="shared" si="229"/>
        <v>-304216.95304615994</v>
      </c>
      <c r="AU900" s="58">
        <f t="shared" si="230"/>
        <v>712.99984652194712</v>
      </c>
      <c r="AV900" s="58">
        <f t="shared" si="231"/>
        <v>-938.12366024186997</v>
      </c>
      <c r="AW900" s="58">
        <f t="shared" si="217"/>
        <v>-3.2219952553029687</v>
      </c>
      <c r="AX900" s="58">
        <f t="shared" si="232"/>
        <v>12.078778099465552</v>
      </c>
      <c r="AY900" s="33">
        <f t="shared" si="218"/>
        <v>-1.0337835675301952</v>
      </c>
      <c r="AZ900" s="33">
        <f t="shared" si="219"/>
        <v>5.0605912695361717</v>
      </c>
      <c r="BA900" s="39">
        <f t="shared" si="220"/>
        <v>-0.51366141450809188</v>
      </c>
      <c r="BB900" s="39">
        <f t="shared" si="221"/>
        <v>1.556755225306363</v>
      </c>
      <c r="BC900" s="45">
        <f t="shared" si="222"/>
        <v>-1.6745502732646818</v>
      </c>
      <c r="BD900" s="45">
        <f t="shared" si="223"/>
        <v>5.4614316046230167</v>
      </c>
      <c r="BE900" s="64">
        <f t="shared" si="224"/>
        <v>101222334745.70218</v>
      </c>
      <c r="BF900" s="65">
        <f t="shared" si="225"/>
        <v>109481402127.10292</v>
      </c>
      <c r="BG900" s="66">
        <f t="shared" si="226"/>
        <v>91510217243.731201</v>
      </c>
    </row>
    <row r="901" spans="43:59" x14ac:dyDescent="0.25">
      <c r="AQ901" s="7">
        <v>886</v>
      </c>
      <c r="AR901" s="58">
        <f t="shared" si="227"/>
        <v>443</v>
      </c>
      <c r="AS901" s="58">
        <f t="shared" si="228"/>
        <v>84034.004875978586</v>
      </c>
      <c r="AT901" s="58">
        <f t="shared" si="229"/>
        <v>-304684.50502901844</v>
      </c>
      <c r="AU901" s="58">
        <f t="shared" si="230"/>
        <v>711.38884889429562</v>
      </c>
      <c r="AV901" s="58">
        <f t="shared" si="231"/>
        <v>-932.08427119213718</v>
      </c>
      <c r="AW901" s="58">
        <f t="shared" si="217"/>
        <v>-3.2193589295409413</v>
      </c>
      <c r="AX901" s="58">
        <f t="shared" si="232"/>
        <v>12.034719571487896</v>
      </c>
      <c r="AY901" s="33">
        <f t="shared" si="218"/>
        <v>-1.0343969028410183</v>
      </c>
      <c r="AZ901" s="33">
        <f t="shared" si="219"/>
        <v>5.0429874836410962</v>
      </c>
      <c r="BA901" s="39">
        <f t="shared" si="220"/>
        <v>-0.51283887033729536</v>
      </c>
      <c r="BB901" s="39">
        <f t="shared" si="221"/>
        <v>1.5512470779541807</v>
      </c>
      <c r="BC901" s="45">
        <f t="shared" si="222"/>
        <v>-1.6721231563626278</v>
      </c>
      <c r="BD901" s="45">
        <f t="shared" si="223"/>
        <v>5.440485009892619</v>
      </c>
      <c r="BE901" s="64">
        <f t="shared" si="224"/>
        <v>101559518960.67009</v>
      </c>
      <c r="BF901" s="65">
        <f t="shared" si="225"/>
        <v>109849411875.89348</v>
      </c>
      <c r="BG901" s="66">
        <f t="shared" si="226"/>
        <v>91844166478.163193</v>
      </c>
    </row>
    <row r="902" spans="43:59" x14ac:dyDescent="0.25">
      <c r="AQ902" s="7">
        <v>887</v>
      </c>
      <c r="AR902" s="58">
        <f t="shared" si="227"/>
        <v>443.5</v>
      </c>
      <c r="AS902" s="58">
        <f t="shared" si="228"/>
        <v>84389.296880559545</v>
      </c>
      <c r="AT902" s="58">
        <f t="shared" si="229"/>
        <v>-305149.04282466805</v>
      </c>
      <c r="AU902" s="58">
        <f t="shared" si="230"/>
        <v>709.77916942952515</v>
      </c>
      <c r="AV902" s="58">
        <f t="shared" si="231"/>
        <v>-926.06691140639327</v>
      </c>
      <c r="AW902" s="58">
        <f t="shared" si="217"/>
        <v>-3.216751861781832</v>
      </c>
      <c r="AX902" s="58">
        <f t="shared" si="232"/>
        <v>11.991120726041478</v>
      </c>
      <c r="AY902" s="33">
        <f t="shared" si="218"/>
        <v>-1.0350024824381796</v>
      </c>
      <c r="AZ902" s="33">
        <f t="shared" si="219"/>
        <v>5.0255640476352434</v>
      </c>
      <c r="BA902" s="39">
        <f t="shared" si="220"/>
        <v>-0.51202589944648491</v>
      </c>
      <c r="BB902" s="39">
        <f t="shared" si="221"/>
        <v>1.5457951814411581</v>
      </c>
      <c r="BC902" s="45">
        <f t="shared" si="222"/>
        <v>-1.6697234798971676</v>
      </c>
      <c r="BD902" s="45">
        <f t="shared" si="223"/>
        <v>5.4197614969650765</v>
      </c>
      <c r="BE902" s="64">
        <f t="shared" si="224"/>
        <v>101895405531.95396</v>
      </c>
      <c r="BF902" s="65">
        <f t="shared" si="225"/>
        <v>110216044496.52206</v>
      </c>
      <c r="BG902" s="66">
        <f t="shared" si="226"/>
        <v>92176913448.871872</v>
      </c>
    </row>
    <row r="903" spans="43:59" x14ac:dyDescent="0.25">
      <c r="AQ903" s="7">
        <v>888</v>
      </c>
      <c r="AR903" s="58">
        <f t="shared" si="227"/>
        <v>444</v>
      </c>
      <c r="AS903" s="58">
        <f t="shared" si="228"/>
        <v>84743.784371291593</v>
      </c>
      <c r="AT903" s="58">
        <f t="shared" si="229"/>
        <v>-305610.57739028049</v>
      </c>
      <c r="AU903" s="58">
        <f t="shared" si="230"/>
        <v>708.17079349863423</v>
      </c>
      <c r="AV903" s="58">
        <f t="shared" si="231"/>
        <v>-920.07135104337249</v>
      </c>
      <c r="AW903" s="58">
        <f t="shared" si="217"/>
        <v>-3.2141740701103512</v>
      </c>
      <c r="AX903" s="58">
        <f t="shared" si="232"/>
        <v>11.947975548679654</v>
      </c>
      <c r="AY903" s="33">
        <f t="shared" si="218"/>
        <v>-1.0356006099417201</v>
      </c>
      <c r="AZ903" s="33">
        <f t="shared" si="219"/>
        <v>5.0083186837678815</v>
      </c>
      <c r="BA903" s="39">
        <f t="shared" si="220"/>
        <v>-0.51122241330249385</v>
      </c>
      <c r="BB903" s="39">
        <f t="shared" si="221"/>
        <v>1.5403988122609318</v>
      </c>
      <c r="BC903" s="45">
        <f t="shared" si="222"/>
        <v>-1.6673510468661374</v>
      </c>
      <c r="BD903" s="45">
        <f t="shared" si="223"/>
        <v>5.3992580526508416</v>
      </c>
      <c r="BE903" s="64">
        <f t="shared" si="224"/>
        <v>102229991288.39114</v>
      </c>
      <c r="BF903" s="65">
        <f t="shared" si="225"/>
        <v>110581296925.04587</v>
      </c>
      <c r="BG903" s="66">
        <f t="shared" si="226"/>
        <v>92508454524.393097</v>
      </c>
    </row>
    <row r="904" spans="43:59" x14ac:dyDescent="0.25">
      <c r="AQ904" s="7">
        <v>889</v>
      </c>
      <c r="AR904" s="58">
        <f t="shared" si="227"/>
        <v>444.5</v>
      </c>
      <c r="AS904" s="58">
        <f t="shared" si="228"/>
        <v>85097.467996282139</v>
      </c>
      <c r="AT904" s="58">
        <f t="shared" si="229"/>
        <v>-306069.11956885864</v>
      </c>
      <c r="AU904" s="58">
        <f t="shared" si="230"/>
        <v>706.56370646357902</v>
      </c>
      <c r="AV904" s="58">
        <f t="shared" si="231"/>
        <v>-914.09736326903271</v>
      </c>
      <c r="AW904" s="58">
        <f t="shared" si="217"/>
        <v>-3.2116255693426812</v>
      </c>
      <c r="AX904" s="58">
        <f t="shared" si="232"/>
        <v>11.905278132366082</v>
      </c>
      <c r="AY904" s="33">
        <f t="shared" si="218"/>
        <v>-1.0361915819372958</v>
      </c>
      <c r="AZ904" s="33">
        <f t="shared" si="219"/>
        <v>4.9912491538272654</v>
      </c>
      <c r="BA904" s="39">
        <f t="shared" si="220"/>
        <v>-0.51042832478337019</v>
      </c>
      <c r="BB904" s="39">
        <f t="shared" si="221"/>
        <v>1.5350572596382088</v>
      </c>
      <c r="BC904" s="45">
        <f t="shared" si="222"/>
        <v>-1.6650056626220155</v>
      </c>
      <c r="BD904" s="45">
        <f t="shared" si="223"/>
        <v>5.3789717189006065</v>
      </c>
      <c r="BE904" s="64">
        <f t="shared" si="224"/>
        <v>102563273086.71614</v>
      </c>
      <c r="BF904" s="65">
        <f t="shared" si="225"/>
        <v>110945166124.26302</v>
      </c>
      <c r="BG904" s="66">
        <f t="shared" si="226"/>
        <v>92838786105.93161</v>
      </c>
    </row>
    <row r="905" spans="43:59" x14ac:dyDescent="0.25">
      <c r="AQ905" s="7">
        <v>890</v>
      </c>
      <c r="AR905" s="58">
        <f t="shared" si="227"/>
        <v>445</v>
      </c>
      <c r="AS905" s="58">
        <f t="shared" si="228"/>
        <v>85450.348396317757</v>
      </c>
      <c r="AT905" s="58">
        <f t="shared" si="229"/>
        <v>-306524.68009072664</v>
      </c>
      <c r="AU905" s="58">
        <f t="shared" si="230"/>
        <v>704.95789367890768</v>
      </c>
      <c r="AV905" s="58">
        <f t="shared" si="231"/>
        <v>-908.14472420284972</v>
      </c>
      <c r="AW905" s="58">
        <f t="shared" si="217"/>
        <v>-3.2091063711764116</v>
      </c>
      <c r="AX905" s="58">
        <f t="shared" si="232"/>
        <v>11.86302267515179</v>
      </c>
      <c r="AY905" s="33">
        <f t="shared" si="218"/>
        <v>-1.0367756881683661</v>
      </c>
      <c r="AZ905" s="33">
        <f t="shared" si="219"/>
        <v>4.9743532583125392</v>
      </c>
      <c r="BA905" s="39">
        <f t="shared" si="220"/>
        <v>-0.50964354815321267</v>
      </c>
      <c r="BB905" s="39">
        <f t="shared" si="221"/>
        <v>1.5297698252567506</v>
      </c>
      <c r="BC905" s="45">
        <f t="shared" si="222"/>
        <v>-1.6626871348548327</v>
      </c>
      <c r="BD905" s="45">
        <f t="shared" si="223"/>
        <v>5.3588995915824995</v>
      </c>
      <c r="BE905" s="64">
        <f t="shared" si="224"/>
        <v>102895247811.28258</v>
      </c>
      <c r="BF905" s="65">
        <f t="shared" si="225"/>
        <v>111307649083.44165</v>
      </c>
      <c r="BG905" s="66">
        <f t="shared" si="226"/>
        <v>93167904627.015778</v>
      </c>
    </row>
    <row r="906" spans="43:59" x14ac:dyDescent="0.25">
      <c r="AQ906" s="7">
        <v>891</v>
      </c>
      <c r="AR906" s="58">
        <f t="shared" si="227"/>
        <v>445.5</v>
      </c>
      <c r="AS906" s="58">
        <f t="shared" si="228"/>
        <v>85802.426204860822</v>
      </c>
      <c r="AT906" s="58">
        <f t="shared" si="229"/>
        <v>-306977.26957499364</v>
      </c>
      <c r="AU906" s="58">
        <f t="shared" si="230"/>
        <v>703.35334049331948</v>
      </c>
      <c r="AV906" s="58">
        <f t="shared" si="231"/>
        <v>-902.21321286527382</v>
      </c>
      <c r="AW906" s="58">
        <f t="shared" si="217"/>
        <v>-3.2066164843349512</v>
      </c>
      <c r="AX906" s="58">
        <f t="shared" si="232"/>
        <v>11.821203477911823</v>
      </c>
      <c r="AY906" s="33">
        <f t="shared" si="218"/>
        <v>-1.0373532117227</v>
      </c>
      <c r="AZ906" s="33">
        <f t="shared" si="219"/>
        <v>4.9576288356265312</v>
      </c>
      <c r="BA906" s="39">
        <f t="shared" si="220"/>
        <v>-0.50886799903762736</v>
      </c>
      <c r="BB906" s="39">
        <f t="shared" si="221"/>
        <v>1.5245358229944552</v>
      </c>
      <c r="BC906" s="45">
        <f t="shared" si="222"/>
        <v>-1.6603952735746239</v>
      </c>
      <c r="BD906" s="45">
        <f t="shared" si="223"/>
        <v>5.3390388192908356</v>
      </c>
      <c r="BE906" s="64">
        <f t="shared" si="224"/>
        <v>103225912373.78937</v>
      </c>
      <c r="BF906" s="65">
        <f t="shared" si="225"/>
        <v>111668742818.05321</v>
      </c>
      <c r="BG906" s="66">
        <f t="shared" si="226"/>
        <v>93495806553.1577</v>
      </c>
    </row>
    <row r="907" spans="43:59" x14ac:dyDescent="0.25">
      <c r="AQ907" s="7">
        <v>892</v>
      </c>
      <c r="AR907" s="58">
        <f t="shared" si="227"/>
        <v>446</v>
      </c>
      <c r="AS907" s="58">
        <f t="shared" si="228"/>
        <v>86153.702048046936</v>
      </c>
      <c r="AT907" s="58">
        <f t="shared" si="229"/>
        <v>-307426.89853099157</v>
      </c>
      <c r="AU907" s="58">
        <f t="shared" si="230"/>
        <v>701.75003225115199</v>
      </c>
      <c r="AV907" s="58">
        <f t="shared" si="231"/>
        <v>-896.30261112631786</v>
      </c>
      <c r="AW907" s="58">
        <f t="shared" si="217"/>
        <v>-3.2041559147067931</v>
      </c>
      <c r="AX907" s="58">
        <f t="shared" si="232"/>
        <v>11.779814942140042</v>
      </c>
      <c r="AY907" s="33">
        <f t="shared" si="218"/>
        <v>-1.0379244292132941</v>
      </c>
      <c r="AZ907" s="33">
        <f t="shared" si="219"/>
        <v>4.9410737612883553</v>
      </c>
      <c r="BA907" s="39">
        <f t="shared" si="220"/>
        <v>-0.50810159439967306</v>
      </c>
      <c r="BB907" s="39">
        <f t="shared" si="221"/>
        <v>1.5193545786649978</v>
      </c>
      <c r="BC907" s="45">
        <f t="shared" si="222"/>
        <v>-1.658129891093826</v>
      </c>
      <c r="BD907" s="45">
        <f t="shared" si="223"/>
        <v>5.3193866021866905</v>
      </c>
      <c r="BE907" s="64">
        <f t="shared" si="224"/>
        <v>103555263713.01123</v>
      </c>
      <c r="BF907" s="65">
        <f t="shared" si="225"/>
        <v>112028444369.50995</v>
      </c>
      <c r="BG907" s="66">
        <f t="shared" si="226"/>
        <v>93822488381.518951</v>
      </c>
    </row>
    <row r="908" spans="43:59" x14ac:dyDescent="0.25">
      <c r="AQ908" s="7">
        <v>893</v>
      </c>
      <c r="AR908" s="58">
        <f t="shared" si="227"/>
        <v>446.5</v>
      </c>
      <c r="AS908" s="58">
        <f t="shared" si="228"/>
        <v>86504.176544683171</v>
      </c>
      <c r="AT908" s="58">
        <f t="shared" si="229"/>
        <v>-307873.57735968695</v>
      </c>
      <c r="AU908" s="58">
        <f t="shared" si="230"/>
        <v>700.14795429379865</v>
      </c>
      <c r="AV908" s="58">
        <f t="shared" si="231"/>
        <v>-890.41270365524781</v>
      </c>
      <c r="AW908" s="58">
        <f t="shared" si="217"/>
        <v>-3.2017246654797695</v>
      </c>
      <c r="AX908" s="58">
        <f t="shared" si="232"/>
        <v>11.738851567800282</v>
      </c>
      <c r="AY908" s="33">
        <f t="shared" si="218"/>
        <v>-1.0384896109539541</v>
      </c>
      <c r="AZ908" s="33">
        <f t="shared" si="219"/>
        <v>4.9246859471655515</v>
      </c>
      <c r="BA908" s="39">
        <f t="shared" si="220"/>
        <v>-0.50734425251638238</v>
      </c>
      <c r="BB908" s="39">
        <f t="shared" si="221"/>
        <v>1.5142254297661131</v>
      </c>
      <c r="BC908" s="45">
        <f t="shared" si="222"/>
        <v>-1.6558908020094332</v>
      </c>
      <c r="BD908" s="45">
        <f t="shared" si="223"/>
        <v>5.2999401908686172</v>
      </c>
      <c r="BE908" s="64">
        <f t="shared" si="224"/>
        <v>103883298794.53284</v>
      </c>
      <c r="BF908" s="65">
        <f t="shared" si="225"/>
        <v>112386750804.90593</v>
      </c>
      <c r="BG908" s="66">
        <f t="shared" si="226"/>
        <v>94147946640.581085</v>
      </c>
    </row>
    <row r="909" spans="43:59" x14ac:dyDescent="0.25">
      <c r="AQ909" s="7">
        <v>894</v>
      </c>
      <c r="AR909" s="58">
        <f t="shared" si="227"/>
        <v>447</v>
      </c>
      <c r="AS909" s="58">
        <f t="shared" si="228"/>
        <v>86853.850306246881</v>
      </c>
      <c r="AT909" s="58">
        <f t="shared" si="229"/>
        <v>-308317.31635506859</v>
      </c>
      <c r="AU909" s="58">
        <f t="shared" si="230"/>
        <v>698.54709196105875</v>
      </c>
      <c r="AV909" s="58">
        <f t="shared" si="231"/>
        <v>-884.54327787134764</v>
      </c>
      <c r="AW909" s="58">
        <f t="shared" si="217"/>
        <v>-3.1993227372704167</v>
      </c>
      <c r="AX909" s="58">
        <f t="shared" si="232"/>
        <v>11.698307951232062</v>
      </c>
      <c r="AY909" s="33">
        <f t="shared" si="218"/>
        <v>-1.0390490211297427</v>
      </c>
      <c r="AZ909" s="33">
        <f t="shared" si="219"/>
        <v>4.9084633407253992</v>
      </c>
      <c r="BA909" s="39">
        <f t="shared" si="220"/>
        <v>-0.50659589295576934</v>
      </c>
      <c r="BB909" s="39">
        <f t="shared" si="221"/>
        <v>1.5091477252341239</v>
      </c>
      <c r="BC909" s="45">
        <f t="shared" si="222"/>
        <v>-1.6536778231849047</v>
      </c>
      <c r="BD909" s="45">
        <f t="shared" si="223"/>
        <v>5.2806968852725387</v>
      </c>
      <c r="BE909" s="64">
        <f t="shared" si="224"/>
        <v>104210014610.48753</v>
      </c>
      <c r="BF909" s="65">
        <f t="shared" si="225"/>
        <v>112743659216.76263</v>
      </c>
      <c r="BG909" s="66">
        <f t="shared" si="226"/>
        <v>94472177889.821793</v>
      </c>
    </row>
    <row r="910" spans="43:59" x14ac:dyDescent="0.25">
      <c r="AQ910" s="7">
        <v>895</v>
      </c>
      <c r="AR910" s="58">
        <f t="shared" si="227"/>
        <v>447.5</v>
      </c>
      <c r="AS910" s="58">
        <f t="shared" si="228"/>
        <v>87202.723936885246</v>
      </c>
      <c r="AT910" s="58">
        <f t="shared" si="229"/>
        <v>-308758.12570551032</v>
      </c>
      <c r="AU910" s="58">
        <f t="shared" si="230"/>
        <v>696.94743059242353</v>
      </c>
      <c r="AV910" s="58">
        <f t="shared" si="231"/>
        <v>-878.69412389573165</v>
      </c>
      <c r="AW910" s="58">
        <f t="shared" si="217"/>
        <v>-3.1969501282488721</v>
      </c>
      <c r="AX910" s="58">
        <f t="shared" si="232"/>
        <v>11.658178783109856</v>
      </c>
      <c r="AY910" s="33">
        <f t="shared" si="218"/>
        <v>-1.0396029179623762</v>
      </c>
      <c r="AZ910" s="33">
        <f t="shared" si="219"/>
        <v>4.892403924304368</v>
      </c>
      <c r="BA910" s="39">
        <f t="shared" si="220"/>
        <v>-0.50585643655438439</v>
      </c>
      <c r="BB910" s="39">
        <f t="shared" si="221"/>
        <v>1.5041208252047418</v>
      </c>
      <c r="BC910" s="45">
        <f t="shared" si="222"/>
        <v>-1.6514907737321118</v>
      </c>
      <c r="BD910" s="45">
        <f t="shared" si="223"/>
        <v>5.2616540336007454</v>
      </c>
      <c r="BE910" s="64">
        <f t="shared" si="224"/>
        <v>104535408179.29958</v>
      </c>
      <c r="BF910" s="65">
        <f t="shared" si="225"/>
        <v>113099166722.77795</v>
      </c>
      <c r="BG910" s="66">
        <f t="shared" si="226"/>
        <v>94795178719.395874</v>
      </c>
    </row>
    <row r="911" spans="43:59" x14ac:dyDescent="0.25">
      <c r="AQ911" s="7">
        <v>896</v>
      </c>
      <c r="AR911" s="58">
        <f t="shared" si="227"/>
        <v>448</v>
      </c>
      <c r="AS911" s="58">
        <f t="shared" si="228"/>
        <v>87550.798033415427</v>
      </c>
      <c r="AT911" s="58">
        <f t="shared" si="229"/>
        <v>-309196.0154951103</v>
      </c>
      <c r="AU911" s="58">
        <f t="shared" si="230"/>
        <v>695.34895552829914</v>
      </c>
      <c r="AV911" s="58">
        <f t="shared" si="231"/>
        <v>-872.86503450417672</v>
      </c>
      <c r="AW911" s="58">
        <f t="shared" si="217"/>
        <v>-3.1946068342590603</v>
      </c>
      <c r="AX911" s="58">
        <f t="shared" si="232"/>
        <v>11.618458846453183</v>
      </c>
      <c r="AY911" s="33">
        <f t="shared" si="218"/>
        <v>-1.0401515538708308</v>
      </c>
      <c r="AZ911" s="33">
        <f t="shared" si="219"/>
        <v>4.8765057143956927</v>
      </c>
      <c r="BA911" s="39">
        <f t="shared" si="220"/>
        <v>-0.50512580539531371</v>
      </c>
      <c r="BB911" s="39">
        <f t="shared" si="221"/>
        <v>1.49914410077969</v>
      </c>
      <c r="BC911" s="45">
        <f t="shared" si="222"/>
        <v>-1.6493294749929159</v>
      </c>
      <c r="BD911" s="45">
        <f t="shared" si="223"/>
        <v>5.2428090312778002</v>
      </c>
      <c r="BE911" s="64">
        <f t="shared" si="224"/>
        <v>104859476545.43042</v>
      </c>
      <c r="BF911" s="65">
        <f t="shared" si="225"/>
        <v>113453270465.57921</v>
      </c>
      <c r="BG911" s="66">
        <f t="shared" si="226"/>
        <v>95116945749.821243</v>
      </c>
    </row>
    <row r="912" spans="43:59" x14ac:dyDescent="0.25">
      <c r="AQ912" s="7">
        <v>897</v>
      </c>
      <c r="AR912" s="58">
        <f t="shared" si="227"/>
        <v>448.5</v>
      </c>
      <c r="AS912" s="58">
        <f t="shared" si="228"/>
        <v>87898.073185325295</v>
      </c>
      <c r="AT912" s="58">
        <f t="shared" si="229"/>
        <v>-309630.99570500659</v>
      </c>
      <c r="AU912" s="58">
        <f t="shared" si="230"/>
        <v>693.75165211116962</v>
      </c>
      <c r="AV912" s="58">
        <f t="shared" si="231"/>
        <v>-867.05580508095011</v>
      </c>
      <c r="AW912" s="58">
        <f t="shared" ref="AW912:AW975" si="233">(AY912+BA912+BC912)</f>
        <v>-3.1922928489348066</v>
      </c>
      <c r="AX912" s="58">
        <f t="shared" si="232"/>
        <v>11.579143014687382</v>
      </c>
      <c r="AY912" s="33">
        <f t="shared" ref="AY912:AY975" si="234">$H$27*(($H$23-AS912)/(BE912+$H$28^2)^(3/2))</f>
        <v>-1.0406951756272143</v>
      </c>
      <c r="AZ912" s="33">
        <f t="shared" ref="AZ912:AZ975" si="235">$H$27*(($I$23-AT912)/(BE912+$H$28^2)^(3/2))</f>
        <v>4.8607667609540579</v>
      </c>
      <c r="BA912" s="39">
        <f t="shared" ref="BA912:BA975" si="236">$H$35*(($H$31-AS912)/(BF912+$H$36^2)^(3/2))</f>
        <v>-0.50440392278671353</v>
      </c>
      <c r="BB912" s="39">
        <f t="shared" ref="BB912:BB975" si="237">$H$35*(($I$31-AT912)/(BF912+$H$36^2)^(3/2))</f>
        <v>1.4942169337992937</v>
      </c>
      <c r="BC912" s="45">
        <f t="shared" ref="BC912:BC975" si="238">$H$43*(($H$39-AS912)/(BG912+$H$44^2)^(3/2))</f>
        <v>-1.6471937505208789</v>
      </c>
      <c r="BD912" s="45">
        <f t="shared" ref="BD912:BD975" si="239">$H$43*(($I$39-AT912)/(BG912+$H$44^2)^(3/2))</f>
        <v>5.2241593199340306</v>
      </c>
      <c r="BE912" s="64">
        <f t="shared" ref="BE912:BE975" si="240">($H$23-AS912)^2+($I$23-AT912)^2</f>
        <v>105182216779.12869</v>
      </c>
      <c r="BF912" s="65">
        <f t="shared" ref="BF912:BF975" si="241">($H$31-AS912)^2+($I$31-AT912)^2</f>
        <v>113805967612.47975</v>
      </c>
      <c r="BG912" s="66">
        <f t="shared" ref="BG912:BG975" si="242">($H$39-AS912)^2+($I$39-AT912)^2</f>
        <v>95437475631.669662</v>
      </c>
    </row>
    <row r="913" spans="43:59" x14ac:dyDescent="0.25">
      <c r="AQ913" s="7">
        <v>898</v>
      </c>
      <c r="AR913" s="58">
        <f t="shared" ref="AR913:AR976" si="243">AR912+$H$9</f>
        <v>449</v>
      </c>
      <c r="AS913" s="58">
        <f t="shared" ref="AS913:AS976" si="244">AS912+(AU912*$H$9)+(AW912*$H$9^2)*(1/2)</f>
        <v>88244.549974774767</v>
      </c>
      <c r="AT913" s="58">
        <f t="shared" ref="AT913:AT976" si="245">AT912+(AV912*$H$9)+(AX912*$H$9^2)*(1/2)</f>
        <v>-310063.0762146702</v>
      </c>
      <c r="AU913" s="58">
        <f t="shared" ref="AU913:AU976" si="246">AU912+AW912*$H$9</f>
        <v>692.15550568670221</v>
      </c>
      <c r="AV913" s="58">
        <f t="shared" ref="AV913:AV976" si="247">AV912+AX912*$H$9</f>
        <v>-861.26623357360643</v>
      </c>
      <c r="AW913" s="58">
        <f t="shared" si="233"/>
        <v>-3.1900081638116706</v>
      </c>
      <c r="AX913" s="58">
        <f t="shared" ref="AX913:AX976" si="248">(AZ913+BB913+BD913)</f>
        <v>11.540226249752617</v>
      </c>
      <c r="AY913" s="33">
        <f t="shared" si="234"/>
        <v>-1.0412340245081799</v>
      </c>
      <c r="AZ913" s="33">
        <f t="shared" si="235"/>
        <v>4.8451851467175011</v>
      </c>
      <c r="BA913" s="39">
        <f t="shared" si="236"/>
        <v>-0.50369071324076975</v>
      </c>
      <c r="BB913" s="39">
        <f t="shared" si="237"/>
        <v>1.4893387166205689</v>
      </c>
      <c r="BC913" s="45">
        <f t="shared" si="238"/>
        <v>-1.6450834260627212</v>
      </c>
      <c r="BD913" s="45">
        <f t="shared" si="239"/>
        <v>5.2057023864145471</v>
      </c>
      <c r="BE913" s="64">
        <f t="shared" si="240"/>
        <v>105503625976.18398</v>
      </c>
      <c r="BF913" s="65">
        <f t="shared" si="241"/>
        <v>114157255355.2393</v>
      </c>
      <c r="BG913" s="66">
        <f t="shared" si="242"/>
        <v>95756765045.262543</v>
      </c>
    </row>
    <row r="914" spans="43:59" x14ac:dyDescent="0.25">
      <c r="AQ914" s="7">
        <v>899</v>
      </c>
      <c r="AR914" s="58">
        <f t="shared" si="243"/>
        <v>449.5</v>
      </c>
      <c r="AS914" s="58">
        <f t="shared" si="244"/>
        <v>88590.228976597646</v>
      </c>
      <c r="AT914" s="58">
        <f t="shared" si="245"/>
        <v>-310492.26680317573</v>
      </c>
      <c r="AU914" s="58">
        <f t="shared" si="246"/>
        <v>690.5605016047964</v>
      </c>
      <c r="AV914" s="58">
        <f t="shared" si="247"/>
        <v>-855.49612044873015</v>
      </c>
      <c r="AW914" s="58">
        <f t="shared" si="233"/>
        <v>-3.1877527684348612</v>
      </c>
      <c r="AX914" s="58">
        <f t="shared" si="248"/>
        <v>11.501703600260202</v>
      </c>
      <c r="AY914" s="33">
        <f t="shared" si="234"/>
        <v>-1.0417683364418908</v>
      </c>
      <c r="AZ914" s="33">
        <f t="shared" si="235"/>
        <v>4.8297589865454169</v>
      </c>
      <c r="BA914" s="39">
        <f t="shared" si="236"/>
        <v>-0.50298610245312825</v>
      </c>
      <c r="BB914" s="39">
        <f t="shared" si="237"/>
        <v>1.4845088519008323</v>
      </c>
      <c r="BC914" s="45">
        <f t="shared" si="238"/>
        <v>-1.642998329539842</v>
      </c>
      <c r="BD914" s="45">
        <f t="shared" si="239"/>
        <v>5.1874357618139522</v>
      </c>
      <c r="BE914" s="64">
        <f t="shared" si="240"/>
        <v>105823701257.6842</v>
      </c>
      <c r="BF914" s="65">
        <f t="shared" si="241"/>
        <v>114507130909.8279</v>
      </c>
      <c r="BG914" s="66">
        <f t="shared" si="242"/>
        <v>96074810700.37117</v>
      </c>
    </row>
    <row r="915" spans="43:59" x14ac:dyDescent="0.25">
      <c r="AQ915" s="7">
        <v>900</v>
      </c>
      <c r="AR915" s="58">
        <f t="shared" si="243"/>
        <v>450</v>
      </c>
      <c r="AS915" s="58">
        <f t="shared" si="244"/>
        <v>88935.110758303999</v>
      </c>
      <c r="AT915" s="58">
        <f t="shared" si="245"/>
        <v>-310918.57715045003</v>
      </c>
      <c r="AU915" s="58">
        <f t="shared" si="246"/>
        <v>688.96662522057898</v>
      </c>
      <c r="AV915" s="58">
        <f t="shared" si="247"/>
        <v>-849.74526864860002</v>
      </c>
      <c r="AW915" s="58">
        <f t="shared" si="233"/>
        <v>-3.1855266504632791</v>
      </c>
      <c r="AX915" s="58">
        <f t="shared" si="248"/>
        <v>11.463570199694736</v>
      </c>
      <c r="AY915" s="33">
        <f t="shared" si="234"/>
        <v>-1.0422983421508323</v>
      </c>
      <c r="AZ915" s="33">
        <f t="shared" si="235"/>
        <v>4.8144864267728975</v>
      </c>
      <c r="BA915" s="39">
        <f t="shared" si="236"/>
        <v>-0.50229001728280287</v>
      </c>
      <c r="BB915" s="39">
        <f t="shared" si="237"/>
        <v>1.479726752386713</v>
      </c>
      <c r="BC915" s="45">
        <f t="shared" si="238"/>
        <v>-1.6409382910296439</v>
      </c>
      <c r="BD915" s="45">
        <f t="shared" si="239"/>
        <v>5.1693570205351245</v>
      </c>
      <c r="BE915" s="64">
        <f t="shared" si="240"/>
        <v>106142439769.77675</v>
      </c>
      <c r="BF915" s="65">
        <f t="shared" si="241"/>
        <v>114855591516.19331</v>
      </c>
      <c r="BG915" s="66">
        <f t="shared" si="242"/>
        <v>96391609335.921677</v>
      </c>
    </row>
    <row r="916" spans="43:59" x14ac:dyDescent="0.25">
      <c r="AQ916" s="7">
        <v>901</v>
      </c>
      <c r="AR916" s="58">
        <f t="shared" si="243"/>
        <v>450.5</v>
      </c>
      <c r="AS916" s="58">
        <f t="shared" si="244"/>
        <v>89279.195880082974</v>
      </c>
      <c r="AT916" s="58">
        <f t="shared" si="245"/>
        <v>-311342.01683849934</v>
      </c>
      <c r="AU916" s="58">
        <f t="shared" si="246"/>
        <v>687.37386189534732</v>
      </c>
      <c r="AV916" s="58">
        <f t="shared" si="247"/>
        <v>-844.01348354875267</v>
      </c>
      <c r="AW916" s="58">
        <f t="shared" si="233"/>
        <v>-3.1833297957698967</v>
      </c>
      <c r="AX916" s="58">
        <f t="shared" si="248"/>
        <v>11.42582126466076</v>
      </c>
      <c r="AY916" s="33">
        <f t="shared" si="234"/>
        <v>-1.0428242672904415</v>
      </c>
      <c r="AZ916" s="33">
        <f t="shared" si="235"/>
        <v>4.7993656445802335</v>
      </c>
      <c r="BA916" s="39">
        <f t="shared" si="236"/>
        <v>-0.50160238573246052</v>
      </c>
      <c r="BB916" s="39">
        <f t="shared" si="237"/>
        <v>1.4749918407081657</v>
      </c>
      <c r="BC916" s="45">
        <f t="shared" si="238"/>
        <v>-1.6389031427469947</v>
      </c>
      <c r="BD916" s="45">
        <f t="shared" si="239"/>
        <v>5.151463779372361</v>
      </c>
      <c r="BE916" s="64">
        <f t="shared" si="240"/>
        <v>106459838683.43282</v>
      </c>
      <c r="BF916" s="65">
        <f t="shared" si="241"/>
        <v>115202634438.03194</v>
      </c>
      <c r="BG916" s="66">
        <f t="shared" si="242"/>
        <v>96707157719.704483</v>
      </c>
    </row>
    <row r="917" spans="43:59" x14ac:dyDescent="0.25">
      <c r="AQ917" s="7">
        <v>902</v>
      </c>
      <c r="AR917" s="58">
        <f t="shared" si="243"/>
        <v>451</v>
      </c>
      <c r="AS917" s="58">
        <f t="shared" si="244"/>
        <v>89622.484894806184</v>
      </c>
      <c r="AT917" s="58">
        <f t="shared" si="245"/>
        <v>-311762.59535261564</v>
      </c>
      <c r="AU917" s="58">
        <f t="shared" si="246"/>
        <v>685.78219699746239</v>
      </c>
      <c r="AV917" s="58">
        <f t="shared" si="247"/>
        <v>-838.30057291642231</v>
      </c>
      <c r="AW917" s="58">
        <f t="shared" si="233"/>
        <v>-3.181162188538547</v>
      </c>
      <c r="AX917" s="58">
        <f t="shared" si="248"/>
        <v>11.388452093172589</v>
      </c>
      <c r="AY917" s="33">
        <f t="shared" si="234"/>
        <v>-1.0433463325838042</v>
      </c>
      <c r="AZ917" s="33">
        <f t="shared" si="235"/>
        <v>4.7843948473776452</v>
      </c>
      <c r="BA917" s="39">
        <f t="shared" si="236"/>
        <v>-0.5009231369292011</v>
      </c>
      <c r="BB917" s="39">
        <f t="shared" si="237"/>
        <v>1.4703035491777097</v>
      </c>
      <c r="BC917" s="45">
        <f t="shared" si="238"/>
        <v>-1.6368927190255418</v>
      </c>
      <c r="BD917" s="45">
        <f t="shared" si="239"/>
        <v>5.1337536966172346</v>
      </c>
      <c r="BE917" s="64">
        <f t="shared" si="240"/>
        <v>106775895194.21552</v>
      </c>
      <c r="BF917" s="65">
        <f t="shared" si="241"/>
        <v>115548256962.56308</v>
      </c>
      <c r="BG917" s="66">
        <f t="shared" si="242"/>
        <v>97021452648.088104</v>
      </c>
    </row>
    <row r="918" spans="43:59" x14ac:dyDescent="0.25">
      <c r="AQ918" s="7">
        <v>903</v>
      </c>
      <c r="AR918" s="58">
        <f t="shared" si="243"/>
        <v>451.5</v>
      </c>
      <c r="AS918" s="58">
        <f t="shared" si="244"/>
        <v>89964.978348031349</v>
      </c>
      <c r="AT918" s="58">
        <f t="shared" si="245"/>
        <v>-312180.3220825622</v>
      </c>
      <c r="AU918" s="58">
        <f t="shared" si="246"/>
        <v>684.19161590319311</v>
      </c>
      <c r="AV918" s="58">
        <f t="shared" si="247"/>
        <v>-832.60634686983599</v>
      </c>
      <c r="AW918" s="58">
        <f t="shared" si="233"/>
        <v>-3.1790238113573293</v>
      </c>
      <c r="AX918" s="58">
        <f t="shared" si="248"/>
        <v>11.351458062986351</v>
      </c>
      <c r="AY918" s="33">
        <f t="shared" si="234"/>
        <v>-1.0438647539525336</v>
      </c>
      <c r="AZ918" s="33">
        <f t="shared" si="235"/>
        <v>4.7695722722048144</v>
      </c>
      <c r="BA918" s="39">
        <f t="shared" si="236"/>
        <v>-0.50025220110568258</v>
      </c>
      <c r="BB918" s="39">
        <f t="shared" si="237"/>
        <v>1.4656613195943475</v>
      </c>
      <c r="BC918" s="45">
        <f t="shared" si="238"/>
        <v>-1.6349068562991129</v>
      </c>
      <c r="BD918" s="45">
        <f t="shared" si="239"/>
        <v>5.1162244711871896</v>
      </c>
      <c r="BE918" s="64">
        <f t="shared" si="240"/>
        <v>107090606522.05119</v>
      </c>
      <c r="BF918" s="65">
        <f t="shared" si="241"/>
        <v>115892456400.30652</v>
      </c>
      <c r="BG918" s="66">
        <f t="shared" si="242"/>
        <v>97334490945.737457</v>
      </c>
    </row>
    <row r="919" spans="43:59" x14ac:dyDescent="0.25">
      <c r="AQ919" s="7">
        <v>904</v>
      </c>
      <c r="AR919" s="58">
        <f t="shared" si="243"/>
        <v>452</v>
      </c>
      <c r="AS919" s="58">
        <f t="shared" si="244"/>
        <v>90306.676778006527</v>
      </c>
      <c r="AT919" s="58">
        <f t="shared" si="245"/>
        <v>-312595.20632373926</v>
      </c>
      <c r="AU919" s="58">
        <f t="shared" si="246"/>
        <v>682.6021039975144</v>
      </c>
      <c r="AV919" s="58">
        <f t="shared" si="247"/>
        <v>-826.93061783834287</v>
      </c>
      <c r="AW919" s="58">
        <f t="shared" si="233"/>
        <v>-3.1769146453086474</v>
      </c>
      <c r="AX919" s="58">
        <f t="shared" si="248"/>
        <v>11.314834629972601</v>
      </c>
      <c r="AY919" s="33">
        <f t="shared" si="234"/>
        <v>-1.0443797426438997</v>
      </c>
      <c r="AZ919" s="33">
        <f t="shared" si="235"/>
        <v>4.7548961851445304</v>
      </c>
      <c r="BA919" s="39">
        <f t="shared" si="236"/>
        <v>-0.49958950958169535</v>
      </c>
      <c r="BB919" s="39">
        <f t="shared" si="237"/>
        <v>1.4610646030523566</v>
      </c>
      <c r="BC919" s="45">
        <f t="shared" si="238"/>
        <v>-1.6329453930830526</v>
      </c>
      <c r="BD919" s="45">
        <f t="shared" si="239"/>
        <v>5.0988738417757151</v>
      </c>
      <c r="BE919" s="64">
        <f t="shared" si="240"/>
        <v>107403969911.00429</v>
      </c>
      <c r="BF919" s="65">
        <f t="shared" si="241"/>
        <v>116235230084.86351</v>
      </c>
      <c r="BG919" s="66">
        <f t="shared" si="242"/>
        <v>97646269465.336349</v>
      </c>
    </row>
    <row r="920" spans="43:59" x14ac:dyDescent="0.25">
      <c r="AQ920" s="7">
        <v>905</v>
      </c>
      <c r="AR920" s="58">
        <f t="shared" si="243"/>
        <v>452.5</v>
      </c>
      <c r="AS920" s="58">
        <f t="shared" si="244"/>
        <v>90647.580715674616</v>
      </c>
      <c r="AT920" s="58">
        <f t="shared" si="245"/>
        <v>-313007.25727832969</v>
      </c>
      <c r="AU920" s="58">
        <f t="shared" si="246"/>
        <v>681.01364667486007</v>
      </c>
      <c r="AV920" s="58">
        <f t="shared" si="247"/>
        <v>-821.27320052335654</v>
      </c>
      <c r="AW920" s="58">
        <f t="shared" si="233"/>
        <v>-3.1748346700561818</v>
      </c>
      <c r="AX920" s="58">
        <f t="shared" si="248"/>
        <v>11.278577326528996</v>
      </c>
      <c r="AY920" s="33">
        <f t="shared" si="234"/>
        <v>-1.0448915053543919</v>
      </c>
      <c r="AZ920" s="33">
        <f t="shared" si="235"/>
        <v>4.7403648807503727</v>
      </c>
      <c r="BA920" s="39">
        <f t="shared" si="236"/>
        <v>-0.49893499474611946</v>
      </c>
      <c r="BB920" s="39">
        <f t="shared" si="237"/>
        <v>1.4565128597546608</v>
      </c>
      <c r="BC920" s="45">
        <f t="shared" si="238"/>
        <v>-1.6310081699556704</v>
      </c>
      <c r="BD920" s="45">
        <f t="shared" si="239"/>
        <v>5.0816995860239613</v>
      </c>
      <c r="BE920" s="64">
        <f t="shared" si="240"/>
        <v>107715982629.05518</v>
      </c>
      <c r="BF920" s="65">
        <f t="shared" si="241"/>
        <v>116576575372.70081</v>
      </c>
      <c r="BG920" s="66">
        <f t="shared" si="242"/>
        <v>97956785087.314072</v>
      </c>
    </row>
    <row r="921" spans="43:59" x14ac:dyDescent="0.25">
      <c r="AQ921" s="7">
        <v>906</v>
      </c>
      <c r="AR921" s="58">
        <f t="shared" si="243"/>
        <v>453</v>
      </c>
      <c r="AS921" s="58">
        <f t="shared" si="244"/>
        <v>90987.690684678295</v>
      </c>
      <c r="AT921" s="58">
        <f t="shared" si="245"/>
        <v>-313416.48405642557</v>
      </c>
      <c r="AU921" s="58">
        <f t="shared" si="246"/>
        <v>679.42622933983193</v>
      </c>
      <c r="AV921" s="58">
        <f t="shared" si="247"/>
        <v>-815.63391186009198</v>
      </c>
      <c r="AW921" s="58">
        <f t="shared" si="233"/>
        <v>-3.1727838639286206</v>
      </c>
      <c r="AX921" s="58">
        <f t="shared" si="248"/>
        <v>11.242681760030887</v>
      </c>
      <c r="AY921" s="33">
        <f t="shared" si="234"/>
        <v>-1.0454002443497297</v>
      </c>
      <c r="AZ921" s="33">
        <f t="shared" si="235"/>
        <v>4.7259766814875892</v>
      </c>
      <c r="BA921" s="39">
        <f t="shared" si="236"/>
        <v>-0.49828859003927917</v>
      </c>
      <c r="BB921" s="39">
        <f t="shared" si="237"/>
        <v>1.452005558830719</v>
      </c>
      <c r="BC921" s="45">
        <f t="shared" si="238"/>
        <v>-1.6290950295396116</v>
      </c>
      <c r="BD921" s="45">
        <f t="shared" si="239"/>
        <v>5.0646995197125779</v>
      </c>
      <c r="BE921" s="64">
        <f t="shared" si="240"/>
        <v>108026641967.88161</v>
      </c>
      <c r="BF921" s="65">
        <f t="shared" si="241"/>
        <v>116916489642.938</v>
      </c>
      <c r="BG921" s="66">
        <f t="shared" si="242"/>
        <v>98266034719.57637</v>
      </c>
    </row>
    <row r="922" spans="43:59" x14ac:dyDescent="0.25">
      <c r="AQ922" s="7">
        <v>907</v>
      </c>
      <c r="AR922" s="58">
        <f t="shared" si="243"/>
        <v>453.5</v>
      </c>
      <c r="AS922" s="58">
        <f t="shared" si="244"/>
        <v>91327.00720136521</v>
      </c>
      <c r="AT922" s="58">
        <f t="shared" si="245"/>
        <v>-313822.89567713562</v>
      </c>
      <c r="AU922" s="58">
        <f t="shared" si="246"/>
        <v>677.83983740786766</v>
      </c>
      <c r="AV922" s="58">
        <f t="shared" si="247"/>
        <v>-810.01257098007659</v>
      </c>
      <c r="AW922" s="58">
        <f t="shared" si="233"/>
        <v>-3.1707622040006695</v>
      </c>
      <c r="AX922" s="58">
        <f t="shared" si="248"/>
        <v>11.207143611320301</v>
      </c>
      <c r="AY922" s="33">
        <f t="shared" si="234"/>
        <v>-1.0459061575816146</v>
      </c>
      <c r="AZ922" s="33">
        <f t="shared" si="235"/>
        <v>4.7117299371876404</v>
      </c>
      <c r="BA922" s="39">
        <f t="shared" si="236"/>
        <v>-0.4976502299356364</v>
      </c>
      <c r="BB922" s="39">
        <f t="shared" si="237"/>
        <v>1.4475421781586701</v>
      </c>
      <c r="BC922" s="45">
        <f t="shared" si="238"/>
        <v>-1.6272058164834184</v>
      </c>
      <c r="BD922" s="45">
        <f t="shared" si="239"/>
        <v>5.0478714959739914</v>
      </c>
      <c r="BE922" s="64">
        <f t="shared" si="240"/>
        <v>108335945242.64299</v>
      </c>
      <c r="BF922" s="65">
        <f t="shared" si="241"/>
        <v>117254970297.13788</v>
      </c>
      <c r="BG922" s="66">
        <f t="shared" si="242"/>
        <v>98574015297.240143</v>
      </c>
    </row>
    <row r="923" spans="43:59" x14ac:dyDescent="0.25">
      <c r="AQ923" s="7">
        <v>908</v>
      </c>
      <c r="AR923" s="58">
        <f t="shared" si="243"/>
        <v>454</v>
      </c>
      <c r="AS923" s="58">
        <f t="shared" si="244"/>
        <v>91665.530774793646</v>
      </c>
      <c r="AT923" s="58">
        <f t="shared" si="245"/>
        <v>-314226.50106967427</v>
      </c>
      <c r="AU923" s="58">
        <f t="shared" si="246"/>
        <v>676.25445630586728</v>
      </c>
      <c r="AV923" s="58">
        <f t="shared" si="247"/>
        <v>-804.40899917441641</v>
      </c>
      <c r="AW923" s="58">
        <f t="shared" si="233"/>
        <v>-3.1687696661709808</v>
      </c>
      <c r="AX923" s="58">
        <f t="shared" si="248"/>
        <v>11.171958633230398</v>
      </c>
      <c r="AY923" s="33">
        <f t="shared" si="234"/>
        <v>-1.0464094388010818</v>
      </c>
      <c r="AZ923" s="33">
        <f t="shared" si="235"/>
        <v>4.6976230245149244</v>
      </c>
      <c r="BA923" s="39">
        <f t="shared" si="236"/>
        <v>-0.4970198499268903</v>
      </c>
      <c r="BB923" s="39">
        <f t="shared" si="237"/>
        <v>1.4431222041918246</v>
      </c>
      <c r="BC923" s="45">
        <f t="shared" si="238"/>
        <v>-1.6253403774430084</v>
      </c>
      <c r="BD923" s="45">
        <f t="shared" si="239"/>
        <v>5.0312134045236494</v>
      </c>
      <c r="BE923" s="64">
        <f t="shared" si="240"/>
        <v>108643889791.76802</v>
      </c>
      <c r="BF923" s="65">
        <f t="shared" si="241"/>
        <v>117592014759.09987</v>
      </c>
      <c r="BG923" s="66">
        <f t="shared" si="242"/>
        <v>98880723782.37236</v>
      </c>
    </row>
    <row r="924" spans="43:59" x14ac:dyDescent="0.25">
      <c r="AQ924" s="7">
        <v>909</v>
      </c>
      <c r="AR924" s="58">
        <f t="shared" si="243"/>
        <v>454.5</v>
      </c>
      <c r="AS924" s="58">
        <f t="shared" si="244"/>
        <v>92003.261906738306</v>
      </c>
      <c r="AT924" s="58">
        <f t="shared" si="245"/>
        <v>-314627.3090744323</v>
      </c>
      <c r="AU924" s="58">
        <f t="shared" si="246"/>
        <v>674.67007147278184</v>
      </c>
      <c r="AV924" s="58">
        <f t="shared" si="247"/>
        <v>-798.82301985780123</v>
      </c>
      <c r="AW924" s="58">
        <f t="shared" si="233"/>
        <v>-3.1668062252375755</v>
      </c>
      <c r="AX924" s="58">
        <f t="shared" si="248"/>
        <v>11.137122649146264</v>
      </c>
      <c r="AY924" s="33">
        <f t="shared" si="234"/>
        <v>-1.0469102776688071</v>
      </c>
      <c r="AZ924" s="33">
        <f t="shared" si="235"/>
        <v>4.6836543464464855</v>
      </c>
      <c r="BA924" s="39">
        <f t="shared" si="236"/>
        <v>-0.49639738650542697</v>
      </c>
      <c r="BB924" s="39">
        <f t="shared" si="237"/>
        <v>1.4387451317892643</v>
      </c>
      <c r="BC924" s="45">
        <f t="shared" si="238"/>
        <v>-1.6234985610633414</v>
      </c>
      <c r="BD924" s="45">
        <f t="shared" si="239"/>
        <v>5.0147231709105151</v>
      </c>
      <c r="BE924" s="64">
        <f t="shared" si="240"/>
        <v>108950472976.74519</v>
      </c>
      <c r="BF924" s="65">
        <f t="shared" si="241"/>
        <v>117927620474.65642</v>
      </c>
      <c r="BG924" s="66">
        <f t="shared" si="242"/>
        <v>99186157163.732651</v>
      </c>
    </row>
    <row r="925" spans="43:59" x14ac:dyDescent="0.25">
      <c r="AQ925" s="7">
        <v>910</v>
      </c>
      <c r="AR925" s="58">
        <f t="shared" si="243"/>
        <v>455</v>
      </c>
      <c r="AS925" s="58">
        <f t="shared" si="244"/>
        <v>92340.201091696552</v>
      </c>
      <c r="AT925" s="58">
        <f t="shared" si="245"/>
        <v>-315025.32844403002</v>
      </c>
      <c r="AU925" s="58">
        <f t="shared" si="246"/>
        <v>673.086668360163</v>
      </c>
      <c r="AV925" s="58">
        <f t="shared" si="247"/>
        <v>-793.2544585332281</v>
      </c>
      <c r="AW925" s="58">
        <f t="shared" si="233"/>
        <v>-3.1648718549704098</v>
      </c>
      <c r="AX925" s="58">
        <f t="shared" si="248"/>
        <v>11.102631551599357</v>
      </c>
      <c r="AY925" s="33">
        <f t="shared" si="234"/>
        <v>-1.0474088598622529</v>
      </c>
      <c r="AZ925" s="33">
        <f t="shared" si="235"/>
        <v>4.6698223317634069</v>
      </c>
      <c r="BA925" s="39">
        <f t="shared" si="236"/>
        <v>-0.49578277714809543</v>
      </c>
      <c r="BB925" s="39">
        <f t="shared" si="237"/>
        <v>1.4344104640503765</v>
      </c>
      <c r="BC925" s="45">
        <f t="shared" si="238"/>
        <v>-1.6216802179600616</v>
      </c>
      <c r="BD925" s="45">
        <f t="shared" si="239"/>
        <v>4.9983987557855736</v>
      </c>
      <c r="BE925" s="64">
        <f t="shared" si="240"/>
        <v>109255692181.91653</v>
      </c>
      <c r="BF925" s="65">
        <f t="shared" si="241"/>
        <v>118261784911.47241</v>
      </c>
      <c r="BG925" s="66">
        <f t="shared" si="242"/>
        <v>99490312456.52002</v>
      </c>
    </row>
    <row r="926" spans="43:59" x14ac:dyDescent="0.25">
      <c r="AQ926" s="7">
        <v>911</v>
      </c>
      <c r="AR926" s="58">
        <f t="shared" si="243"/>
        <v>455.5</v>
      </c>
      <c r="AS926" s="58">
        <f t="shared" si="244"/>
        <v>92676.348816894766</v>
      </c>
      <c r="AT926" s="58">
        <f t="shared" si="245"/>
        <v>-315420.56784435268</v>
      </c>
      <c r="AU926" s="58">
        <f t="shared" si="246"/>
        <v>671.50423243267778</v>
      </c>
      <c r="AV926" s="58">
        <f t="shared" si="247"/>
        <v>-787.7031427574284</v>
      </c>
      <c r="AW926" s="58">
        <f t="shared" si="233"/>
        <v>-3.1629665281815811</v>
      </c>
      <c r="AX926" s="58">
        <f t="shared" si="248"/>
        <v>11.068481300896135</v>
      </c>
      <c r="AY926" s="33">
        <f t="shared" si="234"/>
        <v>-1.0479053671799401</v>
      </c>
      <c r="AZ926" s="33">
        <f t="shared" si="235"/>
        <v>4.6561254345543981</v>
      </c>
      <c r="BA926" s="39">
        <f t="shared" si="236"/>
        <v>-0.49517596030035255</v>
      </c>
      <c r="BB926" s="39">
        <f t="shared" si="237"/>
        <v>1.4301177121533768</v>
      </c>
      <c r="BC926" s="45">
        <f t="shared" si="238"/>
        <v>-1.6198852007012883</v>
      </c>
      <c r="BD926" s="45">
        <f t="shared" si="239"/>
        <v>4.9822381541883614</v>
      </c>
      <c r="BE926" s="64">
        <f t="shared" si="240"/>
        <v>109559544814.27415</v>
      </c>
      <c r="BF926" s="65">
        <f t="shared" si="241"/>
        <v>118594505558.84749</v>
      </c>
      <c r="BG926" s="66">
        <f t="shared" si="242"/>
        <v>99793186702.123016</v>
      </c>
    </row>
    <row r="927" spans="43:59" x14ac:dyDescent="0.25">
      <c r="AQ927" s="7">
        <v>912</v>
      </c>
      <c r="AR927" s="58">
        <f t="shared" si="243"/>
        <v>456</v>
      </c>
      <c r="AS927" s="58">
        <f t="shared" si="244"/>
        <v>93011.705562295072</v>
      </c>
      <c r="AT927" s="58">
        <f t="shared" si="245"/>
        <v>-315813.03585556877</v>
      </c>
      <c r="AU927" s="58">
        <f t="shared" si="246"/>
        <v>669.92274916858696</v>
      </c>
      <c r="AV927" s="58">
        <f t="shared" si="247"/>
        <v>-782.16890210698034</v>
      </c>
      <c r="AW927" s="58">
        <f t="shared" si="233"/>
        <v>-3.1610902167929558</v>
      </c>
      <c r="AX927" s="58">
        <f t="shared" si="248"/>
        <v>11.034667923778695</v>
      </c>
      <c r="AY927" s="33">
        <f t="shared" si="234"/>
        <v>-1.0483999776427084</v>
      </c>
      <c r="AZ927" s="33">
        <f t="shared" si="235"/>
        <v>4.6425621337302658</v>
      </c>
      <c r="BA927" s="39">
        <f t="shared" si="236"/>
        <v>-0.4945768753607237</v>
      </c>
      <c r="BB927" s="39">
        <f t="shared" si="237"/>
        <v>1.4258663951975681</v>
      </c>
      <c r="BC927" s="45">
        <f t="shared" si="238"/>
        <v>-1.6181133637895235</v>
      </c>
      <c r="BD927" s="45">
        <f t="shared" si="239"/>
        <v>4.9662393948508603</v>
      </c>
      <c r="BE927" s="64">
        <f t="shared" si="240"/>
        <v>109862028303.25957</v>
      </c>
      <c r="BF927" s="65">
        <f t="shared" si="241"/>
        <v>118925779927.52101</v>
      </c>
      <c r="BG927" s="66">
        <f t="shared" si="242"/>
        <v>100094776967.87373</v>
      </c>
    </row>
    <row r="928" spans="43:59" x14ac:dyDescent="0.25">
      <c r="AQ928" s="7">
        <v>913</v>
      </c>
      <c r="AR928" s="58">
        <f t="shared" si="243"/>
        <v>456.5</v>
      </c>
      <c r="AS928" s="58">
        <f t="shared" si="244"/>
        <v>93346.271800602262</v>
      </c>
      <c r="AT928" s="58">
        <f t="shared" si="245"/>
        <v>-316202.74097313179</v>
      </c>
      <c r="AU928" s="58">
        <f t="shared" si="246"/>
        <v>668.34220406019051</v>
      </c>
      <c r="AV928" s="58">
        <f t="shared" si="247"/>
        <v>-776.65156814509101</v>
      </c>
      <c r="AW928" s="58">
        <f t="shared" si="233"/>
        <v>-3.1592428919015458</v>
      </c>
      <c r="AX928" s="58">
        <f t="shared" si="248"/>
        <v>11.001187512117658</v>
      </c>
      <c r="AY928" s="33">
        <f t="shared" si="234"/>
        <v>-1.0488928655923597</v>
      </c>
      <c r="AZ928" s="33">
        <f t="shared" si="235"/>
        <v>4.6291309325502983</v>
      </c>
      <c r="BA928" s="39">
        <f t="shared" si="236"/>
        <v>-0.49398546266560206</v>
      </c>
      <c r="BB928" s="39">
        <f t="shared" si="237"/>
        <v>1.4216560400493372</v>
      </c>
      <c r="BC928" s="45">
        <f t="shared" si="238"/>
        <v>-1.6163645636435842</v>
      </c>
      <c r="BD928" s="45">
        <f t="shared" si="239"/>
        <v>4.9504005395180233</v>
      </c>
      <c r="BE928" s="64">
        <f t="shared" si="240"/>
        <v>110163140100.56627</v>
      </c>
      <c r="BF928" s="65">
        <f t="shared" si="241"/>
        <v>119255605549.48012</v>
      </c>
      <c r="BG928" s="66">
        <f t="shared" si="242"/>
        <v>100395080346.80547</v>
      </c>
    </row>
    <row r="929" spans="43:59" x14ac:dyDescent="0.25">
      <c r="AQ929" s="7">
        <v>914</v>
      </c>
      <c r="AR929" s="58">
        <f t="shared" si="243"/>
        <v>457</v>
      </c>
      <c r="AS929" s="58">
        <f t="shared" si="244"/>
        <v>93680.047997270871</v>
      </c>
      <c r="AT929" s="58">
        <f t="shared" si="245"/>
        <v>-316589.69160876534</v>
      </c>
      <c r="AU929" s="58">
        <f t="shared" si="246"/>
        <v>666.7625826142397</v>
      </c>
      <c r="AV929" s="58">
        <f t="shared" si="247"/>
        <v>-771.15097438903217</v>
      </c>
      <c r="AW929" s="58">
        <f t="shared" si="233"/>
        <v>-3.1574245238424519</v>
      </c>
      <c r="AX929" s="58">
        <f t="shared" si="248"/>
        <v>10.968036221635233</v>
      </c>
      <c r="AY929" s="33">
        <f t="shared" si="234"/>
        <v>-1.0493842017874495</v>
      </c>
      <c r="AZ929" s="33">
        <f t="shared" si="235"/>
        <v>4.6158303581588624</v>
      </c>
      <c r="BA929" s="39">
        <f t="shared" si="236"/>
        <v>-0.49340166347435616</v>
      </c>
      <c r="BB929" s="39">
        <f t="shared" si="237"/>
        <v>1.4174861811917099</v>
      </c>
      <c r="BC929" s="45">
        <f t="shared" si="238"/>
        <v>-1.614638658580646</v>
      </c>
      <c r="BD929" s="45">
        <f t="shared" si="239"/>
        <v>4.9347196822846602</v>
      </c>
      <c r="BE929" s="64">
        <f t="shared" si="240"/>
        <v>110462877679.94476</v>
      </c>
      <c r="BF929" s="65">
        <f t="shared" si="241"/>
        <v>119583979977.77025</v>
      </c>
      <c r="BG929" s="66">
        <f t="shared" si="242"/>
        <v>100694093957.41386</v>
      </c>
    </row>
    <row r="930" spans="43:59" x14ac:dyDescent="0.25">
      <c r="AQ930" s="7">
        <v>915</v>
      </c>
      <c r="AR930" s="58">
        <f t="shared" si="243"/>
        <v>457.5</v>
      </c>
      <c r="AS930" s="58">
        <f t="shared" si="244"/>
        <v>94013.034610512506</v>
      </c>
      <c r="AT930" s="58">
        <f t="shared" si="245"/>
        <v>-316973.89609143214</v>
      </c>
      <c r="AU930" s="58">
        <f t="shared" si="246"/>
        <v>665.18387035231842</v>
      </c>
      <c r="AV930" s="58">
        <f t="shared" si="247"/>
        <v>-765.66695627821457</v>
      </c>
      <c r="AW930" s="58">
        <f t="shared" si="233"/>
        <v>-3.155635082249832</v>
      </c>
      <c r="AX930" s="58">
        <f t="shared" si="248"/>
        <v>10.93521027065902</v>
      </c>
      <c r="AY930" s="33">
        <f t="shared" si="234"/>
        <v>-1.0498741534965552</v>
      </c>
      <c r="AZ930" s="33">
        <f t="shared" si="235"/>
        <v>4.6026589611329891</v>
      </c>
      <c r="BA930" s="39">
        <f t="shared" si="236"/>
        <v>-0.49282541995474943</v>
      </c>
      <c r="BB930" s="39">
        <f t="shared" si="237"/>
        <v>1.4133563605774135</v>
      </c>
      <c r="BC930" s="45">
        <f t="shared" si="238"/>
        <v>-1.6129355087985275</v>
      </c>
      <c r="BD930" s="45">
        <f t="shared" si="239"/>
        <v>4.9191949489486184</v>
      </c>
      <c r="BE930" s="64">
        <f t="shared" si="240"/>
        <v>110761238537.01042</v>
      </c>
      <c r="BF930" s="65">
        <f t="shared" si="241"/>
        <v>119910900786.30859</v>
      </c>
      <c r="BG930" s="66">
        <f t="shared" si="242"/>
        <v>100991814943.4216</v>
      </c>
    </row>
    <row r="931" spans="43:59" x14ac:dyDescent="0.25">
      <c r="AQ931" s="7">
        <v>916</v>
      </c>
      <c r="AR931" s="58">
        <f t="shared" si="243"/>
        <v>458</v>
      </c>
      <c r="AS931" s="58">
        <f t="shared" si="244"/>
        <v>94345.232091303376</v>
      </c>
      <c r="AT931" s="58">
        <f t="shared" si="245"/>
        <v>-317355.36266828742</v>
      </c>
      <c r="AU931" s="58">
        <f t="shared" si="246"/>
        <v>663.60605281119354</v>
      </c>
      <c r="AV931" s="58">
        <f t="shared" si="247"/>
        <v>-760.19935114288501</v>
      </c>
      <c r="AW931" s="58">
        <f t="shared" si="233"/>
        <v>-3.1538745361155538</v>
      </c>
      <c r="AX931" s="58">
        <f t="shared" si="248"/>
        <v>10.902705938904365</v>
      </c>
      <c r="AY931" s="33">
        <f t="shared" si="234"/>
        <v>-1.0503628845889657</v>
      </c>
      <c r="AZ931" s="33">
        <f t="shared" si="235"/>
        <v>4.5896153150401036</v>
      </c>
      <c r="BA931" s="39">
        <f t="shared" si="236"/>
        <v>-0.49225667516866795</v>
      </c>
      <c r="BB931" s="39">
        <f t="shared" si="237"/>
        <v>1.4092661274853497</v>
      </c>
      <c r="BC931" s="45">
        <f t="shared" si="238"/>
        <v>-1.6112549763579205</v>
      </c>
      <c r="BD931" s="45">
        <f t="shared" si="239"/>
        <v>4.9038244963789124</v>
      </c>
      <c r="BE931" s="64">
        <f t="shared" si="240"/>
        <v>111058220189.05431</v>
      </c>
      <c r="BF931" s="65">
        <f t="shared" si="241"/>
        <v>120236365569.70003</v>
      </c>
      <c r="BG931" s="66">
        <f t="shared" si="242"/>
        <v>101288240473.54654</v>
      </c>
    </row>
    <row r="932" spans="43:59" x14ac:dyDescent="0.25">
      <c r="AQ932" s="7">
        <v>917</v>
      </c>
      <c r="AR932" s="58">
        <f t="shared" si="243"/>
        <v>458.5</v>
      </c>
      <c r="AS932" s="58">
        <f t="shared" si="244"/>
        <v>94676.640883391956</v>
      </c>
      <c r="AT932" s="58">
        <f t="shared" si="245"/>
        <v>-317734.09950561647</v>
      </c>
      <c r="AU932" s="58">
        <f t="shared" si="246"/>
        <v>662.02911554313573</v>
      </c>
      <c r="AV932" s="58">
        <f t="shared" si="247"/>
        <v>-754.74799817343285</v>
      </c>
      <c r="AW932" s="58">
        <f t="shared" si="233"/>
        <v>-3.1521428538459499</v>
      </c>
      <c r="AX932" s="58">
        <f t="shared" si="248"/>
        <v>10.870519566285513</v>
      </c>
      <c r="AY932" s="33">
        <f t="shared" si="234"/>
        <v>-1.0508505556229226</v>
      </c>
      <c r="AZ932" s="33">
        <f t="shared" si="235"/>
        <v>4.5766980160058051</v>
      </c>
      <c r="BA932" s="39">
        <f t="shared" si="236"/>
        <v>-0.49169537305813088</v>
      </c>
      <c r="BB932" s="39">
        <f t="shared" si="237"/>
        <v>1.405215038380345</v>
      </c>
      <c r="BC932" s="45">
        <f t="shared" si="238"/>
        <v>-1.6095969251648965</v>
      </c>
      <c r="BD932" s="45">
        <f t="shared" si="239"/>
        <v>4.8886065118993614</v>
      </c>
      <c r="BE932" s="64">
        <f t="shared" si="240"/>
        <v>111353820174.85632</v>
      </c>
      <c r="BF932" s="65">
        <f t="shared" si="241"/>
        <v>120560371943.05577</v>
      </c>
      <c r="BG932" s="66">
        <f t="shared" si="242"/>
        <v>101583367741.27316</v>
      </c>
    </row>
    <row r="933" spans="43:59" x14ac:dyDescent="0.25">
      <c r="AQ933" s="7">
        <v>918</v>
      </c>
      <c r="AR933" s="58">
        <f t="shared" si="243"/>
        <v>459</v>
      </c>
      <c r="AS933" s="58">
        <f t="shared" si="244"/>
        <v>95007.261423306802</v>
      </c>
      <c r="AT933" s="58">
        <f t="shared" si="245"/>
        <v>-318110.11468975741</v>
      </c>
      <c r="AU933" s="58">
        <f t="shared" si="246"/>
        <v>660.45304411621271</v>
      </c>
      <c r="AV933" s="58">
        <f t="shared" si="247"/>
        <v>-749.31273839029006</v>
      </c>
      <c r="AW933" s="58">
        <f t="shared" si="233"/>
        <v>-3.1504400033165068</v>
      </c>
      <c r="AX933" s="58">
        <f t="shared" si="248"/>
        <v>10.838647551754089</v>
      </c>
      <c r="AY933" s="33">
        <f t="shared" si="234"/>
        <v>-1.0513373239314552</v>
      </c>
      <c r="AZ933" s="33">
        <f t="shared" si="235"/>
        <v>4.563905682291364</v>
      </c>
      <c r="BA933" s="39">
        <f t="shared" si="236"/>
        <v>-0.49114145843160828</v>
      </c>
      <c r="BB933" s="39">
        <f t="shared" si="237"/>
        <v>1.4012026567761762</v>
      </c>
      <c r="BC933" s="45">
        <f t="shared" si="238"/>
        <v>-1.6079612209534431</v>
      </c>
      <c r="BD933" s="45">
        <f t="shared" si="239"/>
        <v>4.8735392126865493</v>
      </c>
      <c r="BE933" s="64">
        <f t="shared" si="240"/>
        <v>111648036054.50127</v>
      </c>
      <c r="BF933" s="65">
        <f t="shared" si="241"/>
        <v>120882917541.81459</v>
      </c>
      <c r="BG933" s="66">
        <f t="shared" si="242"/>
        <v>101877193964.62752</v>
      </c>
    </row>
    <row r="934" spans="43:59" x14ac:dyDescent="0.25">
      <c r="AQ934" s="7">
        <v>919</v>
      </c>
      <c r="AR934" s="58">
        <f t="shared" si="243"/>
        <v>459.5</v>
      </c>
      <c r="AS934" s="58">
        <f t="shared" si="244"/>
        <v>95337.094140364483</v>
      </c>
      <c r="AT934" s="58">
        <f t="shared" si="245"/>
        <v>-318483.41622800857</v>
      </c>
      <c r="AU934" s="58">
        <f t="shared" si="246"/>
        <v>658.87782411455441</v>
      </c>
      <c r="AV934" s="58">
        <f t="shared" si="247"/>
        <v>-743.89341461441302</v>
      </c>
      <c r="AW934" s="58">
        <f t="shared" si="233"/>
        <v>-3.1487659519247373</v>
      </c>
      <c r="AX934" s="58">
        <f t="shared" si="248"/>
        <v>10.807086352164774</v>
      </c>
      <c r="AY934" s="33">
        <f t="shared" si="234"/>
        <v>-1.0518233437059643</v>
      </c>
      <c r="AZ934" s="33">
        <f t="shared" si="235"/>
        <v>4.5512369538809807</v>
      </c>
      <c r="BA934" s="39">
        <f t="shared" si="236"/>
        <v>-0.49059487695061132</v>
      </c>
      <c r="BB934" s="39">
        <f t="shared" si="237"/>
        <v>1.3972285531017026</v>
      </c>
      <c r="BC934" s="45">
        <f t="shared" si="238"/>
        <v>-1.6063477312681615</v>
      </c>
      <c r="BD934" s="45">
        <f t="shared" si="239"/>
        <v>4.8586208451820907</v>
      </c>
      <c r="BE934" s="64">
        <f t="shared" si="240"/>
        <v>111940865409.19724</v>
      </c>
      <c r="BF934" s="65">
        <f t="shared" si="241"/>
        <v>121204000021.56642</v>
      </c>
      <c r="BG934" s="66">
        <f t="shared" si="242"/>
        <v>102169716385.95506</v>
      </c>
    </row>
    <row r="935" spans="43:59" x14ac:dyDescent="0.25">
      <c r="AQ935" s="7">
        <v>920</v>
      </c>
      <c r="AR935" s="58">
        <f t="shared" si="243"/>
        <v>460</v>
      </c>
      <c r="AS935" s="58">
        <f t="shared" si="244"/>
        <v>95666.13945667776</v>
      </c>
      <c r="AT935" s="58">
        <f t="shared" si="245"/>
        <v>-318854.01204952173</v>
      </c>
      <c r="AU935" s="58">
        <f t="shared" si="246"/>
        <v>657.30344113859201</v>
      </c>
      <c r="AV935" s="58">
        <f t="shared" si="247"/>
        <v>-738.48987143833062</v>
      </c>
      <c r="AW935" s="58">
        <f t="shared" si="233"/>
        <v>-3.1471206666412308</v>
      </c>
      <c r="AX935" s="58">
        <f t="shared" si="248"/>
        <v>10.775832481167081</v>
      </c>
      <c r="AY935" s="33">
        <f t="shared" si="234"/>
        <v>-1.0523087660775168</v>
      </c>
      <c r="AZ935" s="33">
        <f t="shared" si="235"/>
        <v>4.5386904920781044</v>
      </c>
      <c r="BA935" s="39">
        <f t="shared" si="236"/>
        <v>-0.49005557511655828</v>
      </c>
      <c r="BB935" s="39">
        <f t="shared" si="237"/>
        <v>1.3932923045700554</v>
      </c>
      <c r="BC935" s="45">
        <f t="shared" si="238"/>
        <v>-1.6047563254471557</v>
      </c>
      <c r="BD935" s="45">
        <f t="shared" si="239"/>
        <v>4.8438496845189212</v>
      </c>
      <c r="BE935" s="64">
        <f t="shared" si="240"/>
        <v>112232305841.09677</v>
      </c>
      <c r="BF935" s="65">
        <f t="shared" si="241"/>
        <v>121523617057.87862</v>
      </c>
      <c r="BG935" s="66">
        <f t="shared" si="242"/>
        <v>102460932271.70219</v>
      </c>
    </row>
    <row r="936" spans="43:59" x14ac:dyDescent="0.25">
      <c r="AQ936" s="7">
        <v>921</v>
      </c>
      <c r="AR936" s="58">
        <f t="shared" si="243"/>
        <v>460.5</v>
      </c>
      <c r="AS936" s="58">
        <f t="shared" si="244"/>
        <v>95994.397787163718</v>
      </c>
      <c r="AT936" s="58">
        <f t="shared" si="245"/>
        <v>-319221.91000618075</v>
      </c>
      <c r="AU936" s="58">
        <f t="shared" si="246"/>
        <v>655.72988080527136</v>
      </c>
      <c r="AV936" s="58">
        <f t="shared" si="247"/>
        <v>-733.10195519774709</v>
      </c>
      <c r="AW936" s="58">
        <f t="shared" si="233"/>
        <v>-3.1455041140588493</v>
      </c>
      <c r="AX936" s="58">
        <f t="shared" si="248"/>
        <v>10.744882508122345</v>
      </c>
      <c r="AY936" s="33">
        <f t="shared" si="234"/>
        <v>-1.052793739195949</v>
      </c>
      <c r="AZ936" s="33">
        <f t="shared" si="235"/>
        <v>4.5262649791107341</v>
      </c>
      <c r="BA936" s="39">
        <f t="shared" si="236"/>
        <v>-0.48952350025791136</v>
      </c>
      <c r="BB936" s="39">
        <f t="shared" si="237"/>
        <v>1.3893934950508045</v>
      </c>
      <c r="BC936" s="45">
        <f t="shared" si="238"/>
        <v>-1.6031868746049887</v>
      </c>
      <c r="BD936" s="45">
        <f t="shared" si="239"/>
        <v>4.8292240339608057</v>
      </c>
      <c r="BE936" s="64">
        <f t="shared" si="240"/>
        <v>112522354973.12056</v>
      </c>
      <c r="BF936" s="65">
        <f t="shared" si="241"/>
        <v>121841766346.12456</v>
      </c>
      <c r="BG936" s="66">
        <f t="shared" si="242"/>
        <v>102750838912.20061</v>
      </c>
    </row>
    <row r="937" spans="43:59" x14ac:dyDescent="0.25">
      <c r="AQ937" s="7">
        <v>922</v>
      </c>
      <c r="AR937" s="58">
        <f t="shared" si="243"/>
        <v>461</v>
      </c>
      <c r="AS937" s="58">
        <f t="shared" si="244"/>
        <v>96321.869539552092</v>
      </c>
      <c r="AT937" s="58">
        <f t="shared" si="245"/>
        <v>-319587.11787346611</v>
      </c>
      <c r="AU937" s="58">
        <f t="shared" si="246"/>
        <v>654.15712874824192</v>
      </c>
      <c r="AV937" s="58">
        <f t="shared" si="247"/>
        <v>-727.7295139436859</v>
      </c>
      <c r="AW937" s="58">
        <f t="shared" si="233"/>
        <v>-3.1439162604403603</v>
      </c>
      <c r="AX937" s="58">
        <f t="shared" si="248"/>
        <v>10.71423305704597</v>
      </c>
      <c r="AY937" s="33">
        <f t="shared" si="234"/>
        <v>-1.0532784083069209</v>
      </c>
      <c r="AZ937" s="33">
        <f t="shared" si="235"/>
        <v>4.5139591177457463</v>
      </c>
      <c r="BA937" s="39">
        <f t="shared" si="236"/>
        <v>-0.48899860051758287</v>
      </c>
      <c r="BB937" s="39">
        <f t="shared" si="237"/>
        <v>1.3855317149450375</v>
      </c>
      <c r="BC937" s="45">
        <f t="shared" si="238"/>
        <v>-1.6016392516158566</v>
      </c>
      <c r="BD937" s="45">
        <f t="shared" si="239"/>
        <v>4.8147422243551858</v>
      </c>
      <c r="BE937" s="64">
        <f t="shared" si="240"/>
        <v>112811010448.78311</v>
      </c>
      <c r="BF937" s="65">
        <f t="shared" si="241"/>
        <v>122158445601.31462</v>
      </c>
      <c r="BG937" s="66">
        <f t="shared" si="242"/>
        <v>103039433621.45474</v>
      </c>
    </row>
    <row r="938" spans="43:59" x14ac:dyDescent="0.25">
      <c r="AQ938" s="7">
        <v>923</v>
      </c>
      <c r="AR938" s="58">
        <f t="shared" si="243"/>
        <v>461.5</v>
      </c>
      <c r="AS938" s="58">
        <f t="shared" si="244"/>
        <v>96648.555114393661</v>
      </c>
      <c r="AT938" s="58">
        <f t="shared" si="245"/>
        <v>-319949.6433513058</v>
      </c>
      <c r="AU938" s="58">
        <f t="shared" si="246"/>
        <v>652.58517061802172</v>
      </c>
      <c r="AV938" s="58">
        <f t="shared" si="247"/>
        <v>-722.37239741516294</v>
      </c>
      <c r="AW938" s="58">
        <f t="shared" si="233"/>
        <v>-3.1423570717643274</v>
      </c>
      <c r="AX938" s="58">
        <f t="shared" si="248"/>
        <v>10.683880805573448</v>
      </c>
      <c r="AY938" s="33">
        <f t="shared" si="234"/>
        <v>-1.0537629158268655</v>
      </c>
      <c r="AZ938" s="33">
        <f t="shared" si="235"/>
        <v>4.5017716309115681</v>
      </c>
      <c r="BA938" s="39">
        <f t="shared" si="236"/>
        <v>-0.48848082484059069</v>
      </c>
      <c r="BB938" s="39">
        <f t="shared" si="237"/>
        <v>1.3817065610632391</v>
      </c>
      <c r="BC938" s="45">
        <f t="shared" si="238"/>
        <v>-1.6001133310968714</v>
      </c>
      <c r="BD938" s="45">
        <f t="shared" si="239"/>
        <v>4.8004026135986404</v>
      </c>
      <c r="BE938" s="64">
        <f t="shared" si="240"/>
        <v>113098269932.02161</v>
      </c>
      <c r="BF938" s="65">
        <f t="shared" si="241"/>
        <v>122473652557.92964</v>
      </c>
      <c r="BG938" s="66">
        <f t="shared" si="242"/>
        <v>103326713736.93253</v>
      </c>
    </row>
    <row r="939" spans="43:59" x14ac:dyDescent="0.25">
      <c r="AQ939" s="7">
        <v>924</v>
      </c>
      <c r="AR939" s="58">
        <f t="shared" si="243"/>
        <v>462</v>
      </c>
      <c r="AS939" s="58">
        <f t="shared" si="244"/>
        <v>96974.454905068706</v>
      </c>
      <c r="AT939" s="58">
        <f t="shared" si="245"/>
        <v>-320309.49406491267</v>
      </c>
      <c r="AU939" s="58">
        <f t="shared" si="246"/>
        <v>651.01399208213957</v>
      </c>
      <c r="AV939" s="58">
        <f t="shared" si="247"/>
        <v>-717.03045701237625</v>
      </c>
      <c r="AW939" s="58">
        <f t="shared" si="233"/>
        <v>-3.1408265137694586</v>
      </c>
      <c r="AX939" s="58">
        <f t="shared" si="248"/>
        <v>10.653822483950078</v>
      </c>
      <c r="AY939" s="33">
        <f t="shared" si="234"/>
        <v>-1.0542474014160204</v>
      </c>
      <c r="AZ939" s="33">
        <f t="shared" si="235"/>
        <v>4.4897012613294587</v>
      </c>
      <c r="BA939" s="39">
        <f t="shared" si="236"/>
        <v>-0.48797012296196152</v>
      </c>
      <c r="BB939" s="39">
        <f t="shared" si="237"/>
        <v>1.377917636505904</v>
      </c>
      <c r="BC939" s="45">
        <f t="shared" si="238"/>
        <v>-1.598608989391477</v>
      </c>
      <c r="BD939" s="45">
        <f t="shared" si="239"/>
        <v>4.7862035861147154</v>
      </c>
      <c r="BE939" s="64">
        <f t="shared" si="240"/>
        <v>113384131107.02646</v>
      </c>
      <c r="BF939" s="65">
        <f t="shared" si="241"/>
        <v>122787384969.75653</v>
      </c>
      <c r="BG939" s="66">
        <f t="shared" si="242"/>
        <v>103612676619.35883</v>
      </c>
    </row>
    <row r="940" spans="43:59" x14ac:dyDescent="0.25">
      <c r="AQ940" s="7">
        <v>925</v>
      </c>
      <c r="AR940" s="58">
        <f t="shared" si="243"/>
        <v>462.5</v>
      </c>
      <c r="AS940" s="58">
        <f t="shared" si="244"/>
        <v>97299.569297795562</v>
      </c>
      <c r="AT940" s="58">
        <f t="shared" si="245"/>
        <v>-320666.67756560835</v>
      </c>
      <c r="AU940" s="58">
        <f t="shared" si="246"/>
        <v>649.4435788252548</v>
      </c>
      <c r="AV940" s="58">
        <f t="shared" si="247"/>
        <v>-711.70354577040121</v>
      </c>
      <c r="AW940" s="58">
        <f t="shared" si="233"/>
        <v>-3.1393245519975732</v>
      </c>
      <c r="AX940" s="58">
        <f t="shared" si="248"/>
        <v>10.624054874043971</v>
      </c>
      <c r="AY940" s="33">
        <f t="shared" si="234"/>
        <v>-1.054732002049507</v>
      </c>
      <c r="AZ940" s="33">
        <f t="shared" si="235"/>
        <v>4.4777467711528391</v>
      </c>
      <c r="BA940" s="39">
        <f t="shared" si="236"/>
        <v>-0.4874664453949149</v>
      </c>
      <c r="BB940" s="39">
        <f t="shared" si="237"/>
        <v>1.3741645505469289</v>
      </c>
      <c r="BC940" s="45">
        <f t="shared" si="238"/>
        <v>-1.5971261045531511</v>
      </c>
      <c r="BD940" s="45">
        <f t="shared" si="239"/>
        <v>4.7721435523442031</v>
      </c>
      <c r="BE940" s="64">
        <f t="shared" si="240"/>
        <v>113668591678.07465</v>
      </c>
      <c r="BF940" s="65">
        <f t="shared" si="241"/>
        <v>123099640609.72635</v>
      </c>
      <c r="BG940" s="66">
        <f t="shared" si="242"/>
        <v>103897319652.51205</v>
      </c>
    </row>
    <row r="941" spans="43:59" x14ac:dyDescent="0.25">
      <c r="AQ941" s="7">
        <v>926</v>
      </c>
      <c r="AR941" s="58">
        <f t="shared" si="243"/>
        <v>463</v>
      </c>
      <c r="AS941" s="58">
        <f t="shared" si="244"/>
        <v>97623.898671639181</v>
      </c>
      <c r="AT941" s="58">
        <f t="shared" si="245"/>
        <v>-321021.20133163431</v>
      </c>
      <c r="AU941" s="58">
        <f t="shared" si="246"/>
        <v>647.87391654925602</v>
      </c>
      <c r="AV941" s="58">
        <f t="shared" si="247"/>
        <v>-706.39151833337917</v>
      </c>
      <c r="AW941" s="58">
        <f t="shared" si="233"/>
        <v>-3.1378511518347496</v>
      </c>
      <c r="AX941" s="58">
        <f t="shared" si="248"/>
        <v>10.594574808380258</v>
      </c>
      <c r="AY941" s="33">
        <f t="shared" si="234"/>
        <v>-1.0552168520864991</v>
      </c>
      <c r="AZ941" s="33">
        <f t="shared" si="235"/>
        <v>4.4659069416143478</v>
      </c>
      <c r="BA941" s="39">
        <f t="shared" si="236"/>
        <v>-0.48696974341922461</v>
      </c>
      <c r="BB941" s="39">
        <f t="shared" si="237"/>
        <v>1.3704469185194288</v>
      </c>
      <c r="BC941" s="45">
        <f t="shared" si="238"/>
        <v>-1.5956645563290262</v>
      </c>
      <c r="BD941" s="45">
        <f t="shared" si="239"/>
        <v>4.758220948246481</v>
      </c>
      <c r="BE941" s="64">
        <f t="shared" si="240"/>
        <v>113951649369.36511</v>
      </c>
      <c r="BF941" s="65">
        <f t="shared" si="241"/>
        <v>123410417269.75443</v>
      </c>
      <c r="BG941" s="66">
        <f t="shared" si="242"/>
        <v>104180640243.02353</v>
      </c>
    </row>
    <row r="942" spans="43:59" x14ac:dyDescent="0.25">
      <c r="AQ942" s="7">
        <v>927</v>
      </c>
      <c r="AR942" s="58">
        <f t="shared" si="243"/>
        <v>463.5</v>
      </c>
      <c r="AS942" s="58">
        <f t="shared" si="244"/>
        <v>97947.443398519827</v>
      </c>
      <c r="AT942" s="58">
        <f t="shared" si="245"/>
        <v>-321373.0727689499</v>
      </c>
      <c r="AU942" s="58">
        <f t="shared" si="246"/>
        <v>646.3049909733387</v>
      </c>
      <c r="AV942" s="58">
        <f t="shared" si="247"/>
        <v>-701.09423092918905</v>
      </c>
      <c r="AW942" s="58">
        <f t="shared" si="233"/>
        <v>-3.1364062785515112</v>
      </c>
      <c r="AX942" s="58">
        <f t="shared" si="248"/>
        <v>10.565379169198444</v>
      </c>
      <c r="AY942" s="33">
        <f t="shared" si="234"/>
        <v>-1.0557020833376516</v>
      </c>
      <c r="AZ942" s="33">
        <f t="shared" si="235"/>
        <v>4.4541805726809569</v>
      </c>
      <c r="BA942" s="39">
        <f t="shared" si="236"/>
        <v>-0.48647996906987812</v>
      </c>
      <c r="BB942" s="39">
        <f t="shared" si="237"/>
        <v>1.3667643617042764</v>
      </c>
      <c r="BC942" s="45">
        <f t="shared" si="238"/>
        <v>-1.5942242261439814</v>
      </c>
      <c r="BD942" s="45">
        <f t="shared" si="239"/>
        <v>4.7444342348132116</v>
      </c>
      <c r="BE942" s="64">
        <f t="shared" si="240"/>
        <v>114233301924.85646</v>
      </c>
      <c r="BF942" s="65">
        <f t="shared" si="241"/>
        <v>123719712760.58281</v>
      </c>
      <c r="BG942" s="66">
        <f t="shared" si="242"/>
        <v>104462635820.17972</v>
      </c>
    </row>
    <row r="943" spans="43:59" x14ac:dyDescent="0.25">
      <c r="AQ943" s="7">
        <v>928</v>
      </c>
      <c r="AR943" s="58">
        <f t="shared" si="243"/>
        <v>464</v>
      </c>
      <c r="AS943" s="58">
        <f t="shared" si="244"/>
        <v>98270.20384322168</v>
      </c>
      <c r="AT943" s="58">
        <f t="shared" si="245"/>
        <v>-321722.29921201832</v>
      </c>
      <c r="AU943" s="58">
        <f t="shared" si="246"/>
        <v>644.73678783406297</v>
      </c>
      <c r="AV943" s="58">
        <f t="shared" si="247"/>
        <v>-695.81154134458984</v>
      </c>
      <c r="AW943" s="58">
        <f t="shared" si="233"/>
        <v>-3.1349898973413199</v>
      </c>
      <c r="AX943" s="58">
        <f t="shared" si="248"/>
        <v>10.536464887529959</v>
      </c>
      <c r="AY943" s="33">
        <f t="shared" si="234"/>
        <v>-1.056187825130747</v>
      </c>
      <c r="AZ943" s="33">
        <f t="shared" si="235"/>
        <v>4.4425664827165106</v>
      </c>
      <c r="BA943" s="39">
        <f t="shared" si="236"/>
        <v>-0.4859970751259306</v>
      </c>
      <c r="BB943" s="39">
        <f t="shared" si="237"/>
        <v>1.3631165072210141</v>
      </c>
      <c r="BC943" s="45">
        <f t="shared" si="238"/>
        <v>-1.5928049970846423</v>
      </c>
      <c r="BD943" s="45">
        <f t="shared" si="239"/>
        <v>4.7307818975924336</v>
      </c>
      <c r="BE943" s="64">
        <f t="shared" si="240"/>
        <v>114513547108.10719</v>
      </c>
      <c r="BF943" s="65">
        <f t="shared" si="241"/>
        <v>124027524911.62502</v>
      </c>
      <c r="BG943" s="66">
        <f t="shared" si="242"/>
        <v>104743303835.72745</v>
      </c>
    </row>
    <row r="944" spans="43:59" x14ac:dyDescent="0.25">
      <c r="AQ944" s="7">
        <v>929</v>
      </c>
      <c r="AR944" s="58">
        <f t="shared" si="243"/>
        <v>464.5</v>
      </c>
      <c r="AS944" s="58">
        <f t="shared" si="244"/>
        <v>98592.180363401538</v>
      </c>
      <c r="AT944" s="58">
        <f t="shared" si="245"/>
        <v>-322068.88792457967</v>
      </c>
      <c r="AU944" s="58">
        <f t="shared" si="246"/>
        <v>643.16929288539234</v>
      </c>
      <c r="AV944" s="58">
        <f t="shared" si="247"/>
        <v>-690.54330890082485</v>
      </c>
      <c r="AW944" s="58">
        <f t="shared" si="233"/>
        <v>-3.1336019733578637</v>
      </c>
      <c r="AX944" s="58">
        <f t="shared" si="248"/>
        <v>10.50782894229658</v>
      </c>
      <c r="AY944" s="33">
        <f t="shared" si="234"/>
        <v>-1.05667420437463</v>
      </c>
      <c r="AZ944" s="33">
        <f t="shared" si="235"/>
        <v>4.4310635081515946</v>
      </c>
      <c r="BA944" s="39">
        <f t="shared" si="236"/>
        <v>-0.48552101509960077</v>
      </c>
      <c r="BB944" s="39">
        <f t="shared" si="237"/>
        <v>1.359502987921227</v>
      </c>
      <c r="BC944" s="45">
        <f t="shared" si="238"/>
        <v>-1.591406753883633</v>
      </c>
      <c r="BD944" s="45">
        <f t="shared" si="239"/>
        <v>4.7172624462237591</v>
      </c>
      <c r="BE944" s="64">
        <f t="shared" si="240"/>
        <v>114792382702.1176</v>
      </c>
      <c r="BF944" s="65">
        <f t="shared" si="241"/>
        <v>124333851570.81262</v>
      </c>
      <c r="BG944" s="66">
        <f t="shared" si="242"/>
        <v>105022641763.68158</v>
      </c>
    </row>
    <row r="945" spans="43:59" x14ac:dyDescent="0.25">
      <c r="AQ945" s="7">
        <v>930</v>
      </c>
      <c r="AR945" s="58">
        <f t="shared" si="243"/>
        <v>465</v>
      </c>
      <c r="AS945" s="58">
        <f t="shared" si="244"/>
        <v>98913.373309597562</v>
      </c>
      <c r="AT945" s="58">
        <f t="shared" si="245"/>
        <v>-322412.84610041225</v>
      </c>
      <c r="AU945" s="58">
        <f t="shared" si="246"/>
        <v>641.60249189871342</v>
      </c>
      <c r="AV945" s="58">
        <f t="shared" si="247"/>
        <v>-685.28939442967658</v>
      </c>
      <c r="AW945" s="58">
        <f t="shared" si="233"/>
        <v>-3.1322424717511717</v>
      </c>
      <c r="AX945" s="58">
        <f t="shared" si="248"/>
        <v>10.479468359429289</v>
      </c>
      <c r="AY945" s="33">
        <f t="shared" si="234"/>
        <v>-1.0571613456214901</v>
      </c>
      <c r="AZ945" s="33">
        <f t="shared" si="235"/>
        <v>4.4196705031605745</v>
      </c>
      <c r="BA945" s="39">
        <f t="shared" si="236"/>
        <v>-0.48505174322557171</v>
      </c>
      <c r="BB945" s="39">
        <f t="shared" si="237"/>
        <v>1.3559234422842255</v>
      </c>
      <c r="BC945" s="45">
        <f t="shared" si="238"/>
        <v>-1.5900293829041099</v>
      </c>
      <c r="BD945" s="45">
        <f t="shared" si="239"/>
        <v>4.7038744139844884</v>
      </c>
      <c r="BE945" s="64">
        <f t="shared" si="240"/>
        <v>115069806509.17419</v>
      </c>
      <c r="BF945" s="65">
        <f t="shared" si="241"/>
        <v>124638690604.44406</v>
      </c>
      <c r="BG945" s="66">
        <f t="shared" si="242"/>
        <v>105300647100.13553</v>
      </c>
    </row>
    <row r="946" spans="43:59" x14ac:dyDescent="0.25">
      <c r="AQ946" s="7">
        <v>931</v>
      </c>
      <c r="AR946" s="58">
        <f t="shared" si="243"/>
        <v>465.5</v>
      </c>
      <c r="AS946" s="58">
        <f t="shared" si="244"/>
        <v>99233.78302523795</v>
      </c>
      <c r="AT946" s="58">
        <f t="shared" si="245"/>
        <v>-322754.18086408213</v>
      </c>
      <c r="AU946" s="58">
        <f t="shared" si="246"/>
        <v>640.03637066283784</v>
      </c>
      <c r="AV946" s="58">
        <f t="shared" si="247"/>
        <v>-680.0496602499619</v>
      </c>
      <c r="AW946" s="58">
        <f t="shared" si="233"/>
        <v>-3.1309113577022734</v>
      </c>
      <c r="AX946" s="58">
        <f t="shared" si="248"/>
        <v>10.451380211005981</v>
      </c>
      <c r="AY946" s="33">
        <f t="shared" si="234"/>
        <v>-1.0576493711275416</v>
      </c>
      <c r="AZ946" s="33">
        <f t="shared" si="235"/>
        <v>4.4083863393456708</v>
      </c>
      <c r="BA946" s="39">
        <f t="shared" si="236"/>
        <v>-0.48458921445051606</v>
      </c>
      <c r="BB946" s="39">
        <f t="shared" si="237"/>
        <v>1.3523775143150432</v>
      </c>
      <c r="BC946" s="45">
        <f t="shared" si="238"/>
        <v>-1.5886727721242153</v>
      </c>
      <c r="BD946" s="45">
        <f t="shared" si="239"/>
        <v>4.6906163573452666</v>
      </c>
      <c r="BE946" s="64">
        <f t="shared" si="240"/>
        <v>115345816350.69635</v>
      </c>
      <c r="BF946" s="65">
        <f t="shared" si="241"/>
        <v>124942039897.0358</v>
      </c>
      <c r="BG946" s="66">
        <f t="shared" si="242"/>
        <v>105577317363.07455</v>
      </c>
    </row>
    <row r="947" spans="43:59" x14ac:dyDescent="0.25">
      <c r="AQ947" s="7">
        <v>932</v>
      </c>
      <c r="AR947" s="58">
        <f t="shared" si="243"/>
        <v>466</v>
      </c>
      <c r="AS947" s="58">
        <f t="shared" si="244"/>
        <v>99553.409846649651</v>
      </c>
      <c r="AT947" s="58">
        <f t="shared" si="245"/>
        <v>-323092.89927168074</v>
      </c>
      <c r="AU947" s="58">
        <f t="shared" si="246"/>
        <v>638.47091498398675</v>
      </c>
      <c r="AV947" s="58">
        <f t="shared" si="247"/>
        <v>-674.82397014445894</v>
      </c>
      <c r="AW947" s="58">
        <f t="shared" si="233"/>
        <v>-3.1296085964569764</v>
      </c>
      <c r="AX947" s="58">
        <f t="shared" si="248"/>
        <v>10.423561614409184</v>
      </c>
      <c r="AY947" s="33">
        <f t="shared" si="234"/>
        <v>-1.0581384009121761</v>
      </c>
      <c r="AZ947" s="33">
        <f t="shared" si="235"/>
        <v>4.397209905427939</v>
      </c>
      <c r="BA947" s="39">
        <f t="shared" si="236"/>
        <v>-0.48413338442283549</v>
      </c>
      <c r="BB947" s="39">
        <f t="shared" si="237"/>
        <v>1.3488648534446848</v>
      </c>
      <c r="BC947" s="45">
        <f t="shared" si="238"/>
        <v>-1.587336811121965</v>
      </c>
      <c r="BD947" s="45">
        <f t="shared" si="239"/>
        <v>4.6774868555365599</v>
      </c>
      <c r="BE947" s="64">
        <f t="shared" si="240"/>
        <v>115620410067.08467</v>
      </c>
      <c r="BF947" s="65">
        <f t="shared" si="241"/>
        <v>125243897351.17503</v>
      </c>
      <c r="BG947" s="66">
        <f t="shared" si="242"/>
        <v>105852650092.19151</v>
      </c>
    </row>
    <row r="948" spans="43:59" x14ac:dyDescent="0.25">
      <c r="AQ948" s="7">
        <v>933</v>
      </c>
      <c r="AR948" s="58">
        <f t="shared" si="243"/>
        <v>466.5</v>
      </c>
      <c r="AS948" s="58">
        <f t="shared" si="244"/>
        <v>99872.254103067084</v>
      </c>
      <c r="AT948" s="58">
        <f t="shared" si="245"/>
        <v>-323429.00831155118</v>
      </c>
      <c r="AU948" s="58">
        <f t="shared" si="246"/>
        <v>636.90611068575822</v>
      </c>
      <c r="AV948" s="58">
        <f t="shared" si="247"/>
        <v>-669.61218933725434</v>
      </c>
      <c r="AW948" s="58">
        <f t="shared" si="233"/>
        <v>-3.1283341533583293</v>
      </c>
      <c r="AX948" s="58">
        <f t="shared" si="248"/>
        <v>10.396009731501746</v>
      </c>
      <c r="AY948" s="33">
        <f t="shared" si="234"/>
        <v>-1.0586285528155375</v>
      </c>
      <c r="AZ948" s="33">
        <f t="shared" si="235"/>
        <v>4.3861401069446684</v>
      </c>
      <c r="BA948" s="39">
        <f t="shared" si="236"/>
        <v>-0.48368420948259772</v>
      </c>
      <c r="BB948" s="39">
        <f t="shared" si="237"/>
        <v>1.3453851144325211</v>
      </c>
      <c r="BC948" s="45">
        <f t="shared" si="238"/>
        <v>-1.5860213910601944</v>
      </c>
      <c r="BD948" s="45">
        <f t="shared" si="239"/>
        <v>4.6644845101245549</v>
      </c>
      <c r="BE948" s="64">
        <f t="shared" si="240"/>
        <v>115893585517.57162</v>
      </c>
      <c r="BF948" s="65">
        <f t="shared" si="241"/>
        <v>125544260887.37476</v>
      </c>
      <c r="BG948" s="66">
        <f t="shared" si="242"/>
        <v>106126642848.70517</v>
      </c>
    </row>
    <row r="949" spans="43:59" x14ac:dyDescent="0.25">
      <c r="AQ949" s="7">
        <v>934</v>
      </c>
      <c r="AR949" s="58">
        <f t="shared" si="243"/>
        <v>467</v>
      </c>
      <c r="AS949" s="58">
        <f t="shared" si="244"/>
        <v>100190.3161166408</v>
      </c>
      <c r="AT949" s="58">
        <f t="shared" si="245"/>
        <v>-323762.51490500337</v>
      </c>
      <c r="AU949" s="58">
        <f t="shared" si="246"/>
        <v>635.34194360907907</v>
      </c>
      <c r="AV949" s="58">
        <f t="shared" si="247"/>
        <v>-664.41418447150352</v>
      </c>
      <c r="AW949" s="58">
        <f t="shared" si="233"/>
        <v>-3.1270879938779643</v>
      </c>
      <c r="AX949" s="58">
        <f t="shared" si="248"/>
        <v>10.368721767820654</v>
      </c>
      <c r="AY949" s="33">
        <f t="shared" si="234"/>
        <v>-1.0591199425546851</v>
      </c>
      <c r="AZ949" s="33">
        <f t="shared" si="235"/>
        <v>4.3751758659534854</v>
      </c>
      <c r="BA949" s="39">
        <f t="shared" si="236"/>
        <v>-0.48324164665168373</v>
      </c>
      <c r="BB949" s="39">
        <f t="shared" si="237"/>
        <v>1.3419379572708359</v>
      </c>
      <c r="BC949" s="45">
        <f t="shared" si="238"/>
        <v>-1.5847264046715956</v>
      </c>
      <c r="BD949" s="45">
        <f t="shared" si="239"/>
        <v>4.651607944596333</v>
      </c>
      <c r="BE949" s="64">
        <f t="shared" si="240"/>
        <v>116165340580.07436</v>
      </c>
      <c r="BF949" s="65">
        <f t="shared" si="241"/>
        <v>125843128443.93065</v>
      </c>
      <c r="BG949" s="66">
        <f t="shared" si="242"/>
        <v>106399293215.18124</v>
      </c>
    </row>
    <row r="950" spans="43:59" x14ac:dyDescent="0.25">
      <c r="AQ950" s="7">
        <v>935</v>
      </c>
      <c r="AR950" s="58">
        <f t="shared" si="243"/>
        <v>467.5</v>
      </c>
      <c r="AS950" s="58">
        <f t="shared" si="244"/>
        <v>100507.5962024461</v>
      </c>
      <c r="AT950" s="58">
        <f t="shared" si="245"/>
        <v>-324093.42590701813</v>
      </c>
      <c r="AU950" s="58">
        <f t="shared" si="246"/>
        <v>633.77839961214011</v>
      </c>
      <c r="AV950" s="58">
        <f t="shared" si="247"/>
        <v>-659.22982358759316</v>
      </c>
      <c r="AW950" s="58">
        <f t="shared" si="233"/>
        <v>-3.1258700836465021</v>
      </c>
      <c r="AX950" s="58">
        <f t="shared" si="248"/>
        <v>10.341694971788851</v>
      </c>
      <c r="AY950" s="33">
        <f t="shared" si="234"/>
        <v>-1.0596126837783031</v>
      </c>
      <c r="AZ950" s="33">
        <f t="shared" si="235"/>
        <v>4.3643161207426759</v>
      </c>
      <c r="BA950" s="39">
        <f t="shared" si="236"/>
        <v>-0.48280565362411432</v>
      </c>
      <c r="BB950" s="39">
        <f t="shared" si="237"/>
        <v>1.3385230470913945</v>
      </c>
      <c r="BC950" s="45">
        <f t="shared" si="238"/>
        <v>-1.5834517462440847</v>
      </c>
      <c r="BD950" s="45">
        <f t="shared" si="239"/>
        <v>4.6388558039547796</v>
      </c>
      <c r="BE950" s="64">
        <f t="shared" si="240"/>
        <v>116435673151.04924</v>
      </c>
      <c r="BF950" s="65">
        <f t="shared" si="241"/>
        <v>126140497976.78001</v>
      </c>
      <c r="BG950" s="66">
        <f t="shared" si="242"/>
        <v>106670598795.35571</v>
      </c>
    </row>
    <row r="951" spans="43:59" x14ac:dyDescent="0.25">
      <c r="AQ951" s="7">
        <v>936</v>
      </c>
      <c r="AR951" s="58">
        <f t="shared" si="243"/>
        <v>468</v>
      </c>
      <c r="AS951" s="58">
        <f t="shared" si="244"/>
        <v>100824.09466849171</v>
      </c>
      <c r="AT951" s="58">
        <f t="shared" si="245"/>
        <v>-324421.74810694042</v>
      </c>
      <c r="AU951" s="58">
        <f t="shared" si="246"/>
        <v>632.21546457031684</v>
      </c>
      <c r="AV951" s="58">
        <f t="shared" si="247"/>
        <v>-654.0589761016987</v>
      </c>
      <c r="AW951" s="58">
        <f t="shared" si="233"/>
        <v>-3.1246803884828989</v>
      </c>
      <c r="AX951" s="58">
        <f t="shared" si="248"/>
        <v>10.314926633944172</v>
      </c>
      <c r="AY951" s="33">
        <f t="shared" si="234"/>
        <v>-1.0601068881200784</v>
      </c>
      <c r="AZ951" s="33">
        <f t="shared" si="235"/>
        <v>4.353559825547892</v>
      </c>
      <c r="BA951" s="39">
        <f t="shared" si="236"/>
        <v>-0.48237618875660787</v>
      </c>
      <c r="BB951" s="39">
        <f t="shared" si="237"/>
        <v>1.3351400540741336</v>
      </c>
      <c r="BC951" s="45">
        <f t="shared" si="238"/>
        <v>-1.5821973116062129</v>
      </c>
      <c r="BD951" s="45">
        <f t="shared" si="239"/>
        <v>4.626226754322146</v>
      </c>
      <c r="BE951" s="64">
        <f t="shared" si="240"/>
        <v>116704581145.34851</v>
      </c>
      <c r="BF951" s="65">
        <f t="shared" si="241"/>
        <v>126436367459.36255</v>
      </c>
      <c r="BG951" s="66">
        <f t="shared" si="242"/>
        <v>106940557213.96078</v>
      </c>
    </row>
    <row r="952" spans="43:59" x14ac:dyDescent="0.25">
      <c r="AQ952" s="7">
        <v>937</v>
      </c>
      <c r="AR952" s="58">
        <f t="shared" si="243"/>
        <v>468.5</v>
      </c>
      <c r="AS952" s="58">
        <f t="shared" si="244"/>
        <v>101139.81181572832</v>
      </c>
      <c r="AT952" s="58">
        <f t="shared" si="245"/>
        <v>-324747.488229162</v>
      </c>
      <c r="AU952" s="58">
        <f t="shared" si="246"/>
        <v>630.65312437607543</v>
      </c>
      <c r="AV952" s="58">
        <f t="shared" si="247"/>
        <v>-648.90151278472661</v>
      </c>
      <c r="AW952" s="58">
        <f t="shared" si="233"/>
        <v>-3.1235188744227904</v>
      </c>
      <c r="AX952" s="58">
        <f t="shared" si="248"/>
        <v>10.288414086184908</v>
      </c>
      <c r="AY952" s="33">
        <f t="shared" si="234"/>
        <v>-1.0606026652506189</v>
      </c>
      <c r="AZ952" s="33">
        <f t="shared" si="235"/>
        <v>4.3429059502744156</v>
      </c>
      <c r="BA952" s="39">
        <f t="shared" si="236"/>
        <v>-0.48195321105928007</v>
      </c>
      <c r="BB952" s="39">
        <f t="shared" si="237"/>
        <v>1.331788653357693</v>
      </c>
      <c r="BC952" s="45">
        <f t="shared" si="238"/>
        <v>-1.5809629981128914</v>
      </c>
      <c r="BD952" s="45">
        <f t="shared" si="239"/>
        <v>4.6137194825527992</v>
      </c>
      <c r="BE952" s="64">
        <f t="shared" si="240"/>
        <v>116972062496.07895</v>
      </c>
      <c r="BF952" s="65">
        <f t="shared" si="241"/>
        <v>126730734882.48303</v>
      </c>
      <c r="BG952" s="66">
        <f t="shared" si="242"/>
        <v>107209166116.55307</v>
      </c>
    </row>
    <row r="953" spans="43:59" x14ac:dyDescent="0.25">
      <c r="AQ953" s="7">
        <v>938</v>
      </c>
      <c r="AR953" s="58">
        <f t="shared" si="243"/>
        <v>469</v>
      </c>
      <c r="AS953" s="58">
        <f t="shared" si="244"/>
        <v>101454.74793805706</v>
      </c>
      <c r="AT953" s="58">
        <f t="shared" si="245"/>
        <v>-325070.65293379361</v>
      </c>
      <c r="AU953" s="58">
        <f t="shared" si="246"/>
        <v>629.09136493886399</v>
      </c>
      <c r="AV953" s="58">
        <f t="shared" si="247"/>
        <v>-643.75730574163413</v>
      </c>
      <c r="AW953" s="58">
        <f t="shared" si="233"/>
        <v>-3.1223855077459328</v>
      </c>
      <c r="AX953" s="58">
        <f t="shared" si="248"/>
        <v>10.262154701032056</v>
      </c>
      <c r="AY953" s="33">
        <f t="shared" si="234"/>
        <v>-1.0611001229282282</v>
      </c>
      <c r="AZ953" s="33">
        <f t="shared" si="235"/>
        <v>4.3323534802259553</v>
      </c>
      <c r="BA953" s="39">
        <f t="shared" si="236"/>
        <v>-0.48153668018654922</v>
      </c>
      <c r="BB953" s="39">
        <f t="shared" si="237"/>
        <v>1.3284685249519241</v>
      </c>
      <c r="BC953" s="45">
        <f t="shared" si="238"/>
        <v>-1.5797487046311551</v>
      </c>
      <c r="BD953" s="45">
        <f t="shared" si="239"/>
        <v>4.6013326958541763</v>
      </c>
      <c r="BE953" s="64">
        <f t="shared" si="240"/>
        <v>117238115154.4622</v>
      </c>
      <c r="BF953" s="65">
        <f t="shared" si="241"/>
        <v>127023598254.17575</v>
      </c>
      <c r="BG953" s="66">
        <f t="shared" si="242"/>
        <v>107476423169.34436</v>
      </c>
    </row>
    <row r="954" spans="43:59" x14ac:dyDescent="0.25">
      <c r="AQ954" s="7">
        <v>939</v>
      </c>
      <c r="AR954" s="58">
        <f t="shared" si="243"/>
        <v>469.5</v>
      </c>
      <c r="AS954" s="58">
        <f t="shared" si="244"/>
        <v>101768.90332233801</v>
      </c>
      <c r="AT954" s="58">
        <f t="shared" si="245"/>
        <v>-325391.24881732679</v>
      </c>
      <c r="AU954" s="58">
        <f t="shared" si="246"/>
        <v>627.53017218499099</v>
      </c>
      <c r="AV954" s="58">
        <f t="shared" si="247"/>
        <v>-638.62622839111805</v>
      </c>
      <c r="AW954" s="58">
        <f t="shared" si="233"/>
        <v>-3.1212802550026115</v>
      </c>
      <c r="AX954" s="58">
        <f t="shared" si="248"/>
        <v>10.236145890906975</v>
      </c>
      <c r="AY954" s="33">
        <f t="shared" si="234"/>
        <v>-1.0615993670482495</v>
      </c>
      <c r="AZ954" s="33">
        <f t="shared" si="235"/>
        <v>4.3219014158385169</v>
      </c>
      <c r="BA954" s="39">
        <f t="shared" si="236"/>
        <v>-0.48112655642823876</v>
      </c>
      <c r="BB954" s="39">
        <f t="shared" si="237"/>
        <v>1.3251793536523144</v>
      </c>
      <c r="BC954" s="45">
        <f t="shared" si="238"/>
        <v>-1.578554331526123</v>
      </c>
      <c r="BD954" s="45">
        <f t="shared" si="239"/>
        <v>4.5890651214161453</v>
      </c>
      <c r="BE954" s="64">
        <f t="shared" si="240"/>
        <v>117502737089.69724</v>
      </c>
      <c r="BF954" s="65">
        <f t="shared" si="241"/>
        <v>127314955599.57092</v>
      </c>
      <c r="BG954" s="66">
        <f t="shared" si="242"/>
        <v>107742326059.03442</v>
      </c>
    </row>
    <row r="955" spans="43:59" x14ac:dyDescent="0.25">
      <c r="AQ955" s="7">
        <v>940</v>
      </c>
      <c r="AR955" s="58">
        <f t="shared" si="243"/>
        <v>470</v>
      </c>
      <c r="AS955" s="58">
        <f t="shared" si="244"/>
        <v>102082.27824839862</v>
      </c>
      <c r="AT955" s="58">
        <f t="shared" si="245"/>
        <v>-325709.28241328598</v>
      </c>
      <c r="AU955" s="58">
        <f t="shared" si="246"/>
        <v>625.96953205748969</v>
      </c>
      <c r="AV955" s="58">
        <f t="shared" si="247"/>
        <v>-633.50815544566456</v>
      </c>
      <c r="AW955" s="58">
        <f t="shared" si="233"/>
        <v>-3.1202030830394172</v>
      </c>
      <c r="AX955" s="58">
        <f t="shared" si="248"/>
        <v>10.210385107425491</v>
      </c>
      <c r="AY955" s="33">
        <f t="shared" si="234"/>
        <v>-1.0621005016913068</v>
      </c>
      <c r="AZ955" s="33">
        <f t="shared" si="235"/>
        <v>4.311548772420382</v>
      </c>
      <c r="BA955" s="39">
        <f t="shared" si="236"/>
        <v>-0.48072280070083778</v>
      </c>
      <c r="BB955" s="39">
        <f t="shared" si="237"/>
        <v>1.3219208289561899</v>
      </c>
      <c r="BC955" s="45">
        <f t="shared" si="238"/>
        <v>-1.5773797806472727</v>
      </c>
      <c r="BD955" s="45">
        <f t="shared" si="239"/>
        <v>4.5769155060489188</v>
      </c>
      <c r="BE955" s="64">
        <f t="shared" si="240"/>
        <v>117765926288.82451</v>
      </c>
      <c r="BF955" s="65">
        <f t="shared" si="241"/>
        <v>127604804960.76283</v>
      </c>
      <c r="BG955" s="66">
        <f t="shared" si="242"/>
        <v>108006872492.64656</v>
      </c>
    </row>
    <row r="956" spans="43:59" x14ac:dyDescent="0.25">
      <c r="AQ956" s="7">
        <v>941</v>
      </c>
      <c r="AR956" s="58">
        <f t="shared" si="243"/>
        <v>470.5</v>
      </c>
      <c r="AS956" s="58">
        <f t="shared" si="244"/>
        <v>102394.87298904199</v>
      </c>
      <c r="AT956" s="58">
        <f t="shared" si="245"/>
        <v>-326024.7601928704</v>
      </c>
      <c r="AU956" s="58">
        <f t="shared" si="246"/>
        <v>624.40943051597003</v>
      </c>
      <c r="AV956" s="58">
        <f t="shared" si="247"/>
        <v>-628.4029628919518</v>
      </c>
      <c r="AW956" s="58">
        <f t="shared" si="233"/>
        <v>-3.1191539590239281</v>
      </c>
      <c r="AX956" s="58">
        <f t="shared" si="248"/>
        <v>10.184869840706398</v>
      </c>
      <c r="AY956" s="33">
        <f t="shared" si="234"/>
        <v>-1.0626036291702954</v>
      </c>
      <c r="AZ956" s="33">
        <f t="shared" si="235"/>
        <v>4.3012945798973456</v>
      </c>
      <c r="BA956" s="39">
        <f t="shared" si="236"/>
        <v>-0.48032537453892354</v>
      </c>
      <c r="BB956" s="39">
        <f t="shared" si="237"/>
        <v>1.3186926449806657</v>
      </c>
      <c r="BC956" s="45">
        <f t="shared" si="238"/>
        <v>-1.5762249553147092</v>
      </c>
      <c r="BD956" s="45">
        <f t="shared" si="239"/>
        <v>4.5648826158283855</v>
      </c>
      <c r="BE956" s="64">
        <f t="shared" si="240"/>
        <v>118027680756.59206</v>
      </c>
      <c r="BF956" s="65">
        <f t="shared" si="241"/>
        <v>127893144396.67978</v>
      </c>
      <c r="BG956" s="66">
        <f t="shared" si="242"/>
        <v>108270060197.36499</v>
      </c>
    </row>
    <row r="957" spans="43:59" x14ac:dyDescent="0.25">
      <c r="AQ957" s="7">
        <v>942</v>
      </c>
      <c r="AR957" s="58">
        <f t="shared" si="243"/>
        <v>471</v>
      </c>
      <c r="AS957" s="58">
        <f t="shared" si="244"/>
        <v>102706.68781005511</v>
      </c>
      <c r="AT957" s="58">
        <f t="shared" si="245"/>
        <v>-326337.68856558629</v>
      </c>
      <c r="AU957" s="58">
        <f t="shared" si="246"/>
        <v>622.84985353645811</v>
      </c>
      <c r="AV957" s="58">
        <f t="shared" si="247"/>
        <v>-623.31052797159862</v>
      </c>
      <c r="AW957" s="58">
        <f t="shared" si="233"/>
        <v>-3.1181328504687276</v>
      </c>
      <c r="AX957" s="58">
        <f t="shared" si="248"/>
        <v>10.159597618695219</v>
      </c>
      <c r="AY957" s="33">
        <f t="shared" si="234"/>
        <v>-1.0631088500762038</v>
      </c>
      <c r="AZ957" s="33">
        <f t="shared" si="235"/>
        <v>4.2911378825632331</v>
      </c>
      <c r="BA957" s="39">
        <f t="shared" si="236"/>
        <v>-0.47993424008679292</v>
      </c>
      <c r="BB957" s="39">
        <f t="shared" si="237"/>
        <v>1.315494500382445</v>
      </c>
      <c r="BC957" s="45">
        <f t="shared" si="238"/>
        <v>-1.575089760305731</v>
      </c>
      <c r="BD957" s="45">
        <f t="shared" si="239"/>
        <v>4.5529652357495403</v>
      </c>
      <c r="BE957" s="64">
        <f t="shared" si="240"/>
        <v>118287998515.3233</v>
      </c>
      <c r="BF957" s="65">
        <f t="shared" si="241"/>
        <v>128179971982.95564</v>
      </c>
      <c r="BG957" s="66">
        <f t="shared" si="242"/>
        <v>108531886920.37468</v>
      </c>
    </row>
    <row r="958" spans="43:59" x14ac:dyDescent="0.25">
      <c r="AQ958" s="7">
        <v>943</v>
      </c>
      <c r="AR958" s="58">
        <f t="shared" si="243"/>
        <v>471.5</v>
      </c>
      <c r="AS958" s="58">
        <f t="shared" si="244"/>
        <v>103017.72297021703</v>
      </c>
      <c r="AT958" s="58">
        <f t="shared" si="245"/>
        <v>-326648.07387986977</v>
      </c>
      <c r="AU958" s="58">
        <f t="shared" si="246"/>
        <v>621.29078711122372</v>
      </c>
      <c r="AV958" s="58">
        <f t="shared" si="247"/>
        <v>-618.23072916225101</v>
      </c>
      <c r="AW958" s="58">
        <f t="shared" si="233"/>
        <v>-3.1171397252545656</v>
      </c>
      <c r="AX958" s="58">
        <f t="shared" si="248"/>
        <v>10.134566006502229</v>
      </c>
      <c r="AY958" s="33">
        <f t="shared" si="234"/>
        <v>-1.0636162633228319</v>
      </c>
      <c r="AZ958" s="33">
        <f t="shared" si="235"/>
        <v>4.2810777388357408</v>
      </c>
      <c r="BA958" s="39">
        <f t="shared" si="236"/>
        <v>-0.4795493600902187</v>
      </c>
      <c r="BB958" s="39">
        <f t="shared" si="237"/>
        <v>1.3123260982791984</v>
      </c>
      <c r="BC958" s="45">
        <f t="shared" si="238"/>
        <v>-1.573974101841515</v>
      </c>
      <c r="BD958" s="45">
        <f t="shared" si="239"/>
        <v>4.5411621693872908</v>
      </c>
      <c r="BE958" s="64">
        <f t="shared" si="240"/>
        <v>118546877604.78661</v>
      </c>
      <c r="BF958" s="65">
        <f t="shared" si="241"/>
        <v>128465285811.80333</v>
      </c>
      <c r="BG958" s="66">
        <f t="shared" si="242"/>
        <v>108792350428.70331</v>
      </c>
    </row>
    <row r="959" spans="43:59" x14ac:dyDescent="0.25">
      <c r="AQ959" s="7">
        <v>944</v>
      </c>
      <c r="AR959" s="58">
        <f t="shared" si="243"/>
        <v>472</v>
      </c>
      <c r="AS959" s="58">
        <f t="shared" si="244"/>
        <v>103327.97872130698</v>
      </c>
      <c r="AT959" s="58">
        <f t="shared" si="245"/>
        <v>-326955.92242370005</v>
      </c>
      <c r="AU959" s="58">
        <f t="shared" si="246"/>
        <v>619.73221724859638</v>
      </c>
      <c r="AV959" s="58">
        <f t="shared" si="247"/>
        <v>-613.16344615899993</v>
      </c>
      <c r="AW959" s="58">
        <f t="shared" si="233"/>
        <v>-3.1161745516527981</v>
      </c>
      <c r="AX959" s="58">
        <f t="shared" si="248"/>
        <v>10.109772605754671</v>
      </c>
      <c r="AY959" s="33">
        <f t="shared" si="234"/>
        <v>-1.064125966190399</v>
      </c>
      <c r="AZ959" s="33">
        <f t="shared" si="235"/>
        <v>4.2711132210172806</v>
      </c>
      <c r="BA959" s="39">
        <f t="shared" si="236"/>
        <v>-0.47917069788839084</v>
      </c>
      <c r="BB959" s="39">
        <f t="shared" si="237"/>
        <v>1.3091871461726632</v>
      </c>
      <c r="BC959" s="45">
        <f t="shared" si="238"/>
        <v>-1.5728778875740081</v>
      </c>
      <c r="BD959" s="45">
        <f t="shared" si="239"/>
        <v>4.5294722385647272</v>
      </c>
      <c r="BE959" s="64">
        <f t="shared" si="240"/>
        <v>118804316082.06665</v>
      </c>
      <c r="BF959" s="65">
        <f t="shared" si="241"/>
        <v>128749083991.88971</v>
      </c>
      <c r="BG959" s="66">
        <f t="shared" si="242"/>
        <v>109051448509.06549</v>
      </c>
    </row>
    <row r="960" spans="43:59" x14ac:dyDescent="0.25">
      <c r="AQ960" s="7">
        <v>945</v>
      </c>
      <c r="AR960" s="58">
        <f t="shared" si="243"/>
        <v>472.5</v>
      </c>
      <c r="AS960" s="58">
        <f t="shared" si="244"/>
        <v>103637.45530811232</v>
      </c>
      <c r="AT960" s="58">
        <f t="shared" si="245"/>
        <v>-327261.24042520381</v>
      </c>
      <c r="AU960" s="58">
        <f t="shared" si="246"/>
        <v>618.17412997276995</v>
      </c>
      <c r="AV960" s="58">
        <f t="shared" si="247"/>
        <v>-608.10855985612261</v>
      </c>
      <c r="AW960" s="58">
        <f t="shared" si="233"/>
        <v>-3.11523729834708</v>
      </c>
      <c r="AX960" s="58">
        <f t="shared" si="248"/>
        <v>10.08521505396271</v>
      </c>
      <c r="AY960" s="33">
        <f t="shared" si="234"/>
        <v>-1.0646380543681129</v>
      </c>
      <c r="AZ960" s="33">
        <f t="shared" si="235"/>
        <v>4.2612434150609131</v>
      </c>
      <c r="BA960" s="39">
        <f t="shared" si="236"/>
        <v>-0.47879821740601219</v>
      </c>
      <c r="BB960" s="39">
        <f t="shared" si="237"/>
        <v>1.3060773558733441</v>
      </c>
      <c r="BC960" s="45">
        <f t="shared" si="238"/>
        <v>-1.5718010265729547</v>
      </c>
      <c r="BD960" s="45">
        <f t="shared" si="239"/>
        <v>4.5178942830284523</v>
      </c>
      <c r="BE960" s="64">
        <f t="shared" si="240"/>
        <v>119060312021.43759</v>
      </c>
      <c r="BF960" s="65">
        <f t="shared" si="241"/>
        <v>129031364648.2126</v>
      </c>
      <c r="BG960" s="66">
        <f t="shared" si="242"/>
        <v>109309178967.70903</v>
      </c>
    </row>
    <row r="961" spans="43:59" x14ac:dyDescent="0.25">
      <c r="AQ961" s="7">
        <v>946</v>
      </c>
      <c r="AR961" s="58">
        <f t="shared" si="243"/>
        <v>473</v>
      </c>
      <c r="AS961" s="58">
        <f t="shared" si="244"/>
        <v>103946.15296843641</v>
      </c>
      <c r="AT961" s="58">
        <f t="shared" si="245"/>
        <v>-327564.0340532501</v>
      </c>
      <c r="AU961" s="58">
        <f t="shared" si="246"/>
        <v>616.61651132359646</v>
      </c>
      <c r="AV961" s="58">
        <f t="shared" si="247"/>
        <v>-603.06595232914128</v>
      </c>
      <c r="AW961" s="58">
        <f t="shared" si="233"/>
        <v>-3.1143279344543764</v>
      </c>
      <c r="AX961" s="58">
        <f t="shared" si="248"/>
        <v>10.060891023898785</v>
      </c>
      <c r="AY961" s="33">
        <f t="shared" si="234"/>
        <v>-1.0651526219956429</v>
      </c>
      <c r="AZ961" s="33">
        <f t="shared" si="235"/>
        <v>4.25146742034085</v>
      </c>
      <c r="BA961" s="39">
        <f t="shared" si="236"/>
        <v>-0.47843188314555629</v>
      </c>
      <c r="BB961" s="39">
        <f t="shared" si="237"/>
        <v>1.3029964434268031</v>
      </c>
      <c r="BC961" s="45">
        <f t="shared" si="238"/>
        <v>-1.570743429313177</v>
      </c>
      <c r="BD961" s="45">
        <f t="shared" si="239"/>
        <v>4.5064271601311319</v>
      </c>
      <c r="BE961" s="64">
        <f t="shared" si="240"/>
        <v>119314863514.23766</v>
      </c>
      <c r="BF961" s="65">
        <f t="shared" si="241"/>
        <v>129312125921.97882</v>
      </c>
      <c r="BG961" s="66">
        <f t="shared" si="242"/>
        <v>109565539630.26323</v>
      </c>
    </row>
    <row r="962" spans="43:59" x14ac:dyDescent="0.25">
      <c r="AQ962" s="7">
        <v>947</v>
      </c>
      <c r="AR962" s="58">
        <f t="shared" si="243"/>
        <v>473.5</v>
      </c>
      <c r="AS962" s="58">
        <f t="shared" si="244"/>
        <v>104254.0719331064</v>
      </c>
      <c r="AT962" s="58">
        <f t="shared" si="245"/>
        <v>-327864.30941803672</v>
      </c>
      <c r="AU962" s="58">
        <f t="shared" si="246"/>
        <v>615.05934735636924</v>
      </c>
      <c r="AV962" s="58">
        <f t="shared" si="247"/>
        <v>-598.03550681719184</v>
      </c>
      <c r="AW962" s="58">
        <f t="shared" si="233"/>
        <v>-3.1134464295452888</v>
      </c>
      <c r="AX962" s="58">
        <f t="shared" si="248"/>
        <v>10.036798222990186</v>
      </c>
      <c r="AY962" s="33">
        <f t="shared" si="234"/>
        <v>-1.0656697617036865</v>
      </c>
      <c r="AZ962" s="33">
        <f t="shared" si="235"/>
        <v>4.241784349428106</v>
      </c>
      <c r="BA962" s="39">
        <f t="shared" si="236"/>
        <v>-0.47807166017966479</v>
      </c>
      <c r="BB962" s="39">
        <f t="shared" si="237"/>
        <v>1.2999441290414588</v>
      </c>
      <c r="BC962" s="45">
        <f t="shared" si="238"/>
        <v>-1.5697050076619374</v>
      </c>
      <c r="BD962" s="45">
        <f t="shared" si="239"/>
        <v>4.4950697445206211</v>
      </c>
      <c r="BE962" s="64">
        <f t="shared" si="240"/>
        <v>119567968668.74574</v>
      </c>
      <c r="BF962" s="65">
        <f t="shared" si="241"/>
        <v>129591365970.48444</v>
      </c>
      <c r="BG962" s="66">
        <f t="shared" si="242"/>
        <v>109820528341.5894</v>
      </c>
    </row>
    <row r="963" spans="43:59" x14ac:dyDescent="0.25">
      <c r="AQ963" s="7">
        <v>948</v>
      </c>
      <c r="AR963" s="58">
        <f t="shared" si="243"/>
        <v>474</v>
      </c>
      <c r="AS963" s="58">
        <f t="shared" si="244"/>
        <v>104561.21242598091</v>
      </c>
      <c r="AT963" s="58">
        <f t="shared" si="245"/>
        <v>-328162.07257166744</v>
      </c>
      <c r="AU963" s="58">
        <f t="shared" si="246"/>
        <v>613.50262414159658</v>
      </c>
      <c r="AV963" s="58">
        <f t="shared" si="247"/>
        <v>-593.01710770569673</v>
      </c>
      <c r="AW963" s="58">
        <f t="shared" si="233"/>
        <v>-3.1125927536637139</v>
      </c>
      <c r="AX963" s="58">
        <f t="shared" si="248"/>
        <v>10.012934392724221</v>
      </c>
      <c r="AY963" s="33">
        <f t="shared" si="234"/>
        <v>-1.066189564653464</v>
      </c>
      <c r="AZ963" s="33">
        <f t="shared" si="235"/>
        <v>4.2321933278703723</v>
      </c>
      <c r="BA963" s="39">
        <f t="shared" si="236"/>
        <v>-0.47771751414370045</v>
      </c>
      <c r="BB963" s="39">
        <f t="shared" si="237"/>
        <v>1.2969201370178975</v>
      </c>
      <c r="BC963" s="45">
        <f t="shared" si="238"/>
        <v>-1.5686856748665492</v>
      </c>
      <c r="BD963" s="45">
        <f t="shared" si="239"/>
        <v>4.4838209278359509</v>
      </c>
      <c r="BE963" s="64">
        <f t="shared" si="240"/>
        <v>119819625610.0592</v>
      </c>
      <c r="BF963" s="65">
        <f t="shared" si="241"/>
        <v>129869082966.996</v>
      </c>
      <c r="BG963" s="66">
        <f t="shared" si="242"/>
        <v>110074142965.63321</v>
      </c>
    </row>
    <row r="964" spans="43:59" x14ac:dyDescent="0.25">
      <c r="AQ964" s="7">
        <v>949</v>
      </c>
      <c r="AR964" s="58">
        <f t="shared" si="243"/>
        <v>474.5</v>
      </c>
      <c r="AS964" s="58">
        <f t="shared" si="244"/>
        <v>104867.57466395749</v>
      </c>
      <c r="AT964" s="58">
        <f t="shared" si="245"/>
        <v>-328457.32950872119</v>
      </c>
      <c r="AU964" s="58">
        <f t="shared" si="246"/>
        <v>611.94632776476476</v>
      </c>
      <c r="AV964" s="58">
        <f t="shared" si="247"/>
        <v>-588.01064050933462</v>
      </c>
      <c r="AW964" s="58">
        <f t="shared" si="233"/>
        <v>-3.1117668773458838</v>
      </c>
      <c r="AX964" s="58">
        <f t="shared" si="248"/>
        <v>9.9892973080659857</v>
      </c>
      <c r="AY964" s="33">
        <f t="shared" si="234"/>
        <v>-1.0667121205753169</v>
      </c>
      <c r="AZ964" s="33">
        <f t="shared" si="235"/>
        <v>4.2226934939766219</v>
      </c>
      <c r="BA964" s="39">
        <f t="shared" si="236"/>
        <v>-0.47736941122846066</v>
      </c>
      <c r="BB964" s="39">
        <f t="shared" si="237"/>
        <v>1.2939241956796941</v>
      </c>
      <c r="BC964" s="45">
        <f t="shared" si="238"/>
        <v>-1.567685345542106</v>
      </c>
      <c r="BD964" s="45">
        <f t="shared" si="239"/>
        <v>4.4726796184096695</v>
      </c>
      <c r="BE964" s="64">
        <f t="shared" si="240"/>
        <v>120069832479.97388</v>
      </c>
      <c r="BF964" s="65">
        <f t="shared" si="241"/>
        <v>130145275100.63406</v>
      </c>
      <c r="BG964" s="66">
        <f t="shared" si="242"/>
        <v>110326381385.27928</v>
      </c>
    </row>
    <row r="965" spans="43:59" x14ac:dyDescent="0.25">
      <c r="AQ965" s="7">
        <v>950</v>
      </c>
      <c r="AR965" s="58">
        <f t="shared" si="243"/>
        <v>475</v>
      </c>
      <c r="AS965" s="58">
        <f t="shared" si="244"/>
        <v>105173.15885698021</v>
      </c>
      <c r="AT965" s="58">
        <f t="shared" si="245"/>
        <v>-328750.08616681234</v>
      </c>
      <c r="AU965" s="58">
        <f t="shared" si="246"/>
        <v>610.39044432609182</v>
      </c>
      <c r="AV965" s="58">
        <f t="shared" si="247"/>
        <v>-583.01599185530165</v>
      </c>
      <c r="AW965" s="58">
        <f t="shared" si="233"/>
        <v>-3.1109687716388015</v>
      </c>
      <c r="AX965" s="58">
        <f t="shared" si="248"/>
        <v>9.9658847768882719</v>
      </c>
      <c r="AY965" s="33">
        <f t="shared" si="234"/>
        <v>-1.0672375178063684</v>
      </c>
      <c r="AZ965" s="33">
        <f t="shared" si="235"/>
        <v>4.2132839986060544</v>
      </c>
      <c r="BA965" s="39">
        <f t="shared" si="236"/>
        <v>-0.47702731817301125</v>
      </c>
      <c r="BB965" s="39">
        <f t="shared" si="237"/>
        <v>1.2909560373055955</v>
      </c>
      <c r="BC965" s="45">
        <f t="shared" si="238"/>
        <v>-1.5667039356594219</v>
      </c>
      <c r="BD965" s="45">
        <f t="shared" si="239"/>
        <v>4.461644740976622</v>
      </c>
      <c r="BE965" s="64">
        <f t="shared" si="240"/>
        <v>120318587436.86511</v>
      </c>
      <c r="BF965" s="65">
        <f t="shared" si="241"/>
        <v>130419940576.25758</v>
      </c>
      <c r="BG965" s="66">
        <f t="shared" si="242"/>
        <v>110577241502.20757</v>
      </c>
    </row>
    <row r="966" spans="43:59" x14ac:dyDescent="0.25">
      <c r="AQ966" s="7">
        <v>951</v>
      </c>
      <c r="AR966" s="58">
        <f t="shared" si="243"/>
        <v>475.5</v>
      </c>
      <c r="AS966" s="58">
        <f t="shared" si="244"/>
        <v>105477.96520804681</v>
      </c>
      <c r="AT966" s="58">
        <f t="shared" si="245"/>
        <v>-329040.34842714289</v>
      </c>
      <c r="AU966" s="58">
        <f t="shared" si="246"/>
        <v>608.83495994027237</v>
      </c>
      <c r="AV966" s="58">
        <f t="shared" si="247"/>
        <v>-578.03304946685751</v>
      </c>
      <c r="AW966" s="58">
        <f t="shared" si="233"/>
        <v>-3.1101984081181304</v>
      </c>
      <c r="AX966" s="58">
        <f t="shared" si="248"/>
        <v>9.9426946394135012</v>
      </c>
      <c r="AY966" s="33">
        <f t="shared" si="234"/>
        <v>-1.0677658433273121</v>
      </c>
      <c r="AZ966" s="33">
        <f t="shared" si="235"/>
        <v>4.2039640049614473</v>
      </c>
      <c r="BA966" s="39">
        <f t="shared" si="236"/>
        <v>-0.47669120225767458</v>
      </c>
      <c r="BB966" s="39">
        <f t="shared" si="237"/>
        <v>1.2880153980631432</v>
      </c>
      <c r="BC966" s="45">
        <f t="shared" si="238"/>
        <v>-1.5657413625331438</v>
      </c>
      <c r="BD966" s="45">
        <f t="shared" si="239"/>
        <v>4.4507152363889109</v>
      </c>
      <c r="BE966" s="64">
        <f t="shared" si="240"/>
        <v>120565888655.5708</v>
      </c>
      <c r="BF966" s="65">
        <f t="shared" si="241"/>
        <v>130693077614.35025</v>
      </c>
      <c r="BG966" s="66">
        <f t="shared" si="242"/>
        <v>110826721236.75171</v>
      </c>
    </row>
    <row r="967" spans="43:59" x14ac:dyDescent="0.25">
      <c r="AQ967" s="7">
        <v>952</v>
      </c>
      <c r="AR967" s="58">
        <f t="shared" si="243"/>
        <v>476</v>
      </c>
      <c r="AS967" s="58">
        <f t="shared" si="244"/>
        <v>105781.99391321593</v>
      </c>
      <c r="AT967" s="58">
        <f t="shared" si="245"/>
        <v>-329328.12211504643</v>
      </c>
      <c r="AU967" s="58">
        <f t="shared" si="246"/>
        <v>607.27986073621332</v>
      </c>
      <c r="AV967" s="58">
        <f t="shared" si="247"/>
        <v>-573.06170214715075</v>
      </c>
      <c r="AW967" s="58">
        <f t="shared" si="233"/>
        <v>-3.1094557589054386</v>
      </c>
      <c r="AX967" s="58">
        <f t="shared" si="248"/>
        <v>9.9197247676669846</v>
      </c>
      <c r="AY967" s="33">
        <f t="shared" si="234"/>
        <v>-1.0682971827982823</v>
      </c>
      <c r="AZ967" s="33">
        <f t="shared" si="235"/>
        <v>4.1947326883865141</v>
      </c>
      <c r="BA967" s="39">
        <f t="shared" si="236"/>
        <v>-0.47636103129716534</v>
      </c>
      <c r="BB967" s="39">
        <f t="shared" si="237"/>
        <v>1.2851020179436841</v>
      </c>
      <c r="BC967" s="45">
        <f t="shared" si="238"/>
        <v>-1.5647975448099909</v>
      </c>
      <c r="BD967" s="45">
        <f t="shared" si="239"/>
        <v>4.4398900613367855</v>
      </c>
      <c r="BE967" s="64">
        <f t="shared" si="240"/>
        <v>120811734327.27565</v>
      </c>
      <c r="BF967" s="65">
        <f t="shared" si="241"/>
        <v>130964684450.90814</v>
      </c>
      <c r="BG967" s="66">
        <f t="shared" si="242"/>
        <v>111074818527.75935</v>
      </c>
    </row>
    <row r="968" spans="43:59" x14ac:dyDescent="0.25">
      <c r="AQ968" s="7">
        <v>953</v>
      </c>
      <c r="AR968" s="58">
        <f t="shared" si="243"/>
        <v>476.5</v>
      </c>
      <c r="AS968" s="58">
        <f t="shared" si="244"/>
        <v>106085.24516161418</v>
      </c>
      <c r="AT968" s="58">
        <f t="shared" si="245"/>
        <v>-329613.41300052404</v>
      </c>
      <c r="AU968" s="58">
        <f t="shared" si="246"/>
        <v>605.72513285676064</v>
      </c>
      <c r="AV968" s="58">
        <f t="shared" si="247"/>
        <v>-568.10183976331723</v>
      </c>
      <c r="AW968" s="58">
        <f t="shared" si="233"/>
        <v>-3.1087407966850065</v>
      </c>
      <c r="AX968" s="58">
        <f t="shared" si="248"/>
        <v>9.8969730649418342</v>
      </c>
      <c r="AY968" s="33">
        <f t="shared" si="234"/>
        <v>-1.068831620593913</v>
      </c>
      <c r="AZ968" s="33">
        <f t="shared" si="235"/>
        <v>4.1855892361675302</v>
      </c>
      <c r="BA968" s="39">
        <f t="shared" si="236"/>
        <v>-0.47603677363383162</v>
      </c>
      <c r="BB968" s="39">
        <f t="shared" si="237"/>
        <v>1.2822156406986338</v>
      </c>
      <c r="BC968" s="45">
        <f t="shared" si="238"/>
        <v>-1.5638724024572619</v>
      </c>
      <c r="BD968" s="45">
        <f t="shared" si="239"/>
        <v>4.4291681880756704</v>
      </c>
      <c r="BE968" s="64">
        <f t="shared" si="240"/>
        <v>121056122659.39711</v>
      </c>
      <c r="BF968" s="65">
        <f t="shared" si="241"/>
        <v>131234759337.32887</v>
      </c>
      <c r="BG968" s="66">
        <f t="shared" si="242"/>
        <v>111321531332.45424</v>
      </c>
    </row>
    <row r="969" spans="43:59" x14ac:dyDescent="0.25">
      <c r="AQ969" s="7">
        <v>954</v>
      </c>
      <c r="AR969" s="58">
        <f t="shared" si="243"/>
        <v>477</v>
      </c>
      <c r="AS969" s="58">
        <f t="shared" si="244"/>
        <v>106387.71913544297</v>
      </c>
      <c r="AT969" s="58">
        <f t="shared" si="245"/>
        <v>-329896.22679877258</v>
      </c>
      <c r="AU969" s="58">
        <f t="shared" si="246"/>
        <v>604.17076245841815</v>
      </c>
      <c r="AV969" s="58">
        <f t="shared" si="247"/>
        <v>-563.15335323084628</v>
      </c>
      <c r="AW969" s="58">
        <f t="shared" si="233"/>
        <v>-3.1080534947200409</v>
      </c>
      <c r="AX969" s="58">
        <f t="shared" si="248"/>
        <v>9.8744374652747631</v>
      </c>
      <c r="AY969" s="33">
        <f t="shared" si="234"/>
        <v>-1.06936923983759</v>
      </c>
      <c r="AZ969" s="33">
        <f t="shared" si="235"/>
        <v>4.176532847339014</v>
      </c>
      <c r="BA969" s="39">
        <f t="shared" si="236"/>
        <v>-0.47571839813105865</v>
      </c>
      <c r="BB969" s="39">
        <f t="shared" si="237"/>
        <v>1.2793560137771245</v>
      </c>
      <c r="BC969" s="45">
        <f t="shared" si="238"/>
        <v>-1.5629658567513924</v>
      </c>
      <c r="BD969" s="45">
        <f t="shared" si="239"/>
        <v>4.4185486041586239</v>
      </c>
      <c r="BE969" s="64">
        <f t="shared" si="240"/>
        <v>121299051875.47296</v>
      </c>
      <c r="BF969" s="65">
        <f t="shared" si="241"/>
        <v>131503300540.30226</v>
      </c>
      <c r="BG969" s="66">
        <f t="shared" si="242"/>
        <v>111566857626.30035</v>
      </c>
    </row>
    <row r="970" spans="43:59" x14ac:dyDescent="0.25">
      <c r="AQ970" s="7">
        <v>955</v>
      </c>
      <c r="AR970" s="58">
        <f t="shared" si="243"/>
        <v>477.5</v>
      </c>
      <c r="AS970" s="58">
        <f t="shared" si="244"/>
        <v>106689.41600998533</v>
      </c>
      <c r="AT970" s="58">
        <f t="shared" si="245"/>
        <v>-330176.56917070481</v>
      </c>
      <c r="AU970" s="58">
        <f t="shared" si="246"/>
        <v>602.61673571105814</v>
      </c>
      <c r="AV970" s="58">
        <f t="shared" si="247"/>
        <v>-558.21613449820893</v>
      </c>
      <c r="AW970" s="58">
        <f t="shared" si="233"/>
        <v>-3.1073938268683854</v>
      </c>
      <c r="AX970" s="58">
        <f t="shared" si="248"/>
        <v>9.8521159329325929</v>
      </c>
      <c r="AY970" s="33">
        <f t="shared" si="234"/>
        <v>-1.0699101224348442</v>
      </c>
      <c r="AZ970" s="33">
        <f t="shared" si="235"/>
        <v>4.1675627324931162</v>
      </c>
      <c r="BA970" s="39">
        <f t="shared" si="236"/>
        <v>-0.47540587416679464</v>
      </c>
      <c r="BB970" s="39">
        <f t="shared" si="237"/>
        <v>1.2765228882649005</v>
      </c>
      <c r="BC970" s="45">
        <f t="shared" si="238"/>
        <v>-1.5620778302667464</v>
      </c>
      <c r="BD970" s="45">
        <f t="shared" si="239"/>
        <v>4.4080303121745761</v>
      </c>
      <c r="BE970" s="64">
        <f t="shared" si="240"/>
        <v>121540520215.05009</v>
      </c>
      <c r="BF970" s="65">
        <f t="shared" si="241"/>
        <v>131770306341.70244</v>
      </c>
      <c r="BG970" s="66">
        <f t="shared" si="242"/>
        <v>111810795402.86765</v>
      </c>
    </row>
    <row r="971" spans="43:59" x14ac:dyDescent="0.25">
      <c r="AQ971" s="7">
        <v>956</v>
      </c>
      <c r="AR971" s="58">
        <f t="shared" si="243"/>
        <v>478</v>
      </c>
      <c r="AS971" s="58">
        <f t="shared" si="244"/>
        <v>106990.33595361251</v>
      </c>
      <c r="AT971" s="58">
        <f t="shared" si="245"/>
        <v>-330454.44572346233</v>
      </c>
      <c r="AU971" s="58">
        <f t="shared" si="246"/>
        <v>601.0630387976239</v>
      </c>
      <c r="AV971" s="58">
        <f t="shared" si="247"/>
        <v>-553.29007653174267</v>
      </c>
      <c r="AW971" s="58">
        <f t="shared" si="233"/>
        <v>-3.106761767597825</v>
      </c>
      <c r="AX971" s="58">
        <f t="shared" si="248"/>
        <v>9.8300064619096297</v>
      </c>
      <c r="AY971" s="33">
        <f t="shared" si="234"/>
        <v>-1.0704543491060219</v>
      </c>
      <c r="AZ971" s="33">
        <f t="shared" si="235"/>
        <v>4.1586781135930542</v>
      </c>
      <c r="BA971" s="39">
        <f t="shared" si="236"/>
        <v>-0.47509917162719018</v>
      </c>
      <c r="BB971" s="39">
        <f t="shared" si="237"/>
        <v>1.2737160188244216</v>
      </c>
      <c r="BC971" s="45">
        <f t="shared" si="238"/>
        <v>-1.5612082468646129</v>
      </c>
      <c r="BD971" s="45">
        <f t="shared" si="239"/>
        <v>4.3976123294921541</v>
      </c>
      <c r="BE971" s="64">
        <f t="shared" si="240"/>
        <v>121780525933.57501</v>
      </c>
      <c r="BF971" s="65">
        <f t="shared" si="241"/>
        <v>132035775038.48132</v>
      </c>
      <c r="BG971" s="66">
        <f t="shared" si="242"/>
        <v>112053342673.69983</v>
      </c>
    </row>
    <row r="972" spans="43:59" x14ac:dyDescent="0.25">
      <c r="AQ972" s="7">
        <v>957</v>
      </c>
      <c r="AR972" s="58">
        <f t="shared" si="243"/>
        <v>478.5</v>
      </c>
      <c r="AS972" s="58">
        <f t="shared" si="244"/>
        <v>107290.47912779036</v>
      </c>
      <c r="AT972" s="58">
        <f t="shared" si="245"/>
        <v>-330729.86201092042</v>
      </c>
      <c r="AU972" s="58">
        <f t="shared" si="246"/>
        <v>599.50965791382498</v>
      </c>
      <c r="AV972" s="58">
        <f t="shared" si="247"/>
        <v>-548.3750733007879</v>
      </c>
      <c r="AW972" s="58">
        <f t="shared" si="233"/>
        <v>-3.1061572920008151</v>
      </c>
      <c r="AX972" s="58">
        <f t="shared" si="248"/>
        <v>9.8081070754349611</v>
      </c>
      <c r="AY972" s="33">
        <f t="shared" si="234"/>
        <v>-1.0710019994181821</v>
      </c>
      <c r="AZ972" s="33">
        <f t="shared" si="235"/>
        <v>4.1498782237902168</v>
      </c>
      <c r="BA972" s="39">
        <f t="shared" si="236"/>
        <v>-0.47479826090037486</v>
      </c>
      <c r="BB972" s="39">
        <f t="shared" si="237"/>
        <v>1.2709351636362092</v>
      </c>
      <c r="BC972" s="45">
        <f t="shared" si="238"/>
        <v>-1.5603570316822584</v>
      </c>
      <c r="BD972" s="45">
        <f t="shared" si="239"/>
        <v>4.3872936880085351</v>
      </c>
      <c r="BE972" s="64">
        <f t="shared" si="240"/>
        <v>122019067302.28548</v>
      </c>
      <c r="BF972" s="65">
        <f t="shared" si="241"/>
        <v>132299704942.56329</v>
      </c>
      <c r="BG972" s="66">
        <f t="shared" si="242"/>
        <v>112294497468.18356</v>
      </c>
    </row>
    <row r="973" spans="43:59" x14ac:dyDescent="0.25">
      <c r="AQ973" s="7">
        <v>958</v>
      </c>
      <c r="AR973" s="58">
        <f t="shared" si="243"/>
        <v>479</v>
      </c>
      <c r="AS973" s="58">
        <f t="shared" si="244"/>
        <v>107589.84568708576</v>
      </c>
      <c r="AT973" s="58">
        <f t="shared" si="245"/>
        <v>-331002.82353418641</v>
      </c>
      <c r="AU973" s="58">
        <f t="shared" si="246"/>
        <v>597.95657926782462</v>
      </c>
      <c r="AV973" s="58">
        <f t="shared" si="247"/>
        <v>-543.47101976307044</v>
      </c>
      <c r="AW973" s="58">
        <f t="shared" si="233"/>
        <v>-3.1055803758089193</v>
      </c>
      <c r="AX973" s="58">
        <f t="shared" si="248"/>
        <v>9.7864158254902804</v>
      </c>
      <c r="AY973" s="33">
        <f t="shared" si="234"/>
        <v>-1.0715531518162515</v>
      </c>
      <c r="AZ973" s="33">
        <f t="shared" si="235"/>
        <v>4.1411623072449117</v>
      </c>
      <c r="BA973" s="39">
        <f t="shared" si="236"/>
        <v>-0.47450311287036723</v>
      </c>
      <c r="BB973" s="39">
        <f t="shared" si="237"/>
        <v>1.2681800843414104</v>
      </c>
      <c r="BC973" s="45">
        <f t="shared" si="238"/>
        <v>-1.5595241111223006</v>
      </c>
      <c r="BD973" s="45">
        <f t="shared" si="239"/>
        <v>4.3770734339039583</v>
      </c>
      <c r="BE973" s="64">
        <f t="shared" si="240"/>
        <v>122256142608.10405</v>
      </c>
      <c r="BF973" s="65">
        <f t="shared" si="241"/>
        <v>132562094380.74184</v>
      </c>
      <c r="BG973" s="66">
        <f t="shared" si="242"/>
        <v>112534257833.41994</v>
      </c>
    </row>
    <row r="974" spans="43:59" x14ac:dyDescent="0.25">
      <c r="AQ974" s="7">
        <v>959</v>
      </c>
      <c r="AR974" s="58">
        <f t="shared" si="243"/>
        <v>479.5</v>
      </c>
      <c r="AS974" s="58">
        <f t="shared" si="244"/>
        <v>107888.43577917271</v>
      </c>
      <c r="AT974" s="58">
        <f t="shared" si="245"/>
        <v>-331273.33574208972</v>
      </c>
      <c r="AU974" s="58">
        <f t="shared" si="246"/>
        <v>596.40378907992022</v>
      </c>
      <c r="AV974" s="58">
        <f t="shared" si="247"/>
        <v>-538.57781185032536</v>
      </c>
      <c r="AW974" s="58">
        <f t="shared" si="233"/>
        <v>-3.1050309954066484</v>
      </c>
      <c r="AX974" s="58">
        <f t="shared" si="248"/>
        <v>9.7649307923370543</v>
      </c>
      <c r="AY974" s="33">
        <f t="shared" si="234"/>
        <v>-1.0721078836534661</v>
      </c>
      <c r="AZ974" s="33">
        <f t="shared" si="235"/>
        <v>4.1325296189506924</v>
      </c>
      <c r="BA974" s="39">
        <f t="shared" si="236"/>
        <v>-0.47421369891107751</v>
      </c>
      <c r="BB974" s="39">
        <f t="shared" si="237"/>
        <v>1.2654505459854433</v>
      </c>
      <c r="BC974" s="45">
        <f t="shared" si="238"/>
        <v>-1.5587094128421048</v>
      </c>
      <c r="BD974" s="45">
        <f t="shared" si="239"/>
        <v>4.366950627400918</v>
      </c>
      <c r="BE974" s="64">
        <f t="shared" si="240"/>
        <v>122491750153.53241</v>
      </c>
      <c r="BF974" s="65">
        <f t="shared" si="241"/>
        <v>132822941694.57668</v>
      </c>
      <c r="BG974" s="66">
        <f t="shared" si="242"/>
        <v>112772621834.097</v>
      </c>
    </row>
    <row r="975" spans="43:59" x14ac:dyDescent="0.25">
      <c r="AQ975" s="7">
        <v>960</v>
      </c>
      <c r="AR975" s="58">
        <f t="shared" si="243"/>
        <v>480</v>
      </c>
      <c r="AS975" s="58">
        <f t="shared" si="244"/>
        <v>108186.24954483824</v>
      </c>
      <c r="AT975" s="58">
        <f t="shared" si="245"/>
        <v>-331541.40403166588</v>
      </c>
      <c r="AU975" s="58">
        <f t="shared" si="246"/>
        <v>594.85127358221689</v>
      </c>
      <c r="AV975" s="58">
        <f t="shared" si="247"/>
        <v>-533.69534645415683</v>
      </c>
      <c r="AW975" s="58">
        <f t="shared" si="233"/>
        <v>-3.1045091278449739</v>
      </c>
      <c r="AX975" s="58">
        <f t="shared" si="248"/>
        <v>9.7436500840535558</v>
      </c>
      <c r="AY975" s="33">
        <f t="shared" si="234"/>
        <v>-1.0726662712211239</v>
      </c>
      <c r="AZ975" s="33">
        <f t="shared" si="235"/>
        <v>4.1239794245622106</v>
      </c>
      <c r="BA975" s="39">
        <f t="shared" si="236"/>
        <v>-0.47392999088044707</v>
      </c>
      <c r="BB975" s="39">
        <f t="shared" si="237"/>
        <v>1.2627463169628284</v>
      </c>
      <c r="BC975" s="45">
        <f t="shared" si="238"/>
        <v>-1.5579128657434029</v>
      </c>
      <c r="BD975" s="45">
        <f t="shared" si="239"/>
        <v>4.356924342528516</v>
      </c>
      <c r="BE975" s="64">
        <f t="shared" si="240"/>
        <v>122725888256.54779</v>
      </c>
      <c r="BF975" s="65">
        <f t="shared" si="241"/>
        <v>133082245240.29317</v>
      </c>
      <c r="BG975" s="66">
        <f t="shared" si="242"/>
        <v>113009587552.36473</v>
      </c>
    </row>
    <row r="976" spans="43:59" x14ac:dyDescent="0.25">
      <c r="AQ976" s="7">
        <v>961</v>
      </c>
      <c r="AR976" s="58">
        <f t="shared" si="243"/>
        <v>480.5</v>
      </c>
      <c r="AS976" s="58">
        <f t="shared" si="244"/>
        <v>108483.28711798838</v>
      </c>
      <c r="AT976" s="58">
        <f t="shared" si="245"/>
        <v>-331807.03374863247</v>
      </c>
      <c r="AU976" s="58">
        <f t="shared" si="246"/>
        <v>593.29901901829442</v>
      </c>
      <c r="AV976" s="58">
        <f t="shared" si="247"/>
        <v>-528.82352141213005</v>
      </c>
      <c r="AW976" s="58">
        <f t="shared" ref="AW976:AW1015" si="249">(AY976+BA976+BC976)</f>
        <v>-3.1040147508544971</v>
      </c>
      <c r="AX976" s="58">
        <f t="shared" si="248"/>
        <v>9.7225718360814195</v>
      </c>
      <c r="AY976" s="33">
        <f t="shared" ref="AY976:AY1015" si="250">$H$27*(($H$23-AS976)/(BE976+$H$28^2)^(3/2))</f>
        <v>-1.0732283897776738</v>
      </c>
      <c r="AZ976" s="33">
        <f t="shared" ref="AZ976:AZ1015" si="251">$H$27*(($I$23-AT976)/(BE976+$H$28^2)^(3/2))</f>
        <v>4.1155110002265305</v>
      </c>
      <c r="BA976" s="39">
        <f t="shared" ref="BA976:BA1015" si="252">$H$35*(($H$31-AS976)/(BF976+$H$36^2)^(3/2))</f>
        <v>-0.47365196111470542</v>
      </c>
      <c r="BB976" s="39">
        <f t="shared" ref="BB976:BB1015" si="253">$H$35*(($I$31-AT976)/(BF976+$H$36^2)^(3/2))</f>
        <v>1.2600671689631258</v>
      </c>
      <c r="BC976" s="45">
        <f t="shared" ref="BC976:BC1015" si="254">$H$43*(($H$39-AS976)/(BG976+$H$44^2)^(3/2))</f>
        <v>-1.5571343999621177</v>
      </c>
      <c r="BD976" s="45">
        <f t="shared" ref="BD976:BD1015" si="255">$H$43*(($I$39-AT976)/(BG976+$H$44^2)^(3/2))</f>
        <v>4.3469936668917635</v>
      </c>
      <c r="BE976" s="64">
        <f t="shared" ref="BE976:BE1015" si="256">($H$23-AS976)^2+($I$23-AT976)^2</f>
        <v>122958555250.49997</v>
      </c>
      <c r="BF976" s="65">
        <f t="shared" ref="BF976:BF1015" si="257">($H$31-AS976)^2+($I$31-AT976)^2</f>
        <v>133340003388.68221</v>
      </c>
      <c r="BG976" s="66">
        <f t="shared" ref="BG976:BG1015" si="258">($H$39-AS976)^2+($I$39-AT976)^2</f>
        <v>113245153087.71094</v>
      </c>
    </row>
    <row r="977" spans="43:59" x14ac:dyDescent="0.25">
      <c r="AQ977" s="7">
        <v>962</v>
      </c>
      <c r="AR977" s="58">
        <f t="shared" ref="AR977:AR1015" si="259">AR976+$H$9</f>
        <v>481</v>
      </c>
      <c r="AS977" s="58">
        <f t="shared" ref="AS977:AS1015" si="260">AS976+(AU976*$H$9)+(AW976*$H$9^2)*(1/2)</f>
        <v>108779.54862565368</v>
      </c>
      <c r="AT977" s="58">
        <f t="shared" ref="AT977:AT1015" si="261">AT976+(AV976*$H$9)+(AX976*$H$9^2)*(1/2)</f>
        <v>-332070.23018785904</v>
      </c>
      <c r="AU977" s="58">
        <f t="shared" ref="AU977:AU1015" si="262">AU976+AW976*$H$9</f>
        <v>591.74701164286716</v>
      </c>
      <c r="AV977" s="58">
        <f t="shared" ref="AV977:AV1015" si="263">AV976+AX976*$H$9</f>
        <v>-523.96223549408933</v>
      </c>
      <c r="AW977" s="58">
        <f t="shared" si="249"/>
        <v>-3.1035478428581271</v>
      </c>
      <c r="AX977" s="58">
        <f t="shared" ref="AX977:AX1015" si="264">(AZ977+BB977+BD977)</f>
        <v>9.7016942107810529</v>
      </c>
      <c r="AY977" s="33">
        <f t="shared" si="250"/>
        <v>-1.0737943135771153</v>
      </c>
      <c r="AZ977" s="33">
        <f t="shared" si="251"/>
        <v>4.107123632417661</v>
      </c>
      <c r="BA977" s="39">
        <f t="shared" si="252"/>
        <v>-0.47337958242272848</v>
      </c>
      <c r="BB977" s="39">
        <f t="shared" si="253"/>
        <v>1.2574128769179274</v>
      </c>
      <c r="BC977" s="45">
        <f t="shared" si="254"/>
        <v>-1.5563739468582833</v>
      </c>
      <c r="BD977" s="45">
        <f t="shared" si="255"/>
        <v>4.3371577014454648</v>
      </c>
      <c r="BE977" s="64">
        <f t="shared" si="256"/>
        <v>123189749484.01038</v>
      </c>
      <c r="BF977" s="65">
        <f t="shared" si="257"/>
        <v>133596214525.00197</v>
      </c>
      <c r="BG977" s="66">
        <f t="shared" si="258"/>
        <v>113479316556.8394</v>
      </c>
    </row>
    <row r="978" spans="43:59" x14ac:dyDescent="0.25">
      <c r="AQ978" s="7">
        <v>963</v>
      </c>
      <c r="AR978" s="58">
        <f t="shared" si="259"/>
        <v>481.5</v>
      </c>
      <c r="AS978" s="58">
        <f t="shared" si="260"/>
        <v>109075.03418799477</v>
      </c>
      <c r="AT978" s="58">
        <f t="shared" si="261"/>
        <v>-332330.99859382969</v>
      </c>
      <c r="AU978" s="58">
        <f t="shared" si="262"/>
        <v>590.19523772143805</v>
      </c>
      <c r="AV978" s="58">
        <f t="shared" si="263"/>
        <v>-519.11138838869886</v>
      </c>
      <c r="AW978" s="58">
        <f t="shared" si="249"/>
        <v>-3.1031083829834407</v>
      </c>
      <c r="AX978" s="58">
        <f t="shared" si="264"/>
        <v>9.6810153969961217</v>
      </c>
      <c r="AY978" s="33">
        <f t="shared" si="250"/>
        <v>-1.0743641158967725</v>
      </c>
      <c r="AZ978" s="33">
        <f t="shared" si="251"/>
        <v>4.0988166177744159</v>
      </c>
      <c r="BA978" s="39">
        <f t="shared" si="252"/>
        <v>-0.47311282808051153</v>
      </c>
      <c r="BB978" s="39">
        <f t="shared" si="253"/>
        <v>1.2547832189489079</v>
      </c>
      <c r="BC978" s="45">
        <f t="shared" si="254"/>
        <v>-1.5556314390061567</v>
      </c>
      <c r="BD978" s="45">
        <f t="shared" si="255"/>
        <v>4.3274155602727982</v>
      </c>
      <c r="BE978" s="64">
        <f t="shared" si="256"/>
        <v>123419469320.87192</v>
      </c>
      <c r="BF978" s="65">
        <f t="shared" si="257"/>
        <v>133850877048.88065</v>
      </c>
      <c r="BG978" s="66">
        <f t="shared" si="258"/>
        <v>113712076093.54932</v>
      </c>
    </row>
    <row r="979" spans="43:59" x14ac:dyDescent="0.25">
      <c r="AQ979" s="7">
        <v>964</v>
      </c>
      <c r="AR979" s="58">
        <f t="shared" si="259"/>
        <v>482</v>
      </c>
      <c r="AS979" s="58">
        <f t="shared" si="260"/>
        <v>109369.74391830761</v>
      </c>
      <c r="AT979" s="58">
        <f t="shared" si="261"/>
        <v>-332589.34416109941</v>
      </c>
      <c r="AU979" s="58">
        <f t="shared" si="262"/>
        <v>588.64368352994632</v>
      </c>
      <c r="AV979" s="58">
        <f t="shared" si="263"/>
        <v>-514.27088069020078</v>
      </c>
      <c r="AW979" s="58">
        <f t="shared" si="249"/>
        <v>-3.1026963510747239</v>
      </c>
      <c r="AX979" s="58">
        <f t="shared" si="264"/>
        <v>9.6605336096269561</v>
      </c>
      <c r="AY979" s="33">
        <f t="shared" si="250"/>
        <v>-1.0749378690644849</v>
      </c>
      <c r="AZ979" s="33">
        <f t="shared" si="251"/>
        <v>4.0905892629416103</v>
      </c>
      <c r="BA979" s="39">
        <f t="shared" si="252"/>
        <v>-0.47285167182576793</v>
      </c>
      <c r="BB979" s="39">
        <f t="shared" si="253"/>
        <v>1.252177976316956</v>
      </c>
      <c r="BC979" s="45">
        <f t="shared" si="254"/>
        <v>-1.5549068101844707</v>
      </c>
      <c r="BD979" s="45">
        <f t="shared" si="255"/>
        <v>4.3177663703683891</v>
      </c>
      <c r="BE979" s="64">
        <f t="shared" si="256"/>
        <v>123647713139.95059</v>
      </c>
      <c r="BF979" s="65">
        <f t="shared" si="257"/>
        <v>134103989374.2207</v>
      </c>
      <c r="BG979" s="66">
        <f t="shared" si="258"/>
        <v>113943429848.6165</v>
      </c>
    </row>
    <row r="980" spans="43:59" x14ac:dyDescent="0.25">
      <c r="AQ980" s="7">
        <v>965</v>
      </c>
      <c r="AR980" s="58">
        <f t="shared" si="259"/>
        <v>482.5</v>
      </c>
      <c r="AS980" s="58">
        <f t="shared" si="260"/>
        <v>109663.67792302869</v>
      </c>
      <c r="AT980" s="58">
        <f t="shared" si="261"/>
        <v>-332845.27203474328</v>
      </c>
      <c r="AU980" s="58">
        <f t="shared" si="262"/>
        <v>587.09233535440899</v>
      </c>
      <c r="AV980" s="58">
        <f t="shared" si="263"/>
        <v>-509.44061388538728</v>
      </c>
      <c r="AW980" s="58">
        <f t="shared" si="249"/>
        <v>-3.1023117277046772</v>
      </c>
      <c r="AX980" s="58">
        <f t="shared" si="264"/>
        <v>9.6402470892124281</v>
      </c>
      <c r="AY980" s="33">
        <f t="shared" si="250"/>
        <v>-1.0755156444851339</v>
      </c>
      <c r="AZ980" s="33">
        <f t="shared" si="251"/>
        <v>4.0824408844141544</v>
      </c>
      <c r="BA980" s="39">
        <f t="shared" si="252"/>
        <v>-0.47259608785260432</v>
      </c>
      <c r="BB980" s="39">
        <f t="shared" si="253"/>
        <v>1.249596933372233</v>
      </c>
      <c r="BC980" s="45">
        <f t="shared" si="254"/>
        <v>-1.5541999953669392</v>
      </c>
      <c r="BD980" s="45">
        <f t="shared" si="255"/>
        <v>4.3082092714260405</v>
      </c>
      <c r="BE980" s="64">
        <f t="shared" si="256"/>
        <v>123874479335.08801</v>
      </c>
      <c r="BF980" s="65">
        <f t="shared" si="257"/>
        <v>134355549929.10403</v>
      </c>
      <c r="BG980" s="66">
        <f t="shared" si="258"/>
        <v>114173375989.67601</v>
      </c>
    </row>
    <row r="981" spans="43:59" x14ac:dyDescent="0.25">
      <c r="AQ981" s="7">
        <v>966</v>
      </c>
      <c r="AR981" s="58">
        <f t="shared" si="259"/>
        <v>483</v>
      </c>
      <c r="AS981" s="58">
        <f t="shared" si="260"/>
        <v>109956.83630173994</v>
      </c>
      <c r="AT981" s="58">
        <f t="shared" si="261"/>
        <v>-333098.78731079982</v>
      </c>
      <c r="AU981" s="58">
        <f t="shared" si="262"/>
        <v>585.5411794905566</v>
      </c>
      <c r="AV981" s="58">
        <f t="shared" si="263"/>
        <v>-504.62049034078109</v>
      </c>
      <c r="AW981" s="58">
        <f t="shared" si="249"/>
        <v>-3.1019544941856796</v>
      </c>
      <c r="AX981" s="58">
        <f t="shared" si="264"/>
        <v>9.6201541015199012</v>
      </c>
      <c r="AY981" s="33">
        <f t="shared" si="250"/>
        <v>-1.076097512666609</v>
      </c>
      <c r="AZ981" s="33">
        <f t="shared" si="251"/>
        <v>4.0743708083843089</v>
      </c>
      <c r="BA981" s="39">
        <f t="shared" si="252"/>
        <v>-0.47234605080632869</v>
      </c>
      <c r="BB981" s="39">
        <f t="shared" si="253"/>
        <v>1.24703987750529</v>
      </c>
      <c r="BC981" s="45">
        <f t="shared" si="254"/>
        <v>-1.5535109307127419</v>
      </c>
      <c r="BD981" s="45">
        <f t="shared" si="255"/>
        <v>4.2987434156303035</v>
      </c>
      <c r="BE981" s="64">
        <f t="shared" si="256"/>
        <v>124099766315.00548</v>
      </c>
      <c r="BF981" s="65">
        <f t="shared" si="257"/>
        <v>134605557155.69868</v>
      </c>
      <c r="BG981" s="66">
        <f t="shared" si="258"/>
        <v>114401912701.10649</v>
      </c>
    </row>
    <row r="982" spans="43:59" x14ac:dyDescent="0.25">
      <c r="AQ982" s="7">
        <v>967</v>
      </c>
      <c r="AR982" s="58">
        <f t="shared" si="259"/>
        <v>483.5</v>
      </c>
      <c r="AS982" s="58">
        <f t="shared" si="260"/>
        <v>110249.21914717345</v>
      </c>
      <c r="AT982" s="58">
        <f t="shared" si="261"/>
        <v>-333349.89503670752</v>
      </c>
      <c r="AU982" s="58">
        <f t="shared" si="262"/>
        <v>583.99020224346373</v>
      </c>
      <c r="AV982" s="58">
        <f t="shared" si="263"/>
        <v>-499.81041329002113</v>
      </c>
      <c r="AW982" s="58">
        <f t="shared" si="249"/>
        <v>-3.101624632580875</v>
      </c>
      <c r="AX982" s="58">
        <f t="shared" si="264"/>
        <v>9.6002529371437362</v>
      </c>
      <c r="AY982" s="33">
        <f t="shared" si="250"/>
        <v>-1.0766835432451916</v>
      </c>
      <c r="AZ982" s="33">
        <f t="shared" si="251"/>
        <v>4.0663783705918926</v>
      </c>
      <c r="BA982" s="39">
        <f t="shared" si="252"/>
        <v>-0.47210153577834818</v>
      </c>
      <c r="BB982" s="39">
        <f t="shared" si="253"/>
        <v>1.244506599099116</v>
      </c>
      <c r="BC982" s="45">
        <f t="shared" si="254"/>
        <v>-1.5528395535573352</v>
      </c>
      <c r="BD982" s="45">
        <f t="shared" si="255"/>
        <v>4.2893679674527272</v>
      </c>
      <c r="BE982" s="64">
        <f t="shared" si="256"/>
        <v>124323572503.20908</v>
      </c>
      <c r="BF982" s="65">
        <f t="shared" si="257"/>
        <v>134854009510.16647</v>
      </c>
      <c r="BG982" s="66">
        <f t="shared" si="258"/>
        <v>114629038183.91591</v>
      </c>
    </row>
    <row r="983" spans="43:59" x14ac:dyDescent="0.25">
      <c r="AQ983" s="7">
        <v>968</v>
      </c>
      <c r="AR983" s="58">
        <f t="shared" si="259"/>
        <v>484</v>
      </c>
      <c r="AS983" s="58">
        <f t="shared" si="260"/>
        <v>110540.82654521611</v>
      </c>
      <c r="AT983" s="58">
        <f t="shared" si="261"/>
        <v>-333598.60021173541</v>
      </c>
      <c r="AU983" s="58">
        <f t="shared" si="262"/>
        <v>582.43938992717324</v>
      </c>
      <c r="AV983" s="58">
        <f t="shared" si="263"/>
        <v>-495.01028682144926</v>
      </c>
      <c r="AW983" s="58">
        <f t="shared" si="249"/>
        <v>-3.1013221257149763</v>
      </c>
      <c r="AX983" s="58">
        <f t="shared" si="264"/>
        <v>9.5805419111118653</v>
      </c>
      <c r="AY983" s="33">
        <f t="shared" si="250"/>
        <v>-1.0772738050104491</v>
      </c>
      <c r="AZ983" s="33">
        <f t="shared" si="251"/>
        <v>4.0584629161776684</v>
      </c>
      <c r="BA983" s="39">
        <f t="shared" si="252"/>
        <v>-0.47186251830116671</v>
      </c>
      <c r="BB983" s="39">
        <f t="shared" si="253"/>
        <v>1.241996891482122</v>
      </c>
      <c r="BC983" s="45">
        <f t="shared" si="254"/>
        <v>-1.5521858024033606</v>
      </c>
      <c r="BD983" s="45">
        <f t="shared" si="255"/>
        <v>4.2800821034520755</v>
      </c>
      <c r="BE983" s="64">
        <f t="shared" si="256"/>
        <v>124545896337.89621</v>
      </c>
      <c r="BF983" s="65">
        <f t="shared" si="257"/>
        <v>135100905462.57217</v>
      </c>
      <c r="BG983" s="66">
        <f t="shared" si="258"/>
        <v>114854750655.62894</v>
      </c>
    </row>
    <row r="984" spans="43:59" x14ac:dyDescent="0.25">
      <c r="AQ984" s="7">
        <v>969</v>
      </c>
      <c r="AR984" s="58">
        <f t="shared" si="259"/>
        <v>484.5</v>
      </c>
      <c r="AS984" s="58">
        <f t="shared" si="260"/>
        <v>110831.65857491398</v>
      </c>
      <c r="AT984" s="58">
        <f t="shared" si="261"/>
        <v>-333844.90778740722</v>
      </c>
      <c r="AU984" s="58">
        <f t="shared" si="262"/>
        <v>580.88872886431579</v>
      </c>
      <c r="AV984" s="58">
        <f t="shared" si="263"/>
        <v>-490.22001586589334</v>
      </c>
      <c r="AW984" s="58">
        <f t="shared" si="249"/>
        <v>-3.1010469571846158</v>
      </c>
      <c r="AX984" s="58">
        <f t="shared" si="264"/>
        <v>9.5610193624995823</v>
      </c>
      <c r="AY984" s="33">
        <f t="shared" si="250"/>
        <v>-1.0778683659294472</v>
      </c>
      <c r="AZ984" s="33">
        <f t="shared" si="251"/>
        <v>4.0506237995390357</v>
      </c>
      <c r="BA984" s="39">
        <f t="shared" si="252"/>
        <v>-0.47162897434348527</v>
      </c>
      <c r="BB984" s="39">
        <f t="shared" si="253"/>
        <v>1.2395105508820592</v>
      </c>
      <c r="BC984" s="45">
        <f t="shared" si="254"/>
        <v>-1.5515496169116831</v>
      </c>
      <c r="BD984" s="45">
        <f t="shared" si="255"/>
        <v>4.2708850120784865</v>
      </c>
      <c r="BE984" s="64">
        <f t="shared" si="256"/>
        <v>124766736271.86328</v>
      </c>
      <c r="BF984" s="65">
        <f t="shared" si="257"/>
        <v>135346243496.79344</v>
      </c>
      <c r="BG984" s="66">
        <f t="shared" si="258"/>
        <v>115079048350.17566</v>
      </c>
    </row>
    <row r="985" spans="43:59" x14ac:dyDescent="0.25">
      <c r="AQ985" s="7">
        <v>970</v>
      </c>
      <c r="AR985" s="58">
        <f t="shared" si="259"/>
        <v>485</v>
      </c>
      <c r="AS985" s="58">
        <f t="shared" si="260"/>
        <v>111121.71530847649</v>
      </c>
      <c r="AT985" s="58">
        <f t="shared" si="261"/>
        <v>-334088.82266791986</v>
      </c>
      <c r="AU985" s="58">
        <f t="shared" si="262"/>
        <v>579.33820538572354</v>
      </c>
      <c r="AV985" s="58">
        <f t="shared" si="263"/>
        <v>-485.43950618464356</v>
      </c>
      <c r="AW985" s="58">
        <f t="shared" si="249"/>
        <v>-3.1007991113686115</v>
      </c>
      <c r="AX985" s="58">
        <f t="shared" si="264"/>
        <v>9.5416836540516687</v>
      </c>
      <c r="AY985" s="33">
        <f t="shared" si="250"/>
        <v>-1.0784672931705939</v>
      </c>
      <c r="AZ985" s="33">
        <f t="shared" si="251"/>
        <v>4.0428603841891491</v>
      </c>
      <c r="BA985" s="39">
        <f t="shared" si="252"/>
        <v>-0.47140088030541544</v>
      </c>
      <c r="BB985" s="39">
        <f t="shared" si="253"/>
        <v>1.2370473763808794</v>
      </c>
      <c r="BC985" s="45">
        <f t="shared" si="254"/>
        <v>-1.5509309378926019</v>
      </c>
      <c r="BD985" s="45">
        <f t="shared" si="255"/>
        <v>4.2617758934816408</v>
      </c>
      <c r="BE985" s="64">
        <f t="shared" si="256"/>
        <v>124986090772.41463</v>
      </c>
      <c r="BF985" s="65">
        <f t="shared" si="257"/>
        <v>135590022110.43234</v>
      </c>
      <c r="BG985" s="66">
        <f t="shared" si="258"/>
        <v>115301929517.78206</v>
      </c>
    </row>
    <row r="986" spans="43:59" x14ac:dyDescent="0.25">
      <c r="AQ986" s="7">
        <v>971</v>
      </c>
      <c r="AR986" s="58">
        <f t="shared" si="259"/>
        <v>485.5</v>
      </c>
      <c r="AS986" s="58">
        <f t="shared" si="260"/>
        <v>111410.99681128042</v>
      </c>
      <c r="AT986" s="58">
        <f t="shared" si="261"/>
        <v>-334330.34971055546</v>
      </c>
      <c r="AU986" s="58">
        <f t="shared" si="262"/>
        <v>577.78780583003925</v>
      </c>
      <c r="AV986" s="58">
        <f t="shared" si="263"/>
        <v>-480.66866435761773</v>
      </c>
      <c r="AW986" s="58">
        <f t="shared" si="249"/>
        <v>-3.1005785734378435</v>
      </c>
      <c r="AX986" s="58">
        <f t="shared" si="264"/>
        <v>9.5225331718115189</v>
      </c>
      <c r="AY986" s="33">
        <f t="shared" si="250"/>
        <v>-1.0790706531268623</v>
      </c>
      <c r="AZ986" s="33">
        <f t="shared" si="251"/>
        <v>4.0351720426183384</v>
      </c>
      <c r="BA986" s="39">
        <f t="shared" si="252"/>
        <v>-0.47117821301375601</v>
      </c>
      <c r="BB986" s="39">
        <f t="shared" si="253"/>
        <v>1.2346071698703855</v>
      </c>
      <c r="BC986" s="45">
        <f t="shared" si="254"/>
        <v>-1.5503297072972251</v>
      </c>
      <c r="BD986" s="45">
        <f t="shared" si="255"/>
        <v>4.2527539593227948</v>
      </c>
      <c r="BE986" s="64">
        <f t="shared" si="256"/>
        <v>125203958321.27257</v>
      </c>
      <c r="BF986" s="65">
        <f t="shared" si="257"/>
        <v>135832239814.72777</v>
      </c>
      <c r="BG986" s="66">
        <f t="shared" si="258"/>
        <v>115523392424.86157</v>
      </c>
    </row>
    <row r="987" spans="43:59" x14ac:dyDescent="0.25">
      <c r="AQ987" s="7">
        <v>972</v>
      </c>
      <c r="AR987" s="58">
        <f t="shared" si="259"/>
        <v>486</v>
      </c>
      <c r="AS987" s="58">
        <f t="shared" si="260"/>
        <v>111699.50314187376</v>
      </c>
      <c r="AT987" s="58">
        <f t="shared" si="261"/>
        <v>-334569.49372608779</v>
      </c>
      <c r="AU987" s="58">
        <f t="shared" si="262"/>
        <v>576.23751654332034</v>
      </c>
      <c r="AV987" s="58">
        <f t="shared" si="263"/>
        <v>-475.90739777171194</v>
      </c>
      <c r="AW987" s="58">
        <f t="shared" si="249"/>
        <v>-3.1003853293649462</v>
      </c>
      <c r="AX987" s="58">
        <f t="shared" si="264"/>
        <v>9.5035663247577631</v>
      </c>
      <c r="AY987" s="33">
        <f t="shared" si="250"/>
        <v>-1.0796785114385516</v>
      </c>
      <c r="AZ987" s="33">
        <f t="shared" si="251"/>
        <v>4.0275581561583449</v>
      </c>
      <c r="BA987" s="39">
        <f t="shared" si="252"/>
        <v>-0.47096094971738461</v>
      </c>
      <c r="BB987" s="39">
        <f t="shared" si="253"/>
        <v>1.232189736008809</v>
      </c>
      <c r="BC987" s="45">
        <f t="shared" si="254"/>
        <v>-1.5497458682090097</v>
      </c>
      <c r="BD987" s="45">
        <f t="shared" si="255"/>
        <v>4.2438184325906088</v>
      </c>
      <c r="BE987" s="64">
        <f t="shared" si="256"/>
        <v>125420337414.48854</v>
      </c>
      <c r="BF987" s="65">
        <f t="shared" si="257"/>
        <v>136072895134.46887</v>
      </c>
      <c r="BG987" s="66">
        <f t="shared" si="258"/>
        <v>115743435353.90826</v>
      </c>
    </row>
    <row r="988" spans="43:59" x14ac:dyDescent="0.25">
      <c r="AQ988" s="7">
        <v>973</v>
      </c>
      <c r="AR988" s="58">
        <f t="shared" si="259"/>
        <v>486.5</v>
      </c>
      <c r="AS988" s="58">
        <f t="shared" si="260"/>
        <v>111987.23435197926</v>
      </c>
      <c r="AT988" s="58">
        <f t="shared" si="261"/>
        <v>-334806.25947918306</v>
      </c>
      <c r="AU988" s="58">
        <f t="shared" si="262"/>
        <v>574.68732387863781</v>
      </c>
      <c r="AV988" s="58">
        <f t="shared" si="263"/>
        <v>-471.15561460933304</v>
      </c>
      <c r="AW988" s="58">
        <f t="shared" si="249"/>
        <v>-3.1002193659337358</v>
      </c>
      <c r="AX988" s="58">
        <f t="shared" si="264"/>
        <v>9.4847815444480386</v>
      </c>
      <c r="AY988" s="33">
        <f t="shared" si="250"/>
        <v>-1.0802909330155888</v>
      </c>
      <c r="AZ988" s="33">
        <f t="shared" si="251"/>
        <v>4.0200181148492824</v>
      </c>
      <c r="BA988" s="39">
        <f t="shared" si="252"/>
        <v>-0.4707490680827483</v>
      </c>
      <c r="BB988" s="39">
        <f t="shared" si="253"/>
        <v>1.229794882178237</v>
      </c>
      <c r="BC988" s="45">
        <f t="shared" si="254"/>
        <v>-1.5491793648353986</v>
      </c>
      <c r="BD988" s="45">
        <f t="shared" si="255"/>
        <v>4.234968547420519</v>
      </c>
      <c r="BE988" s="64">
        <f t="shared" si="256"/>
        <v>125635226562.35576</v>
      </c>
      <c r="BF988" s="65">
        <f t="shared" si="257"/>
        <v>136311986607.91003</v>
      </c>
      <c r="BG988" s="66">
        <f t="shared" si="258"/>
        <v>115962056603.39149</v>
      </c>
    </row>
    <row r="989" spans="43:59" x14ac:dyDescent="0.25">
      <c r="AQ989" s="7">
        <v>974</v>
      </c>
      <c r="AR989" s="58">
        <f t="shared" si="259"/>
        <v>487</v>
      </c>
      <c r="AS989" s="58">
        <f t="shared" si="260"/>
        <v>112274.19048649784</v>
      </c>
      <c r="AT989" s="58">
        <f t="shared" si="261"/>
        <v>-335040.65168879466</v>
      </c>
      <c r="AU989" s="58">
        <f t="shared" si="262"/>
        <v>573.13721419567094</v>
      </c>
      <c r="AV989" s="58">
        <f t="shared" si="263"/>
        <v>-466.413223837109</v>
      </c>
      <c r="AW989" s="58">
        <f t="shared" si="249"/>
        <v>-3.1000806707484028</v>
      </c>
      <c r="AX989" s="58">
        <f t="shared" si="264"/>
        <v>9.4661772846696461</v>
      </c>
      <c r="AY989" s="33">
        <f t="shared" si="250"/>
        <v>-1.0809079820593142</v>
      </c>
      <c r="AZ989" s="33">
        <f t="shared" si="251"/>
        <v>4.0125513173089873</v>
      </c>
      <c r="BA989" s="39">
        <f t="shared" si="252"/>
        <v>-0.47054254618942332</v>
      </c>
      <c r="BB989" s="39">
        <f t="shared" si="253"/>
        <v>1.2274224184428197</v>
      </c>
      <c r="BC989" s="45">
        <f t="shared" si="254"/>
        <v>-1.5486301424996654</v>
      </c>
      <c r="BD989" s="45">
        <f t="shared" si="255"/>
        <v>4.2262035489178391</v>
      </c>
      <c r="BE989" s="64">
        <f t="shared" si="256"/>
        <v>125848624289.32263</v>
      </c>
      <c r="BF989" s="65">
        <f t="shared" si="257"/>
        <v>136549512786.68643</v>
      </c>
      <c r="BG989" s="66">
        <f t="shared" si="258"/>
        <v>116179254487.65176</v>
      </c>
    </row>
    <row r="990" spans="43:59" x14ac:dyDescent="0.25">
      <c r="AQ990" s="7">
        <v>975</v>
      </c>
      <c r="AR990" s="58">
        <f t="shared" si="259"/>
        <v>487.5</v>
      </c>
      <c r="AS990" s="58">
        <f t="shared" si="260"/>
        <v>112560.37158351183</v>
      </c>
      <c r="AT990" s="58">
        <f t="shared" si="261"/>
        <v>-335272.67502855265</v>
      </c>
      <c r="AU990" s="58">
        <f t="shared" si="262"/>
        <v>571.58717386029673</v>
      </c>
      <c r="AV990" s="58">
        <f t="shared" si="263"/>
        <v>-461.68013519477415</v>
      </c>
      <c r="AW990" s="58">
        <f t="shared" si="249"/>
        <v>-3.0999692322424979</v>
      </c>
      <c r="AX990" s="58">
        <f t="shared" si="264"/>
        <v>9.4477520210971058</v>
      </c>
      <c r="AY990" s="33">
        <f t="shared" si="250"/>
        <v>-1.0815297220838307</v>
      </c>
      <c r="AZ990" s="33">
        <f t="shared" si="251"/>
        <v>4.0051571706049574</v>
      </c>
      <c r="BA990" s="39">
        <f t="shared" si="252"/>
        <v>-0.47034136252578551</v>
      </c>
      <c r="BB990" s="39">
        <f t="shared" si="253"/>
        <v>1.2250721575078281</v>
      </c>
      <c r="BC990" s="45">
        <f t="shared" si="254"/>
        <v>-1.5480981476328817</v>
      </c>
      <c r="BD990" s="45">
        <f t="shared" si="255"/>
        <v>4.2175226929843204</v>
      </c>
      <c r="BE990" s="64">
        <f t="shared" si="256"/>
        <v>126060529133.90755</v>
      </c>
      <c r="BF990" s="65">
        <f t="shared" si="257"/>
        <v>136785472235.73126</v>
      </c>
      <c r="BG990" s="66">
        <f t="shared" si="258"/>
        <v>116395027336.79826</v>
      </c>
    </row>
    <row r="991" spans="43:59" x14ac:dyDescent="0.25">
      <c r="AQ991" s="7">
        <v>976</v>
      </c>
      <c r="AR991" s="58">
        <f t="shared" si="259"/>
        <v>488</v>
      </c>
      <c r="AS991" s="58">
        <f t="shared" si="260"/>
        <v>112845.77767428795</v>
      </c>
      <c r="AT991" s="58">
        <f t="shared" si="261"/>
        <v>-335502.33412714739</v>
      </c>
      <c r="AU991" s="58">
        <f t="shared" si="262"/>
        <v>570.03718924417547</v>
      </c>
      <c r="AV991" s="58">
        <f t="shared" si="263"/>
        <v>-456.95625918422559</v>
      </c>
      <c r="AW991" s="58">
        <f t="shared" si="249"/>
        <v>-3.0998850396876674</v>
      </c>
      <c r="AX991" s="58">
        <f t="shared" si="264"/>
        <v>9.429504250956299</v>
      </c>
      <c r="AY991" s="33">
        <f t="shared" si="250"/>
        <v>-1.0821562159369171</v>
      </c>
      <c r="AZ991" s="33">
        <f t="shared" si="251"/>
        <v>3.9978350901287825</v>
      </c>
      <c r="BA991" s="39">
        <f t="shared" si="252"/>
        <v>-0.47014549598474986</v>
      </c>
      <c r="BB991" s="39">
        <f t="shared" si="253"/>
        <v>1.222743914679463</v>
      </c>
      <c r="BC991" s="45">
        <f t="shared" si="254"/>
        <v>-1.5475833277660005</v>
      </c>
      <c r="BD991" s="45">
        <f t="shared" si="255"/>
        <v>4.2089252461480546</v>
      </c>
      <c r="BE991" s="64">
        <f t="shared" si="256"/>
        <v>126270939648.61456</v>
      </c>
      <c r="BF991" s="65">
        <f t="shared" si="257"/>
        <v>137019863533.19333</v>
      </c>
      <c r="BG991" s="66">
        <f t="shared" si="258"/>
        <v>116609373496.60733</v>
      </c>
    </row>
    <row r="992" spans="43:59" x14ac:dyDescent="0.25">
      <c r="AQ992" s="7">
        <v>977</v>
      </c>
      <c r="AR992" s="58">
        <f t="shared" si="259"/>
        <v>488.5</v>
      </c>
      <c r="AS992" s="58">
        <f t="shared" si="260"/>
        <v>113130.40878328007</v>
      </c>
      <c r="AT992" s="58">
        <f t="shared" si="261"/>
        <v>-335729.63356870809</v>
      </c>
      <c r="AU992" s="58">
        <f t="shared" si="262"/>
        <v>568.48724672433161</v>
      </c>
      <c r="AV992" s="58">
        <f t="shared" si="263"/>
        <v>-452.24150705874746</v>
      </c>
      <c r="AW992" s="58">
        <f t="shared" si="249"/>
        <v>-3.0998280832023135</v>
      </c>
      <c r="AX992" s="58">
        <f t="shared" si="264"/>
        <v>9.4114324926954751</v>
      </c>
      <c r="AY992" s="33">
        <f t="shared" si="250"/>
        <v>-1.0827875258204882</v>
      </c>
      <c r="AZ992" s="33">
        <f t="shared" si="251"/>
        <v>3.9905844994729209</v>
      </c>
      <c r="BA992" s="39">
        <f t="shared" si="252"/>
        <v>-0.46995492585961174</v>
      </c>
      <c r="BB992" s="39">
        <f t="shared" si="253"/>
        <v>1.2204375078254743</v>
      </c>
      <c r="BC992" s="45">
        <f t="shared" si="254"/>
        <v>-1.5470856315222137</v>
      </c>
      <c r="BD992" s="45">
        <f t="shared" si="255"/>
        <v>4.2004104853970805</v>
      </c>
      <c r="BE992" s="64">
        <f t="shared" si="256"/>
        <v>126479854399.85048</v>
      </c>
      <c r="BF992" s="65">
        <f t="shared" si="257"/>
        <v>137252685270.35641</v>
      </c>
      <c r="BG992" s="66">
        <f t="shared" si="258"/>
        <v>116822291328.42262</v>
      </c>
    </row>
    <row r="993" spans="43:59" x14ac:dyDescent="0.25">
      <c r="AQ993" s="7">
        <v>978</v>
      </c>
      <c r="AR993" s="58">
        <f t="shared" si="259"/>
        <v>489</v>
      </c>
      <c r="AS993" s="58">
        <f t="shared" si="260"/>
        <v>113414.26492813184</v>
      </c>
      <c r="AT993" s="58">
        <f t="shared" si="261"/>
        <v>-335954.57789317588</v>
      </c>
      <c r="AU993" s="58">
        <f t="shared" si="262"/>
        <v>566.93733268273047</v>
      </c>
      <c r="AV993" s="58">
        <f t="shared" si="263"/>
        <v>-447.53579081239974</v>
      </c>
      <c r="AW993" s="58">
        <f t="shared" si="249"/>
        <v>-3.099798353759839</v>
      </c>
      <c r="AX993" s="58">
        <f t="shared" si="264"/>
        <v>9.3935352856620327</v>
      </c>
      <c r="AY993" s="33">
        <f t="shared" si="250"/>
        <v>-1.0834237133106506</v>
      </c>
      <c r="AZ993" s="33">
        <f t="shared" si="251"/>
        <v>3.9834048303098744</v>
      </c>
      <c r="BA993" s="39">
        <f t="shared" si="252"/>
        <v>-0.46976963183996484</v>
      </c>
      <c r="BB993" s="39">
        <f t="shared" si="253"/>
        <v>1.2181527573365118</v>
      </c>
      <c r="BC993" s="45">
        <f t="shared" si="254"/>
        <v>-1.5466050086092236</v>
      </c>
      <c r="BD993" s="45">
        <f t="shared" si="255"/>
        <v>4.1919776980156458</v>
      </c>
      <c r="BE993" s="64">
        <f t="shared" si="256"/>
        <v>126687271967.84282</v>
      </c>
      <c r="BF993" s="65">
        <f t="shared" si="257"/>
        <v>137483936051.55923</v>
      </c>
      <c r="BG993" s="66">
        <f t="shared" si="258"/>
        <v>117033779209.05649</v>
      </c>
    </row>
    <row r="994" spans="43:59" x14ac:dyDescent="0.25">
      <c r="AQ994" s="7">
        <v>979</v>
      </c>
      <c r="AR994" s="58">
        <f t="shared" si="259"/>
        <v>489.5</v>
      </c>
      <c r="AS994" s="58">
        <f t="shared" si="260"/>
        <v>113697.34611967899</v>
      </c>
      <c r="AT994" s="58">
        <f t="shared" si="261"/>
        <v>-336177.1715966714</v>
      </c>
      <c r="AU994" s="58">
        <f t="shared" si="262"/>
        <v>565.38743350585059</v>
      </c>
      <c r="AV994" s="58">
        <f t="shared" si="263"/>
        <v>-442.83902316956875</v>
      </c>
      <c r="AW994" s="58">
        <f t="shared" si="249"/>
        <v>-3.0997958431969996</v>
      </c>
      <c r="AX994" s="58">
        <f t="shared" si="264"/>
        <v>9.3758111897863721</v>
      </c>
      <c r="AY994" s="33">
        <f t="shared" si="250"/>
        <v>-1.084064839377342</v>
      </c>
      <c r="AZ994" s="33">
        <f t="shared" si="251"/>
        <v>3.9762955222736598</v>
      </c>
      <c r="BA994" s="39">
        <f t="shared" si="252"/>
        <v>-0.46958959400770373</v>
      </c>
      <c r="BB994" s="39">
        <f t="shared" si="253"/>
        <v>1.2158894860882254</v>
      </c>
      <c r="BC994" s="45">
        <f t="shared" si="254"/>
        <v>-1.5461414098119539</v>
      </c>
      <c r="BD994" s="45">
        <f t="shared" si="255"/>
        <v>4.1836261814244873</v>
      </c>
      <c r="BE994" s="64">
        <f t="shared" si="256"/>
        <v>126893190946.55884</v>
      </c>
      <c r="BF994" s="65">
        <f t="shared" si="257"/>
        <v>137713614494.11652</v>
      </c>
      <c r="BG994" s="66">
        <f t="shared" si="258"/>
        <v>117243835530.69258</v>
      </c>
    </row>
    <row r="995" spans="43:59" x14ac:dyDescent="0.25">
      <c r="AQ995" s="7">
        <v>980</v>
      </c>
      <c r="AR995" s="58">
        <f t="shared" si="259"/>
        <v>490</v>
      </c>
      <c r="AS995" s="58">
        <f t="shared" si="260"/>
        <v>113979.65236195151</v>
      </c>
      <c r="AT995" s="58">
        <f t="shared" si="261"/>
        <v>-336397.41913185746</v>
      </c>
      <c r="AU995" s="58">
        <f t="shared" si="262"/>
        <v>563.83753558425212</v>
      </c>
      <c r="AV995" s="58">
        <f t="shared" si="263"/>
        <v>-438.15111757467554</v>
      </c>
      <c r="AW995" s="58">
        <f t="shared" si="249"/>
        <v>-3.0998205442217657</v>
      </c>
      <c r="AX995" s="58">
        <f t="shared" si="264"/>
        <v>9.3582587852709622</v>
      </c>
      <c r="AY995" s="33">
        <f t="shared" si="250"/>
        <v>-1.0847109644035513</v>
      </c>
      <c r="AZ995" s="33">
        <f t="shared" si="251"/>
        <v>3.9692560228434468</v>
      </c>
      <c r="BA995" s="39">
        <f t="shared" si="252"/>
        <v>-0.46941479283310078</v>
      </c>
      <c r="BB995" s="39">
        <f t="shared" si="253"/>
        <v>1.2136475194040666</v>
      </c>
      <c r="BC995" s="45">
        <f t="shared" si="254"/>
        <v>-1.5456947869851134</v>
      </c>
      <c r="BD995" s="45">
        <f t="shared" si="255"/>
        <v>4.17535524302345</v>
      </c>
      <c r="BE995" s="64">
        <f t="shared" si="256"/>
        <v>127097609943.6257</v>
      </c>
      <c r="BF995" s="65">
        <f t="shared" si="257"/>
        <v>137941719228.24112</v>
      </c>
      <c r="BG995" s="66">
        <f t="shared" si="258"/>
        <v>117452458700.78969</v>
      </c>
    </row>
    <row r="996" spans="43:59" x14ac:dyDescent="0.25">
      <c r="AQ996" s="7">
        <v>981</v>
      </c>
      <c r="AR996" s="58">
        <f t="shared" si="259"/>
        <v>490.5</v>
      </c>
      <c r="AS996" s="58">
        <f t="shared" si="260"/>
        <v>114261.1836521756</v>
      </c>
      <c r="AT996" s="58">
        <f t="shared" si="261"/>
        <v>-336615.32490829664</v>
      </c>
      <c r="AU996" s="58">
        <f t="shared" si="262"/>
        <v>562.28762531214124</v>
      </c>
      <c r="AV996" s="58">
        <f t="shared" si="263"/>
        <v>-433.47198818204004</v>
      </c>
      <c r="AW996" s="58">
        <f t="shared" si="249"/>
        <v>-3.0998724504212998</v>
      </c>
      <c r="AX996" s="58">
        <f t="shared" si="264"/>
        <v>9.3408766722862211</v>
      </c>
      <c r="AY996" s="33">
        <f t="shared" si="250"/>
        <v>-1.0853621482041942</v>
      </c>
      <c r="AZ996" s="33">
        <f t="shared" si="251"/>
        <v>3.9622857872295856</v>
      </c>
      <c r="BA996" s="39">
        <f t="shared" si="252"/>
        <v>-0.46924520917097629</v>
      </c>
      <c r="BB996" s="39">
        <f t="shared" si="253"/>
        <v>1.2114266850188311</v>
      </c>
      <c r="BC996" s="45">
        <f t="shared" si="254"/>
        <v>-1.5452650930461294</v>
      </c>
      <c r="BD996" s="45">
        <f t="shared" si="255"/>
        <v>4.1671642000378055</v>
      </c>
      <c r="BE996" s="64">
        <f t="shared" si="256"/>
        <v>127300527580.25174</v>
      </c>
      <c r="BF996" s="65">
        <f t="shared" si="257"/>
        <v>138168248896.96725</v>
      </c>
      <c r="BG996" s="66">
        <f t="shared" si="258"/>
        <v>117659647141.98718</v>
      </c>
    </row>
    <row r="997" spans="43:59" x14ac:dyDescent="0.25">
      <c r="AQ997" s="7">
        <v>982</v>
      </c>
      <c r="AR997" s="58">
        <f t="shared" si="259"/>
        <v>491</v>
      </c>
      <c r="AS997" s="58">
        <f t="shared" si="260"/>
        <v>114541.93998077537</v>
      </c>
      <c r="AT997" s="58">
        <f t="shared" si="261"/>
        <v>-336830.89329280361</v>
      </c>
      <c r="AU997" s="58">
        <f t="shared" si="262"/>
        <v>560.73768908693057</v>
      </c>
      <c r="AV997" s="58">
        <f t="shared" si="263"/>
        <v>-428.80154984589694</v>
      </c>
      <c r="AW997" s="58">
        <f t="shared" si="249"/>
        <v>-3.0999515562695645</v>
      </c>
      <c r="AX997" s="58">
        <f t="shared" si="264"/>
        <v>9.3236634706716064</v>
      </c>
      <c r="AY997" s="33">
        <f t="shared" si="250"/>
        <v>-1.0860184500445582</v>
      </c>
      <c r="AZ997" s="33">
        <f t="shared" si="251"/>
        <v>3.9553842782615791</v>
      </c>
      <c r="BA997" s="39">
        <f t="shared" si="252"/>
        <v>-0.46908082425694442</v>
      </c>
      <c r="BB997" s="39">
        <f t="shared" si="253"/>
        <v>1.2092268130428894</v>
      </c>
      <c r="BC997" s="45">
        <f t="shared" si="254"/>
        <v>-1.5448522819680617</v>
      </c>
      <c r="BD997" s="45">
        <f t="shared" si="255"/>
        <v>4.1590523793671377</v>
      </c>
      <c r="BE997" s="64">
        <f t="shared" si="256"/>
        <v>127501942491.14864</v>
      </c>
      <c r="BF997" s="65">
        <f t="shared" si="257"/>
        <v>138393202156.07468</v>
      </c>
      <c r="BG997" s="66">
        <f t="shared" si="258"/>
        <v>117865399292.01123</v>
      </c>
    </row>
    <row r="998" spans="43:59" x14ac:dyDescent="0.25">
      <c r="AQ998" s="7">
        <v>983</v>
      </c>
      <c r="AR998" s="58">
        <f t="shared" si="259"/>
        <v>491.5</v>
      </c>
      <c r="AS998" s="58">
        <f t="shared" si="260"/>
        <v>114821.92133137429</v>
      </c>
      <c r="AT998" s="58">
        <f t="shared" si="261"/>
        <v>-337044.12860979268</v>
      </c>
      <c r="AU998" s="58">
        <f t="shared" si="262"/>
        <v>559.18771330879576</v>
      </c>
      <c r="AV998" s="58">
        <f t="shared" si="263"/>
        <v>-424.13971811056115</v>
      </c>
      <c r="AW998" s="58">
        <f t="shared" si="249"/>
        <v>-3.1000578571349644</v>
      </c>
      <c r="AX998" s="58">
        <f t="shared" si="264"/>
        <v>9.3066178196430229</v>
      </c>
      <c r="AY998" s="33">
        <f t="shared" si="250"/>
        <v>-1.086679928658433</v>
      </c>
      <c r="AZ998" s="33">
        <f t="shared" si="251"/>
        <v>3.9485509662783902</v>
      </c>
      <c r="BA998" s="39">
        <f t="shared" si="252"/>
        <v>-0.46892161970372925</v>
      </c>
      <c r="BB998" s="39">
        <f t="shared" si="253"/>
        <v>1.207047735927073</v>
      </c>
      <c r="BC998" s="45">
        <f t="shared" si="254"/>
        <v>-1.5444563087728025</v>
      </c>
      <c r="BD998" s="45">
        <f t="shared" si="255"/>
        <v>4.1510191174375608</v>
      </c>
      <c r="BE998" s="64">
        <f t="shared" si="256"/>
        <v>127701853324.45468</v>
      </c>
      <c r="BF998" s="65">
        <f t="shared" si="257"/>
        <v>138616577674.01361</v>
      </c>
      <c r="BG998" s="66">
        <f t="shared" si="258"/>
        <v>118069713603.58273</v>
      </c>
    </row>
    <row r="999" spans="43:59" x14ac:dyDescent="0.25">
      <c r="AQ999" s="7">
        <v>984</v>
      </c>
      <c r="AR999" s="58">
        <f t="shared" si="259"/>
        <v>492</v>
      </c>
      <c r="AS999" s="58">
        <f t="shared" si="260"/>
        <v>115101.12768079655</v>
      </c>
      <c r="AT999" s="58">
        <f t="shared" si="261"/>
        <v>-337255.03514162049</v>
      </c>
      <c r="AU999" s="58">
        <f t="shared" si="262"/>
        <v>557.63768438022828</v>
      </c>
      <c r="AV999" s="58">
        <f t="shared" si="263"/>
        <v>-419.48640920073962</v>
      </c>
      <c r="AW999" s="58">
        <f t="shared" si="249"/>
        <v>-3.1001913492876758</v>
      </c>
      <c r="AX999" s="58">
        <f t="shared" si="264"/>
        <v>9.2897383775053015</v>
      </c>
      <c r="AY999" s="33">
        <f t="shared" si="250"/>
        <v>-1.0873466422658324</v>
      </c>
      <c r="AZ999" s="33">
        <f t="shared" si="251"/>
        <v>3.9417853290206146</v>
      </c>
      <c r="BA999" s="39">
        <f t="shared" si="252"/>
        <v>-0.46876757749756376</v>
      </c>
      <c r="BB999" s="39">
        <f t="shared" si="253"/>
        <v>1.2048892884282478</v>
      </c>
      <c r="BC999" s="45">
        <f t="shared" si="254"/>
        <v>-1.5440771295242799</v>
      </c>
      <c r="BD999" s="45">
        <f t="shared" si="255"/>
        <v>4.1430637600564379</v>
      </c>
      <c r="BE999" s="64">
        <f t="shared" si="256"/>
        <v>127900258741.65915</v>
      </c>
      <c r="BF999" s="65">
        <f t="shared" si="257"/>
        <v>138838374131.83096</v>
      </c>
      <c r="BG999" s="66">
        <f t="shared" si="258"/>
        <v>118272588544.32605</v>
      </c>
    </row>
    <row r="1000" spans="43:59" x14ac:dyDescent="0.25">
      <c r="AQ1000" s="7">
        <v>985</v>
      </c>
      <c r="AR1000" s="58">
        <f t="shared" si="259"/>
        <v>492.5</v>
      </c>
      <c r="AS1000" s="58">
        <f t="shared" si="260"/>
        <v>115379.558999068</v>
      </c>
      <c r="AT1000" s="58">
        <f t="shared" si="261"/>
        <v>-337463.61712892365</v>
      </c>
      <c r="AU1000" s="58">
        <f t="shared" si="262"/>
        <v>556.08758870558449</v>
      </c>
      <c r="AV1000" s="58">
        <f t="shared" si="263"/>
        <v>-414.84154001198698</v>
      </c>
      <c r="AW1000" s="58">
        <f t="shared" si="249"/>
        <v>-3.100352029906924</v>
      </c>
      <c r="AX1000" s="58">
        <f t="shared" si="264"/>
        <v>9.2730238213704617</v>
      </c>
      <c r="AY1000" s="33">
        <f t="shared" si="250"/>
        <v>-1.088018648590424</v>
      </c>
      <c r="AZ1000" s="33">
        <f t="shared" si="251"/>
        <v>3.9350868515249005</v>
      </c>
      <c r="BA1000" s="39">
        <f t="shared" si="252"/>
        <v>-0.46861867999464951</v>
      </c>
      <c r="BB1000" s="39">
        <f t="shared" si="253"/>
        <v>1.2027513075754921</v>
      </c>
      <c r="BC1000" s="45">
        <f t="shared" si="254"/>
        <v>-1.5437147013218508</v>
      </c>
      <c r="BD1000" s="45">
        <f t="shared" si="255"/>
        <v>4.1351856622700698</v>
      </c>
      <c r="BE1000" s="64">
        <f t="shared" si="256"/>
        <v>128097157417.52731</v>
      </c>
      <c r="BF1000" s="65">
        <f t="shared" si="257"/>
        <v>139058590223.09738</v>
      </c>
      <c r="BG1000" s="66">
        <f t="shared" si="258"/>
        <v>118474022596.67915</v>
      </c>
    </row>
    <row r="1001" spans="43:59" x14ac:dyDescent="0.25">
      <c r="AQ1001" s="7">
        <v>986</v>
      </c>
      <c r="AR1001" s="58">
        <f t="shared" si="259"/>
        <v>493</v>
      </c>
      <c r="AS1001" s="58">
        <f t="shared" si="260"/>
        <v>115657.21524941706</v>
      </c>
      <c r="AT1001" s="58">
        <f t="shared" si="261"/>
        <v>-337669.878770952</v>
      </c>
      <c r="AU1001" s="58">
        <f t="shared" si="262"/>
        <v>554.53741269063107</v>
      </c>
      <c r="AV1001" s="58">
        <f t="shared" si="263"/>
        <v>-410.20502810130176</v>
      </c>
      <c r="AW1001" s="58">
        <f t="shared" si="249"/>
        <v>-3.1005398970881957</v>
      </c>
      <c r="AX1001" s="58">
        <f t="shared" si="264"/>
        <v>9.2564728468814721</v>
      </c>
      <c r="AY1001" s="33">
        <f t="shared" si="250"/>
        <v>-1.0886960048765619</v>
      </c>
      <c r="AZ1001" s="33">
        <f t="shared" si="251"/>
        <v>3.9284550260201385</v>
      </c>
      <c r="BA1001" s="39">
        <f t="shared" si="252"/>
        <v>-0.46847490991773211</v>
      </c>
      <c r="BB1001" s="39">
        <f t="shared" si="253"/>
        <v>1.2006336326370262</v>
      </c>
      <c r="BC1001" s="45">
        <f t="shared" si="254"/>
        <v>-1.5433689822939016</v>
      </c>
      <c r="BD1001" s="45">
        <f t="shared" si="255"/>
        <v>4.1273841882243074</v>
      </c>
      <c r="BE1001" s="64">
        <f t="shared" si="256"/>
        <v>128292548040.02701</v>
      </c>
      <c r="BF1001" s="65">
        <f t="shared" si="257"/>
        <v>139277224653.83514</v>
      </c>
      <c r="BG1001" s="66">
        <f t="shared" si="258"/>
        <v>118674014257.80501</v>
      </c>
    </row>
    <row r="1002" spans="43:59" x14ac:dyDescent="0.25">
      <c r="AQ1002" s="7">
        <v>987</v>
      </c>
      <c r="AR1002" s="58">
        <f t="shared" si="259"/>
        <v>493.5</v>
      </c>
      <c r="AS1002" s="58">
        <f t="shared" si="260"/>
        <v>115934.09638827524</v>
      </c>
      <c r="AT1002" s="58">
        <f t="shared" si="261"/>
        <v>-337873.82422589679</v>
      </c>
      <c r="AU1002" s="58">
        <f t="shared" si="262"/>
        <v>552.98714274208703</v>
      </c>
      <c r="AV1002" s="58">
        <f t="shared" si="263"/>
        <v>-405.57679167786102</v>
      </c>
      <c r="AW1002" s="58">
        <f t="shared" si="249"/>
        <v>-3.1007549498501978</v>
      </c>
      <c r="AX1002" s="58">
        <f t="shared" si="264"/>
        <v>9.2400841679409353</v>
      </c>
      <c r="AY1002" s="33">
        <f t="shared" si="250"/>
        <v>-1.0893787679060329</v>
      </c>
      <c r="AZ1002" s="33">
        <f t="shared" si="251"/>
        <v>3.9218893518257545</v>
      </c>
      <c r="BA1002" s="39">
        <f t="shared" si="252"/>
        <v>-0.46833625035268356</v>
      </c>
      <c r="BB1002" s="39">
        <f t="shared" si="253"/>
        <v>1.1985361050875944</v>
      </c>
      <c r="BC1002" s="45">
        <f t="shared" si="254"/>
        <v>-1.5430399315914813</v>
      </c>
      <c r="BD1002" s="45">
        <f t="shared" si="255"/>
        <v>4.1196587110275855</v>
      </c>
      <c r="BE1002" s="64">
        <f t="shared" si="256"/>
        <v>128486429310.25554</v>
      </c>
      <c r="BF1002" s="65">
        <f t="shared" si="257"/>
        <v>139494276142.44705</v>
      </c>
      <c r="BG1002" s="66">
        <f t="shared" si="258"/>
        <v>118872562039.50394</v>
      </c>
    </row>
    <row r="1003" spans="43:59" x14ac:dyDescent="0.25">
      <c r="AQ1003" s="7">
        <v>988</v>
      </c>
      <c r="AR1003" s="58">
        <f t="shared" si="259"/>
        <v>494</v>
      </c>
      <c r="AS1003" s="58">
        <f t="shared" si="260"/>
        <v>116210.20236527755</v>
      </c>
      <c r="AT1003" s="58">
        <f t="shared" si="261"/>
        <v>-338075.45761121472</v>
      </c>
      <c r="AU1003" s="58">
        <f t="shared" si="262"/>
        <v>551.43676526716195</v>
      </c>
      <c r="AV1003" s="58">
        <f t="shared" si="263"/>
        <v>-400.95674959389055</v>
      </c>
      <c r="AW1003" s="58">
        <f t="shared" si="249"/>
        <v>-3.1009971881418075</v>
      </c>
      <c r="AX1003" s="58">
        <f t="shared" si="264"/>
        <v>9.2238565164452222</v>
      </c>
      <c r="AY1003" s="33">
        <f t="shared" si="250"/>
        <v>-1.090066994014482</v>
      </c>
      <c r="AZ1003" s="33">
        <f t="shared" si="251"/>
        <v>3.9153893352519109</v>
      </c>
      <c r="BA1003" s="39">
        <f t="shared" si="252"/>
        <v>-0.46820268474521837</v>
      </c>
      <c r="BB1003" s="39">
        <f t="shared" si="253"/>
        <v>1.196458568576616</v>
      </c>
      <c r="BC1003" s="45">
        <f t="shared" si="254"/>
        <v>-1.5427275093821073</v>
      </c>
      <c r="BD1003" s="45">
        <f t="shared" si="255"/>
        <v>4.1120086126166955</v>
      </c>
      <c r="BE1003" s="64">
        <f t="shared" si="256"/>
        <v>128678799942.36812</v>
      </c>
      <c r="BF1003" s="65">
        <f t="shared" si="257"/>
        <v>139709743419.64639</v>
      </c>
      <c r="BG1003" s="66">
        <f t="shared" si="258"/>
        <v>119069664468.12733</v>
      </c>
    </row>
    <row r="1004" spans="43:59" x14ac:dyDescent="0.25">
      <c r="AQ1004" s="7">
        <v>989</v>
      </c>
      <c r="AR1004" s="58">
        <f t="shared" si="259"/>
        <v>494.5</v>
      </c>
      <c r="AS1004" s="58">
        <f t="shared" si="260"/>
        <v>116485.53312326262</v>
      </c>
      <c r="AT1004" s="58">
        <f t="shared" si="261"/>
        <v>-338274.78300394706</v>
      </c>
      <c r="AU1004" s="58">
        <f t="shared" si="262"/>
        <v>549.88626667309109</v>
      </c>
      <c r="AV1004" s="58">
        <f t="shared" si="263"/>
        <v>-396.34482133566792</v>
      </c>
      <c r="AW1004" s="58">
        <f t="shared" si="249"/>
        <v>-3.1012666128488133</v>
      </c>
      <c r="AX1004" s="58">
        <f t="shared" si="264"/>
        <v>9.2077886420233259</v>
      </c>
      <c r="AY1004" s="33">
        <f t="shared" si="250"/>
        <v>-1.0907607391074652</v>
      </c>
      <c r="AZ1004" s="33">
        <f t="shared" si="251"/>
        <v>3.9089544895013506</v>
      </c>
      <c r="BA1004" s="39">
        <f t="shared" si="252"/>
        <v>-0.46807419689764923</v>
      </c>
      <c r="BB1004" s="39">
        <f t="shared" si="253"/>
        <v>1.1944008688968564</v>
      </c>
      <c r="BC1004" s="45">
        <f t="shared" si="254"/>
        <v>-1.542431676843699</v>
      </c>
      <c r="BD1004" s="45">
        <f t="shared" si="255"/>
        <v>4.1044332836251192</v>
      </c>
      <c r="BE1004" s="64">
        <f t="shared" si="256"/>
        <v>128869658663.5069</v>
      </c>
      <c r="BF1004" s="65">
        <f t="shared" si="257"/>
        <v>139923625228.38763</v>
      </c>
      <c r="BG1004" s="66">
        <f t="shared" si="258"/>
        <v>119265320084.4924</v>
      </c>
    </row>
    <row r="1005" spans="43:59" x14ac:dyDescent="0.25">
      <c r="AQ1005" s="7">
        <v>990</v>
      </c>
      <c r="AR1005" s="58">
        <f t="shared" si="259"/>
        <v>495</v>
      </c>
      <c r="AS1005" s="58">
        <f t="shared" si="260"/>
        <v>116760.08859827256</v>
      </c>
      <c r="AT1005" s="58">
        <f t="shared" si="261"/>
        <v>-338471.80444103462</v>
      </c>
      <c r="AU1005" s="58">
        <f t="shared" si="262"/>
        <v>548.33563336666668</v>
      </c>
      <c r="AV1005" s="58">
        <f t="shared" si="263"/>
        <v>-391.74092701465628</v>
      </c>
      <c r="AW1005" s="58">
        <f t="shared" si="249"/>
        <v>-3.1015632258007466</v>
      </c>
      <c r="AX1005" s="58">
        <f t="shared" si="264"/>
        <v>9.1918793117812729</v>
      </c>
      <c r="AY1005" s="33">
        <f t="shared" si="250"/>
        <v>-1.0914600586763203</v>
      </c>
      <c r="AZ1005" s="33">
        <f t="shared" si="251"/>
        <v>3.9025843345735165</v>
      </c>
      <c r="BA1005" s="39">
        <f t="shared" si="252"/>
        <v>-0.46795077096570309</v>
      </c>
      <c r="BB1005" s="39">
        <f t="shared" si="253"/>
        <v>1.1923628539536615</v>
      </c>
      <c r="BC1005" s="45">
        <f t="shared" si="254"/>
        <v>-1.5421523961587231</v>
      </c>
      <c r="BD1005" s="45">
        <f t="shared" si="255"/>
        <v>4.0969321232540947</v>
      </c>
      <c r="BE1005" s="64">
        <f t="shared" si="256"/>
        <v>129059004213.73105</v>
      </c>
      <c r="BF1005" s="65">
        <f t="shared" si="257"/>
        <v>140135920323.79803</v>
      </c>
      <c r="BG1005" s="66">
        <f t="shared" si="258"/>
        <v>119459527443.79813</v>
      </c>
    </row>
    <row r="1006" spans="43:59" x14ac:dyDescent="0.25">
      <c r="AQ1006" s="7">
        <v>991</v>
      </c>
      <c r="AR1006" s="58">
        <f t="shared" si="259"/>
        <v>495.5</v>
      </c>
      <c r="AS1006" s="58">
        <f t="shared" si="260"/>
        <v>117033.86871955266</v>
      </c>
      <c r="AT1006" s="58">
        <f t="shared" si="261"/>
        <v>-338666.52591962798</v>
      </c>
      <c r="AU1006" s="58">
        <f t="shared" si="262"/>
        <v>546.78485175376636</v>
      </c>
      <c r="AV1006" s="58">
        <f t="shared" si="263"/>
        <v>-387.14498735876566</v>
      </c>
      <c r="AW1006" s="58">
        <f t="shared" si="249"/>
        <v>-3.101887029777362</v>
      </c>
      <c r="AX1006" s="58">
        <f t="shared" si="264"/>
        <v>9.1761273100505552</v>
      </c>
      <c r="AY1006" s="33">
        <f t="shared" si="250"/>
        <v>-1.0921650078136105</v>
      </c>
      <c r="AZ1006" s="33">
        <f t="shared" si="251"/>
        <v>3.8962783971699793</v>
      </c>
      <c r="BA1006" s="39">
        <f t="shared" si="252"/>
        <v>-0.46783239145543137</v>
      </c>
      <c r="BB1006" s="39">
        <f t="shared" si="253"/>
        <v>1.1903443737348294</v>
      </c>
      <c r="BC1006" s="45">
        <f t="shared" si="254"/>
        <v>-1.5418896305083201</v>
      </c>
      <c r="BD1006" s="45">
        <f t="shared" si="255"/>
        <v>4.0895045391457465</v>
      </c>
      <c r="BE1006" s="64">
        <f t="shared" si="256"/>
        <v>129246835345.94785</v>
      </c>
      <c r="BF1006" s="65">
        <f t="shared" si="257"/>
        <v>140346627473.1102</v>
      </c>
      <c r="BG1006" s="66">
        <f t="shared" si="258"/>
        <v>119652285115.54222</v>
      </c>
    </row>
    <row r="1007" spans="43:59" x14ac:dyDescent="0.25">
      <c r="AQ1007" s="7">
        <v>992</v>
      </c>
      <c r="AR1007" s="58">
        <f t="shared" si="259"/>
        <v>496</v>
      </c>
      <c r="AS1007" s="58">
        <f t="shared" si="260"/>
        <v>117306.87340955081</v>
      </c>
      <c r="AT1007" s="58">
        <f t="shared" si="261"/>
        <v>-338858.9513973936</v>
      </c>
      <c r="AU1007" s="58">
        <f t="shared" si="262"/>
        <v>545.23390823887769</v>
      </c>
      <c r="AV1007" s="58">
        <f t="shared" si="263"/>
        <v>-382.55692370374038</v>
      </c>
      <c r="AW1007" s="58">
        <f t="shared" si="249"/>
        <v>-3.1022380285152229</v>
      </c>
      <c r="AX1007" s="58">
        <f t="shared" si="264"/>
        <v>9.1605314381419092</v>
      </c>
      <c r="AY1007" s="33">
        <f t="shared" si="250"/>
        <v>-1.0928756412283607</v>
      </c>
      <c r="AZ1007" s="33">
        <f t="shared" si="251"/>
        <v>3.890036210601914</v>
      </c>
      <c r="BA1007" s="39">
        <f t="shared" si="252"/>
        <v>-0.46771904322017577</v>
      </c>
      <c r="BB1007" s="39">
        <f t="shared" si="253"/>
        <v>1.1883452802810166</v>
      </c>
      <c r="BC1007" s="45">
        <f t="shared" si="254"/>
        <v>-1.5416433440666861</v>
      </c>
      <c r="BD1007" s="45">
        <f t="shared" si="255"/>
        <v>4.0821499472589773</v>
      </c>
      <c r="BE1007" s="64">
        <f t="shared" si="256"/>
        <v>129433150825.84442</v>
      </c>
      <c r="BF1007" s="65">
        <f t="shared" si="257"/>
        <v>140555745455.59546</v>
      </c>
      <c r="BG1007" s="66">
        <f t="shared" si="258"/>
        <v>119843591683.43924</v>
      </c>
    </row>
    <row r="1008" spans="43:59" x14ac:dyDescent="0.25">
      <c r="AQ1008" s="7">
        <v>993</v>
      </c>
      <c r="AR1008" s="58">
        <f t="shared" si="259"/>
        <v>496.5</v>
      </c>
      <c r="AS1008" s="58">
        <f t="shared" si="260"/>
        <v>117579.10258391668</v>
      </c>
      <c r="AT1008" s="58">
        <f t="shared" si="261"/>
        <v>-339049.08479281573</v>
      </c>
      <c r="AU1008" s="58">
        <f t="shared" si="262"/>
        <v>543.68278922462002</v>
      </c>
      <c r="AV1008" s="58">
        <f t="shared" si="263"/>
        <v>-377.97665798466943</v>
      </c>
      <c r="AW1008" s="58">
        <f t="shared" si="249"/>
        <v>-3.1026162267141699</v>
      </c>
      <c r="AX1008" s="58">
        <f t="shared" si="264"/>
        <v>9.1450905141036145</v>
      </c>
      <c r="AY1008" s="33">
        <f t="shared" si="250"/>
        <v>-1.0935920132610102</v>
      </c>
      <c r="AZ1008" s="33">
        <f t="shared" si="251"/>
        <v>3.8838573146992763</v>
      </c>
      <c r="BA1008" s="39">
        <f t="shared" si="252"/>
        <v>-0.46761071145758887</v>
      </c>
      <c r="BB1008" s="39">
        <f t="shared" si="253"/>
        <v>1.1863654276566673</v>
      </c>
      <c r="BC1008" s="45">
        <f t="shared" si="254"/>
        <v>-1.5414135019955708</v>
      </c>
      <c r="BD1008" s="45">
        <f t="shared" si="255"/>
        <v>4.0748677717476705</v>
      </c>
      <c r="BE1008" s="64">
        <f t="shared" si="256"/>
        <v>129617949431.82072</v>
      </c>
      <c r="BF1008" s="65">
        <f t="shared" si="257"/>
        <v>140763273062.49814</v>
      </c>
      <c r="BG1008" s="66">
        <f t="shared" si="258"/>
        <v>120033445745.33984</v>
      </c>
    </row>
    <row r="1009" spans="43:59" x14ac:dyDescent="0.25">
      <c r="AQ1009" s="7">
        <v>994</v>
      </c>
      <c r="AR1009" s="58">
        <f t="shared" si="259"/>
        <v>497</v>
      </c>
      <c r="AS1009" s="58">
        <f t="shared" si="260"/>
        <v>117850.55615150064</v>
      </c>
      <c r="AT1009" s="58">
        <f t="shared" si="261"/>
        <v>-339236.92998549377</v>
      </c>
      <c r="AU1009" s="58">
        <f t="shared" si="262"/>
        <v>542.13148111126293</v>
      </c>
      <c r="AV1009" s="58">
        <f t="shared" si="263"/>
        <v>-373.40411272761764</v>
      </c>
      <c r="AW1009" s="58">
        <f t="shared" si="249"/>
        <v>-3.1030216300435933</v>
      </c>
      <c r="AX1009" s="58">
        <f t="shared" si="264"/>
        <v>9.1298033724840177</v>
      </c>
      <c r="AY1009" s="33">
        <f t="shared" si="250"/>
        <v>-1.0943141778980545</v>
      </c>
      <c r="AZ1009" s="33">
        <f t="shared" si="251"/>
        <v>3.877741255721538</v>
      </c>
      <c r="BA1009" s="39">
        <f t="shared" si="252"/>
        <v>-0.46750738170673128</v>
      </c>
      <c r="BB1009" s="39">
        <f t="shared" si="253"/>
        <v>1.1844046719215058</v>
      </c>
      <c r="BC1009" s="45">
        <f t="shared" si="254"/>
        <v>-1.5412000704388074</v>
      </c>
      <c r="BD1009" s="45">
        <f t="shared" si="255"/>
        <v>4.0676574448409735</v>
      </c>
      <c r="BE1009" s="64">
        <f t="shared" si="256"/>
        <v>129801229954.92319</v>
      </c>
      <c r="BF1009" s="65">
        <f t="shared" si="257"/>
        <v>140969209096.9707</v>
      </c>
      <c r="BG1009" s="66">
        <f t="shared" si="258"/>
        <v>120221845913.151</v>
      </c>
    </row>
    <row r="1010" spans="43:59" x14ac:dyDescent="0.25">
      <c r="AQ1010" s="7">
        <v>995</v>
      </c>
      <c r="AR1010" s="58">
        <f t="shared" si="259"/>
        <v>497.5</v>
      </c>
      <c r="AS1010" s="58">
        <f t="shared" si="260"/>
        <v>118121.23401435251</v>
      </c>
      <c r="AT1010" s="58">
        <f t="shared" si="261"/>
        <v>-339422.49081643601</v>
      </c>
      <c r="AU1010" s="58">
        <f t="shared" si="262"/>
        <v>540.57997029624119</v>
      </c>
      <c r="AV1010" s="58">
        <f t="shared" si="263"/>
        <v>-368.83921104137562</v>
      </c>
      <c r="AW1010" s="58">
        <f t="shared" si="249"/>
        <v>-3.1034542451488298</v>
      </c>
      <c r="AX1010" s="58">
        <f t="shared" si="264"/>
        <v>9.1146688640990305</v>
      </c>
      <c r="AY1010" s="33">
        <f t="shared" si="250"/>
        <v>-1.0950421887864716</v>
      </c>
      <c r="AZ1010" s="33">
        <f t="shared" si="251"/>
        <v>3.8716875862702285</v>
      </c>
      <c r="BA1010" s="39">
        <f t="shared" si="252"/>
        <v>-0.46740903984524956</v>
      </c>
      <c r="BB1010" s="39">
        <f t="shared" si="253"/>
        <v>1.182462871102604</v>
      </c>
      <c r="BC1010" s="45">
        <f t="shared" si="254"/>
        <v>-1.5410030165171087</v>
      </c>
      <c r="BD1010" s="45">
        <f t="shared" si="255"/>
        <v>4.0605184067261968</v>
      </c>
      <c r="BE1010" s="64">
        <f t="shared" si="256"/>
        <v>129982991198.77945</v>
      </c>
      <c r="BF1010" s="65">
        <f t="shared" si="257"/>
        <v>141173552374.00983</v>
      </c>
      <c r="BG1010" s="66">
        <f t="shared" si="258"/>
        <v>120408790812.75746</v>
      </c>
    </row>
    <row r="1011" spans="43:59" x14ac:dyDescent="0.25">
      <c r="AQ1011" s="7">
        <v>996</v>
      </c>
      <c r="AR1011" s="58">
        <f t="shared" si="259"/>
        <v>498</v>
      </c>
      <c r="AS1011" s="58">
        <f t="shared" si="260"/>
        <v>118391.13606771998</v>
      </c>
      <c r="AT1011" s="58">
        <f t="shared" si="261"/>
        <v>-339605.77108834864</v>
      </c>
      <c r="AU1011" s="58">
        <f t="shared" si="262"/>
        <v>539.02824317366674</v>
      </c>
      <c r="AV1011" s="58">
        <f t="shared" si="263"/>
        <v>-364.2818766093261</v>
      </c>
      <c r="AW1011" s="58">
        <f t="shared" si="249"/>
        <v>-3.1039140796573479</v>
      </c>
      <c r="AX1011" s="58">
        <f t="shared" si="264"/>
        <v>9.0996858558036173</v>
      </c>
      <c r="AY1011" s="33">
        <f t="shared" si="250"/>
        <v>-1.0957760992478796</v>
      </c>
      <c r="AZ1011" s="33">
        <f t="shared" si="251"/>
        <v>3.8656958652030737</v>
      </c>
      <c r="BA1011" s="39">
        <f t="shared" si="252"/>
        <v>-0.46731567208656466</v>
      </c>
      <c r="BB1011" s="39">
        <f t="shared" si="253"/>
        <v>1.1805398851668303</v>
      </c>
      <c r="BC1011" s="45">
        <f t="shared" si="254"/>
        <v>-1.5408223083229033</v>
      </c>
      <c r="BD1011" s="45">
        <f t="shared" si="255"/>
        <v>4.053450105433714</v>
      </c>
      <c r="BE1011" s="64">
        <f t="shared" si="256"/>
        <v>130163231979.53368</v>
      </c>
      <c r="BF1011" s="65">
        <f t="shared" si="257"/>
        <v>141376301720.39304</v>
      </c>
      <c r="BG1011" s="66">
        <f t="shared" si="258"/>
        <v>120594279083.944</v>
      </c>
    </row>
    <row r="1012" spans="43:59" x14ac:dyDescent="0.25">
      <c r="AQ1012" s="7">
        <v>997</v>
      </c>
      <c r="AR1012" s="58">
        <f t="shared" si="259"/>
        <v>498.5</v>
      </c>
      <c r="AS1012" s="58">
        <f t="shared" si="260"/>
        <v>118660.26220004687</v>
      </c>
      <c r="AT1012" s="58">
        <f t="shared" si="261"/>
        <v>-339786.77456592134</v>
      </c>
      <c r="AU1012" s="58">
        <f t="shared" si="262"/>
        <v>537.47628613383802</v>
      </c>
      <c r="AV1012" s="58">
        <f t="shared" si="263"/>
        <v>-359.7320336814243</v>
      </c>
      <c r="AW1012" s="58">
        <f t="shared" si="249"/>
        <v>-3.1044011421849267</v>
      </c>
      <c r="AX1012" s="58">
        <f t="shared" si="264"/>
        <v>9.084853230267667</v>
      </c>
      <c r="AY1012" s="33">
        <f t="shared" si="250"/>
        <v>-1.0965159622924006</v>
      </c>
      <c r="AZ1012" s="33">
        <f t="shared" si="251"/>
        <v>3.8597656575495534</v>
      </c>
      <c r="BA1012" s="39">
        <f t="shared" si="252"/>
        <v>-0.46722726497719352</v>
      </c>
      <c r="BB1012" s="39">
        <f t="shared" si="253"/>
        <v>1.1786355759939877</v>
      </c>
      <c r="BC1012" s="45">
        <f t="shared" si="254"/>
        <v>-1.5406579149153325</v>
      </c>
      <c r="BD1012" s="45">
        <f t="shared" si="255"/>
        <v>4.0464519967241257</v>
      </c>
      <c r="BE1012" s="64">
        <f t="shared" si="256"/>
        <v>130341951125.78305</v>
      </c>
      <c r="BF1012" s="65">
        <f t="shared" si="257"/>
        <v>141577455974.61642</v>
      </c>
      <c r="BG1012" s="66">
        <f t="shared" si="258"/>
        <v>120778309380.31895</v>
      </c>
    </row>
    <row r="1013" spans="43:59" x14ac:dyDescent="0.25">
      <c r="AQ1013" s="7">
        <v>998</v>
      </c>
      <c r="AR1013" s="58">
        <f t="shared" si="259"/>
        <v>499</v>
      </c>
      <c r="AS1013" s="58">
        <f t="shared" si="260"/>
        <v>118928.61229297101</v>
      </c>
      <c r="AT1013" s="58">
        <f t="shared" si="261"/>
        <v>-339965.50497610832</v>
      </c>
      <c r="AU1013" s="58">
        <f t="shared" si="262"/>
        <v>535.92408556274552</v>
      </c>
      <c r="AV1013" s="58">
        <f t="shared" si="263"/>
        <v>-355.18960706629048</v>
      </c>
      <c r="AW1013" s="58">
        <f t="shared" si="249"/>
        <v>-3.1049154423417171</v>
      </c>
      <c r="AX1013" s="58">
        <f t="shared" si="264"/>
        <v>9.0701698857558917</v>
      </c>
      <c r="AY1013" s="33">
        <f t="shared" si="250"/>
        <v>-1.0972618306323345</v>
      </c>
      <c r="AZ1013" s="33">
        <f t="shared" si="251"/>
        <v>3.8538965344282117</v>
      </c>
      <c r="BA1013" s="39">
        <f t="shared" si="252"/>
        <v>-0.46714380539406913</v>
      </c>
      <c r="BB1013" s="39">
        <f t="shared" si="253"/>
        <v>1.1767498073502867</v>
      </c>
      <c r="BC1013" s="45">
        <f t="shared" si="254"/>
        <v>-1.5405098063153135</v>
      </c>
      <c r="BD1013" s="45">
        <f t="shared" si="255"/>
        <v>4.0395235439773938</v>
      </c>
      <c r="BE1013" s="64">
        <f t="shared" si="256"/>
        <v>130519147478.51492</v>
      </c>
      <c r="BF1013" s="65">
        <f t="shared" si="257"/>
        <v>141777013986.83313</v>
      </c>
      <c r="BG1013" s="66">
        <f t="shared" si="258"/>
        <v>120960880369.2386</v>
      </c>
    </row>
    <row r="1014" spans="43:59" x14ac:dyDescent="0.25">
      <c r="AQ1014" s="7">
        <v>999</v>
      </c>
      <c r="AR1014" s="58">
        <f t="shared" si="259"/>
        <v>499.5</v>
      </c>
      <c r="AS1014" s="58">
        <f t="shared" si="260"/>
        <v>119196.1862213221</v>
      </c>
      <c r="AT1014" s="58">
        <f t="shared" si="261"/>
        <v>-340141.96600840578</v>
      </c>
      <c r="AU1014" s="58">
        <f t="shared" si="262"/>
        <v>534.37162784157465</v>
      </c>
      <c r="AV1014" s="58">
        <f t="shared" si="263"/>
        <v>-350.65452212341251</v>
      </c>
      <c r="AW1014" s="58">
        <f t="shared" si="249"/>
        <v>-3.1054569907384231</v>
      </c>
      <c r="AX1014" s="58">
        <f t="shared" si="264"/>
        <v>9.0556347359123315</v>
      </c>
      <c r="AY1014" s="33">
        <f t="shared" si="250"/>
        <v>-1.0980137566956094</v>
      </c>
      <c r="AZ1014" s="33">
        <f t="shared" si="251"/>
        <v>3.8480880729655276</v>
      </c>
      <c r="BA1014" s="39">
        <f t="shared" si="252"/>
        <v>-0.4670652805419509</v>
      </c>
      <c r="BB1014" s="39">
        <f t="shared" si="253"/>
        <v>1.1748824448623818</v>
      </c>
      <c r="BC1014" s="45">
        <f t="shared" si="254"/>
        <v>-1.5403779535008628</v>
      </c>
      <c r="BD1014" s="45">
        <f t="shared" si="255"/>
        <v>4.0326642180844221</v>
      </c>
      <c r="BE1014" s="64">
        <f t="shared" si="256"/>
        <v>130694819891.04477</v>
      </c>
      <c r="BF1014" s="65">
        <f t="shared" si="257"/>
        <v>141974974618.79257</v>
      </c>
      <c r="BG1014" s="66">
        <f t="shared" si="258"/>
        <v>121141990731.7326</v>
      </c>
    </row>
    <row r="1015" spans="43:59" x14ac:dyDescent="0.25">
      <c r="AQ1015" s="7">
        <v>1000</v>
      </c>
      <c r="AR1015" s="58">
        <f t="shared" si="259"/>
        <v>500</v>
      </c>
      <c r="AS1015" s="58">
        <f t="shared" si="260"/>
        <v>119462.98385311905</v>
      </c>
      <c r="AT1015" s="58">
        <f t="shared" si="261"/>
        <v>-340316.16131512547</v>
      </c>
      <c r="AU1015" s="58">
        <f t="shared" si="262"/>
        <v>532.8188993462054</v>
      </c>
      <c r="AV1015" s="58">
        <f t="shared" si="263"/>
        <v>-346.12670475545633</v>
      </c>
      <c r="AW1015" s="58">
        <f t="shared" si="249"/>
        <v>-3.1060257989921896</v>
      </c>
      <c r="AX1015" s="58">
        <f t="shared" si="264"/>
        <v>9.0412467095481439</v>
      </c>
      <c r="AY1015" s="33">
        <f t="shared" si="250"/>
        <v>-1.0987717926389398</v>
      </c>
      <c r="AZ1015" s="33">
        <f t="shared" si="251"/>
        <v>3.8423398562160731</v>
      </c>
      <c r="BA1015" s="39">
        <f t="shared" si="252"/>
        <v>-0.46699167795090507</v>
      </c>
      <c r="BB1015" s="39">
        <f t="shared" si="253"/>
        <v>1.1730333559919142</v>
      </c>
      <c r="BC1015" s="45">
        <f t="shared" si="254"/>
        <v>-1.5402623284023444</v>
      </c>
      <c r="BD1015" s="45">
        <f t="shared" si="255"/>
        <v>4.0258734973401564</v>
      </c>
      <c r="BE1015" s="64">
        <f t="shared" si="256"/>
        <v>130868967228.9552</v>
      </c>
      <c r="BF1015" s="65">
        <f t="shared" si="257"/>
        <v>142171336743.78036</v>
      </c>
      <c r="BG1015" s="66">
        <f t="shared" si="258"/>
        <v>121321639162.43051</v>
      </c>
    </row>
    <row r="1016" spans="43:59" x14ac:dyDescent="0.25">
      <c r="BE1016" s="10"/>
      <c r="BF1016" s="10"/>
      <c r="BG1016" s="10"/>
    </row>
  </sheetData>
  <mergeCells count="99">
    <mergeCell ref="AQ12:AX12"/>
    <mergeCell ref="AY12:AZ12"/>
    <mergeCell ref="BA12:BB12"/>
    <mergeCell ref="BC12:BD12"/>
    <mergeCell ref="AQ10:BG10"/>
    <mergeCell ref="AE40:AF40"/>
    <mergeCell ref="AE41:AF41"/>
    <mergeCell ref="J44:K44"/>
    <mergeCell ref="J31:K31"/>
    <mergeCell ref="J32:K32"/>
    <mergeCell ref="J33:K33"/>
    <mergeCell ref="J34:K34"/>
    <mergeCell ref="J35:K35"/>
    <mergeCell ref="J36:K36"/>
    <mergeCell ref="B38:K38"/>
    <mergeCell ref="H32:I32"/>
    <mergeCell ref="H33:I33"/>
    <mergeCell ref="B36:F36"/>
    <mergeCell ref="B39:F39"/>
    <mergeCell ref="B40:F40"/>
    <mergeCell ref="AJ10:AO10"/>
    <mergeCell ref="H26:I26"/>
    <mergeCell ref="H27:I27"/>
    <mergeCell ref="H28:I28"/>
    <mergeCell ref="J23:K23"/>
    <mergeCell ref="J24:K24"/>
    <mergeCell ref="J25:K25"/>
    <mergeCell ref="J26:K26"/>
    <mergeCell ref="J27:K27"/>
    <mergeCell ref="J28:K28"/>
    <mergeCell ref="H24:I24"/>
    <mergeCell ref="H25:I25"/>
    <mergeCell ref="V10:AA10"/>
    <mergeCell ref="AC10:AH10"/>
    <mergeCell ref="J20:K20"/>
    <mergeCell ref="B16:F16"/>
    <mergeCell ref="H29:I29"/>
    <mergeCell ref="B21:K21"/>
    <mergeCell ref="J19:K19"/>
    <mergeCell ref="B29:F29"/>
    <mergeCell ref="B22:K22"/>
    <mergeCell ref="B23:F23"/>
    <mergeCell ref="B24:F24"/>
    <mergeCell ref="B25:F25"/>
    <mergeCell ref="B26:F26"/>
    <mergeCell ref="B27:F27"/>
    <mergeCell ref="B28:F28"/>
    <mergeCell ref="J16:K16"/>
    <mergeCell ref="J17:K17"/>
    <mergeCell ref="J18:K18"/>
    <mergeCell ref="H20:I20"/>
    <mergeCell ref="B18:F18"/>
    <mergeCell ref="H19:I19"/>
    <mergeCell ref="B17:F17"/>
    <mergeCell ref="H42:I42"/>
    <mergeCell ref="B41:F41"/>
    <mergeCell ref="B42:F42"/>
    <mergeCell ref="H37:I37"/>
    <mergeCell ref="B37:F37"/>
    <mergeCell ref="B32:F32"/>
    <mergeCell ref="B33:F33"/>
    <mergeCell ref="B34:F34"/>
    <mergeCell ref="B35:F35"/>
    <mergeCell ref="H40:I40"/>
    <mergeCell ref="B8:K8"/>
    <mergeCell ref="H15:I15"/>
    <mergeCell ref="H9:I9"/>
    <mergeCell ref="H10:I10"/>
    <mergeCell ref="H11:I11"/>
    <mergeCell ref="J9:K9"/>
    <mergeCell ref="J10:K10"/>
    <mergeCell ref="J11:K11"/>
    <mergeCell ref="J15:K15"/>
    <mergeCell ref="B10:F10"/>
    <mergeCell ref="B15:F15"/>
    <mergeCell ref="B14:K14"/>
    <mergeCell ref="J45:K45"/>
    <mergeCell ref="J39:K39"/>
    <mergeCell ref="J40:K40"/>
    <mergeCell ref="J41:K41"/>
    <mergeCell ref="H41:I41"/>
    <mergeCell ref="H44:I44"/>
    <mergeCell ref="H43:I43"/>
    <mergeCell ref="B9:F9"/>
    <mergeCell ref="B45:F45"/>
    <mergeCell ref="B19:F19"/>
    <mergeCell ref="B31:F31"/>
    <mergeCell ref="B30:K30"/>
    <mergeCell ref="J29:K29"/>
    <mergeCell ref="H34:I34"/>
    <mergeCell ref="H35:I35"/>
    <mergeCell ref="B43:F43"/>
    <mergeCell ref="J42:K42"/>
    <mergeCell ref="J43:K43"/>
    <mergeCell ref="J37:K37"/>
    <mergeCell ref="B11:F11"/>
    <mergeCell ref="B44:F44"/>
    <mergeCell ref="H36:I36"/>
    <mergeCell ref="H45:I45"/>
  </mergeCells>
  <conditionalFormatting sqref="B23:K28">
    <cfRule type="expression" dxfId="14" priority="16">
      <formula>MOD(ROW(),2)=0</formula>
    </cfRule>
  </conditionalFormatting>
  <conditionalFormatting sqref="B31:K36">
    <cfRule type="expression" dxfId="13" priority="15">
      <formula>MOD(ROW(),2)=0</formula>
    </cfRule>
  </conditionalFormatting>
  <conditionalFormatting sqref="B39:K44">
    <cfRule type="expression" dxfId="12" priority="14">
      <formula>MOD(ROW(),2)=0</formula>
    </cfRule>
  </conditionalFormatting>
  <conditionalFormatting sqref="B9:K11">
    <cfRule type="expression" dxfId="11" priority="13">
      <formula>MOD(ROW(),2)=0</formula>
    </cfRule>
  </conditionalFormatting>
  <conditionalFormatting sqref="B15:K19">
    <cfRule type="expression" dxfId="10" priority="12">
      <formula>MOD(ROW(),2)=0</formula>
    </cfRule>
  </conditionalFormatting>
  <conditionalFormatting sqref="V11:AA27">
    <cfRule type="expression" dxfId="9" priority="11">
      <formula>MOD(ROW(),2)=0</formula>
    </cfRule>
  </conditionalFormatting>
  <conditionalFormatting sqref="AC11:AH27">
    <cfRule type="expression" dxfId="8" priority="10">
      <formula>MOD(ROW(),2)=0</formula>
    </cfRule>
  </conditionalFormatting>
  <conditionalFormatting sqref="AJ11:AO27">
    <cfRule type="expression" dxfId="7" priority="9">
      <formula>MOD(ROW(),2)=0</formula>
    </cfRule>
  </conditionalFormatting>
  <conditionalFormatting sqref="AQ15:AX1015">
    <cfRule type="expression" dxfId="6" priority="8">
      <formula>MOD(ROW(),2)=0</formula>
    </cfRule>
  </conditionalFormatting>
  <conditionalFormatting sqref="AY15:AZ1015">
    <cfRule type="expression" dxfId="5" priority="7">
      <formula>MOD(ROW(),2)=0</formula>
    </cfRule>
  </conditionalFormatting>
  <conditionalFormatting sqref="BA15:BB1015">
    <cfRule type="expression" dxfId="4" priority="6">
      <formula>MOD(ROW(),2)=0</formula>
    </cfRule>
  </conditionalFormatting>
  <conditionalFormatting sqref="BC15:BD1015">
    <cfRule type="expression" dxfId="3" priority="5">
      <formula>MOD(ROW(),2)=0</formula>
    </cfRule>
  </conditionalFormatting>
  <conditionalFormatting sqref="BE15:BE1015">
    <cfRule type="expression" dxfId="2" priority="4">
      <formula>MOD(ROW(),2)=0</formula>
    </cfRule>
  </conditionalFormatting>
  <conditionalFormatting sqref="BF15:BF1015">
    <cfRule type="expression" dxfId="1" priority="3">
      <formula>MOD(ROW(),2)=0</formula>
    </cfRule>
  </conditionalFormatting>
  <conditionalFormatting sqref="BG15:BG1015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EE4AB-D749-4972-A591-325B80613CEA}">
  <sheetPr codeName="Feuil3"/>
  <dimension ref="B1:V39"/>
  <sheetViews>
    <sheetView tabSelected="1" zoomScale="110" zoomScaleNormal="110" workbookViewId="0">
      <selection activeCell="K26" sqref="K26"/>
    </sheetView>
  </sheetViews>
  <sheetFormatPr baseColWidth="10" defaultRowHeight="15" x14ac:dyDescent="0.25"/>
  <cols>
    <col min="12" max="12" width="18.7109375" hidden="1" customWidth="1"/>
    <col min="13" max="19" width="11.42578125" hidden="1" customWidth="1"/>
    <col min="20" max="20" width="13.28515625" hidden="1" customWidth="1"/>
    <col min="21" max="22" width="11.42578125" hidden="1" customWidth="1"/>
  </cols>
  <sheetData>
    <row r="1" spans="2:21" x14ac:dyDescent="0.25">
      <c r="C1" t="s">
        <v>60</v>
      </c>
      <c r="F1" t="s">
        <v>60</v>
      </c>
    </row>
    <row r="2" spans="2:21" x14ac:dyDescent="0.25">
      <c r="D2" s="19"/>
      <c r="E2" s="19"/>
      <c r="F2" s="19"/>
      <c r="G2" s="19"/>
      <c r="H2" s="16">
        <f>(S4/1000)*100</f>
        <v>4.3</v>
      </c>
      <c r="I2" s="4" t="s">
        <v>61</v>
      </c>
      <c r="M2" s="30" t="s">
        <v>56</v>
      </c>
      <c r="N2" s="30"/>
      <c r="P2" s="30" t="s">
        <v>64</v>
      </c>
      <c r="Q2" s="30"/>
      <c r="S2" s="30" t="s">
        <v>63</v>
      </c>
      <c r="T2" s="30"/>
      <c r="U2" s="30"/>
    </row>
    <row r="3" spans="2:21" x14ac:dyDescent="0.25">
      <c r="B3" t="s">
        <v>60</v>
      </c>
      <c r="E3" t="s">
        <v>60</v>
      </c>
      <c r="I3" t="s">
        <v>60</v>
      </c>
      <c r="M3" s="6" t="s">
        <v>57</v>
      </c>
      <c r="N3" s="6" t="s">
        <v>58</v>
      </c>
      <c r="P3" s="6" t="s">
        <v>57</v>
      </c>
      <c r="Q3" s="6" t="s">
        <v>58</v>
      </c>
      <c r="S3" s="6" t="s">
        <v>59</v>
      </c>
      <c r="T3" s="6" t="s">
        <v>57</v>
      </c>
      <c r="U3" s="6" t="s">
        <v>58</v>
      </c>
    </row>
    <row r="4" spans="2:21" x14ac:dyDescent="0.25">
      <c r="F4" t="s">
        <v>60</v>
      </c>
      <c r="I4" t="s">
        <v>60</v>
      </c>
      <c r="M4">
        <f>'Cond. Initiales et trajectoire'!AS15</f>
        <v>0</v>
      </c>
      <c r="N4">
        <f>'Cond. Initiales et trajectoire'!AT15</f>
        <v>0</v>
      </c>
      <c r="P4">
        <f>'Cond. Initiales et trajectoire'!AS1015</f>
        <v>119462.98385311905</v>
      </c>
      <c r="Q4">
        <f>'Cond. Initiales et trajectoire'!AT1015</f>
        <v>-340316.16131512547</v>
      </c>
      <c r="S4">
        <v>43</v>
      </c>
      <c r="T4">
        <f>INDEX('Cond. Initiales et trajectoire'!AS14:AS1015,MATCH('Simulation en mouvement'!S4,'Cond. Initiales et trajectoire'!AQ14:AQ1015,0))</f>
        <v>30745.101259605581</v>
      </c>
      <c r="U4">
        <f>INDEX('Cond. Initiales et trajectoire'!AT14:AT1015,MATCH('Simulation en mouvement'!S4,'Cond. Initiales et trajectoire'!AQ14:AQ1015,0))</f>
        <v>15277.624296741045</v>
      </c>
    </row>
    <row r="5" spans="2:21" x14ac:dyDescent="0.25">
      <c r="I5" t="s">
        <v>60</v>
      </c>
      <c r="J5" t="s">
        <v>60</v>
      </c>
      <c r="K5" t="s">
        <v>60</v>
      </c>
      <c r="S5" t="s">
        <v>60</v>
      </c>
    </row>
    <row r="6" spans="2:21" x14ac:dyDescent="0.25">
      <c r="I6" t="s">
        <v>60</v>
      </c>
      <c r="S6" s="30" t="s">
        <v>62</v>
      </c>
      <c r="T6" s="30"/>
      <c r="U6" s="30"/>
    </row>
    <row r="7" spans="2:21" x14ac:dyDescent="0.25">
      <c r="S7" t="s">
        <v>60</v>
      </c>
      <c r="T7" t="s">
        <v>57</v>
      </c>
      <c r="U7" t="s">
        <v>58</v>
      </c>
    </row>
    <row r="8" spans="2:21" x14ac:dyDescent="0.25">
      <c r="T8" cm="1">
        <f t="array" ref="T8">INDEX('Cond. Initiales et trajectoire'!AS14:AS1015,MATCH('Simulation en mouvement'!S4,'Cond. Initiales et trajectoire'!AQ14:AQ1015,0)+1)</f>
        <v>30886.790392534051</v>
      </c>
      <c r="U8" cm="1">
        <f t="array" ref="U8">INDEX('Cond. Initiales et trajectoire'!AT14:AT1015,MATCH('Simulation en mouvement'!S4,'Cond. Initiales et trajectoire'!AQ14:AQ1015,0)+1)</f>
        <v>16345.252759825273</v>
      </c>
    </row>
    <row r="9" spans="2:21" x14ac:dyDescent="0.25">
      <c r="J9" t="s">
        <v>60</v>
      </c>
    </row>
    <row r="10" spans="2:21" x14ac:dyDescent="0.25">
      <c r="M10" s="30" t="s">
        <v>73</v>
      </c>
      <c r="N10" s="30"/>
      <c r="O10" s="30"/>
      <c r="P10" s="30"/>
      <c r="Q10" s="30"/>
      <c r="R10" s="30"/>
      <c r="T10" s="30" t="s">
        <v>68</v>
      </c>
      <c r="U10" s="30"/>
    </row>
    <row r="11" spans="2:21" x14ac:dyDescent="0.25">
      <c r="M11" t="s">
        <v>67</v>
      </c>
      <c r="O11" t="s">
        <v>65</v>
      </c>
      <c r="P11" t="s">
        <v>66</v>
      </c>
      <c r="Q11" t="s">
        <v>71</v>
      </c>
      <c r="R11" t="s">
        <v>72</v>
      </c>
    </row>
    <row r="12" spans="2:21" x14ac:dyDescent="0.25">
      <c r="M12">
        <v>2500</v>
      </c>
      <c r="O12">
        <v>0.5</v>
      </c>
      <c r="P12">
        <v>-1</v>
      </c>
      <c r="Q12">
        <f>COS($R$20)*O12-SIN($R$20)*P12</f>
        <v>0.2208631844622731</v>
      </c>
      <c r="R12">
        <f>COS($R$20)*P12+SIN($R$20)*O12</f>
        <v>-1.0960015756143711</v>
      </c>
      <c r="T12">
        <f>INDEX('Cond. Initiales et trajectoire'!AS14:AS1015,MATCH('Simulation en mouvement'!S4,'Cond. Initiales et trajectoire'!AQ14:AQ1015,0))</f>
        <v>30745.101259605581</v>
      </c>
      <c r="U12">
        <f>INDEX('Cond. Initiales et trajectoire'!AT14:AT1015,MATCH('Simulation en mouvement'!S4,'Cond. Initiales et trajectoire'!AQ14:AQ1015,0))</f>
        <v>15277.624296741045</v>
      </c>
    </row>
    <row r="13" spans="2:21" x14ac:dyDescent="0.25">
      <c r="O13">
        <v>0</v>
      </c>
      <c r="P13">
        <v>1</v>
      </c>
      <c r="Q13">
        <f>COS($R$20)*O13-SIN($R$20)*P13</f>
        <v>0.26171008267592993</v>
      </c>
      <c r="R13">
        <f>COS($R$20)*P13+SIN($R$20)*O13</f>
        <v>0.96514653427640607</v>
      </c>
      <c r="T13" cm="1">
        <f t="array" ref="T13">INDEX('Cond. Initiales et trajectoire'!AS14:AS1015,MATCH('Simulation en mouvement'!S4,'Cond. Initiales et trajectoire'!AQ14:AQ1015,0)-1)</f>
        <v>30215.812704338721</v>
      </c>
      <c r="U13" cm="1">
        <f t="array" ref="U13">INDEX('Cond. Initiales et trajectoire'!AT14:AT1015,MATCH('Simulation en mouvement'!S4,'Cond. Initiales et trajectoire'!AQ14:AQ1015,0)-1)</f>
        <v>13951.290731552532</v>
      </c>
    </row>
    <row r="14" spans="2:21" x14ac:dyDescent="0.25">
      <c r="O14">
        <v>-0.5</v>
      </c>
      <c r="P14">
        <v>-1</v>
      </c>
      <c r="Q14">
        <f>COS($R$20)*O14-SIN($R$20)*P14</f>
        <v>-0.74428334981413302</v>
      </c>
      <c r="R14">
        <f>COS($R$20)*P14+SIN($R$20)*O14</f>
        <v>-0.83429149293844107</v>
      </c>
      <c r="T14" cm="1">
        <f t="array" ref="T14">INDEX('Cond. Initiales et trajectoire'!AS14:AS1015,MATCH('Simulation en mouvement'!S4,'Cond. Initiales et trajectoire'!AQ14:AQ1015,0)-2)</f>
        <v>29248.402756937085</v>
      </c>
      <c r="U14" cm="1">
        <f t="array" ref="U14">INDEX('Cond. Initiales et trajectoire'!AT14:AT1015,MATCH('Simulation en mouvement'!S4,'Cond. Initiales et trajectoire'!AQ14:AQ1015,0)-2)</f>
        <v>12370.753548935401</v>
      </c>
    </row>
    <row r="15" spans="2:21" x14ac:dyDescent="0.25">
      <c r="O15">
        <v>0</v>
      </c>
      <c r="P15">
        <v>0</v>
      </c>
      <c r="Q15">
        <f>COS($R$20)*O15-SIN($R$20)*P15</f>
        <v>0</v>
      </c>
      <c r="R15">
        <f>COS($R$20)*P15+SIN($R$20)*O15</f>
        <v>0</v>
      </c>
      <c r="T15" cm="1">
        <f t="array" ref="T15">INDEX('Cond. Initiales et trajectoire'!AS14:AS1015,MATCH('Simulation en mouvement'!S4,'Cond. Initiales et trajectoire'!AQ14:AQ1015,0)-3)</f>
        <v>27780.405187877059</v>
      </c>
      <c r="U15" cm="1">
        <f t="array" ref="U15">INDEX('Cond. Initiales et trajectoire'!AT14:AT1015,MATCH('Simulation en mouvement'!S4,'Cond. Initiales et trajectoire'!AQ14:AQ1015,0)-3)</f>
        <v>10552.98943923074</v>
      </c>
    </row>
    <row r="16" spans="2:21" x14ac:dyDescent="0.25">
      <c r="O16">
        <v>0.5</v>
      </c>
      <c r="P16">
        <v>-1</v>
      </c>
      <c r="Q16">
        <f>COS($R$20)*O16-SIN($R$20)*P16</f>
        <v>0.2208631844622731</v>
      </c>
      <c r="R16">
        <f>COS($R$20)*P16+SIN($R$20)*O16</f>
        <v>-1.0960015756143711</v>
      </c>
      <c r="T16" cm="1">
        <f t="array" ref="T16">INDEX('Cond. Initiales et trajectoire'!AS14:AS1015,MATCH('Simulation en mouvement'!S4,'Cond. Initiales et trajectoire'!AQ14:AQ1015,0)-4)</f>
        <v>25761.361344867069</v>
      </c>
      <c r="U16" cm="1">
        <f t="array" ref="U16">INDEX('Cond. Initiales et trajectoire'!AT14:AT1015,MATCH('Simulation en mouvement'!S4,'Cond. Initiales et trajectoire'!AQ14:AQ1015,0)-4)</f>
        <v>8555.3303777478977</v>
      </c>
    </row>
    <row r="17" spans="13:21" x14ac:dyDescent="0.25">
      <c r="T17" cm="1">
        <f t="array" ref="T17">INDEX('Cond. Initiales et trajectoire'!AS14:AS1015,MATCH('Simulation en mouvement'!S4,'Cond. Initiales et trajectoire'!AQ14:AQ1015,0)-5)</f>
        <v>23230.194083354581</v>
      </c>
      <c r="U17" cm="1">
        <f t="array" ref="U17">INDEX('Cond. Initiales et trajectoire'!AT14:AT1015,MATCH('Simulation en mouvement'!S4,'Cond. Initiales et trajectoire'!AQ14:AQ1015,0)-5)</f>
        <v>6517.1108696313704</v>
      </c>
    </row>
    <row r="18" spans="13:21" x14ac:dyDescent="0.25">
      <c r="M18" s="30" t="s">
        <v>74</v>
      </c>
      <c r="N18" s="30"/>
      <c r="O18" t="s">
        <v>60</v>
      </c>
      <c r="P18" s="30" t="s">
        <v>75</v>
      </c>
      <c r="Q18" s="30"/>
      <c r="R18" s="30"/>
      <c r="T18" cm="1">
        <f t="array" ref="T18">INDEX('Cond. Initiales et trajectoire'!AS14:AS1015,MATCH('Simulation en mouvement'!S4,'Cond. Initiales et trajectoire'!AQ14:AQ1015,0)-6)</f>
        <v>20391.64218548896</v>
      </c>
      <c r="U18" cm="1">
        <f t="array" ref="U18">INDEX('Cond. Initiales et trajectoire'!AT14:AT1015,MATCH('Simulation en mouvement'!S4,'Cond. Initiales et trajectoire'!AQ14:AQ1015,0)-6)</f>
        <v>4640.3231022982955</v>
      </c>
    </row>
    <row r="19" spans="13:21" x14ac:dyDescent="0.25">
      <c r="M19">
        <f>Q12*$M$12+$T$4</f>
        <v>31297.259220761265</v>
      </c>
      <c r="N19">
        <f>R12*$M$12+$U$4</f>
        <v>12537.620357705118</v>
      </c>
      <c r="P19" t="s">
        <v>69</v>
      </c>
      <c r="Q19" t="s">
        <v>70</v>
      </c>
      <c r="T19" cm="1">
        <f t="array" ref="T19">INDEX('Cond. Initiales et trajectoire'!AS14:AS1015,MATCH('Simulation en mouvement'!S4,'Cond. Initiales et trajectoire'!AQ14:AQ1015,0)-7)</f>
        <v>17522.598329195571</v>
      </c>
      <c r="U19" cm="1">
        <f t="array" ref="U19">INDEX('Cond. Initiales et trajectoire'!AT14:AT1015,MATCH('Simulation en mouvement'!S4,'Cond. Initiales et trajectoire'!AQ14:AQ1015,0)-7)</f>
        <v>3064.3548369665605</v>
      </c>
    </row>
    <row r="20" spans="13:21" x14ac:dyDescent="0.25">
      <c r="M20">
        <f>Q13*$M$12+$T$4</f>
        <v>31399.376466295405</v>
      </c>
      <c r="N20">
        <f>R13*$M$12+$U$4</f>
        <v>17690.490632432062</v>
      </c>
      <c r="P20">
        <f>INDEX('Cond. Initiales et trajectoire'!AU14:AU1015,MATCH('Simulation en mouvement'!S4,'Cond. Initiales et trajectoire'!AQ14:AQ1015,0))</f>
        <v>649.47144023713236</v>
      </c>
      <c r="Q20">
        <f>INDEX('Cond. Initiales et trajectoire'!AV14:AV1015,MATCH('Simulation en mouvement'!S4,'Cond. Initiales et trajectoire'!AQ14:AQ1015,0))</f>
        <v>2395.1507838258221</v>
      </c>
      <c r="R20">
        <f>ATAN2(P20,Q20)-PI()/2</f>
        <v>-0.26479361574472438</v>
      </c>
    </row>
    <row r="21" spans="13:21" x14ac:dyDescent="0.25">
      <c r="M21">
        <f>Q14*$M$12+$T$4</f>
        <v>28884.392885070247</v>
      </c>
      <c r="N21">
        <f>R14*$M$12+$U$4</f>
        <v>13191.895564394943</v>
      </c>
    </row>
    <row r="22" spans="13:21" x14ac:dyDescent="0.25">
      <c r="M22">
        <f>Q15*$M$12+$T$4</f>
        <v>30745.101259605581</v>
      </c>
      <c r="N22">
        <f>R15*$M$12+$U$4</f>
        <v>15277.624296741045</v>
      </c>
    </row>
    <row r="23" spans="13:21" x14ac:dyDescent="0.25">
      <c r="M23">
        <f>Q16*$M$12+$T$4</f>
        <v>31297.259220761265</v>
      </c>
      <c r="N23">
        <f>R16*$M$12+$U$4</f>
        <v>12537.620357705118</v>
      </c>
    </row>
    <row r="39" spans="12:12" x14ac:dyDescent="0.25">
      <c r="L39" t="s">
        <v>60</v>
      </c>
    </row>
  </sheetData>
  <mergeCells count="9">
    <mergeCell ref="D2:G2"/>
    <mergeCell ref="T10:U10"/>
    <mergeCell ref="M18:N18"/>
    <mergeCell ref="P18:R18"/>
    <mergeCell ref="M2:N2"/>
    <mergeCell ref="P2:Q2"/>
    <mergeCell ref="S2:U2"/>
    <mergeCell ref="S6:U6"/>
    <mergeCell ref="M10:R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tartsimulation" altText="Démarrer la simulation">
                <anchor moveWithCells="1" sizeWithCells="1">
                  <from>
                    <xdr:col>0</xdr:col>
                    <xdr:colOff>742950</xdr:colOff>
                    <xdr:row>0</xdr:row>
                    <xdr:rowOff>171450</xdr:rowOff>
                  </from>
                  <to>
                    <xdr:col>3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toptsimulation">
                <anchor moveWithCells="1" sizeWithCells="1">
                  <from>
                    <xdr:col>0</xdr:col>
                    <xdr:colOff>733425</xdr:colOff>
                    <xdr:row>3</xdr:row>
                    <xdr:rowOff>0</xdr:rowOff>
                  </from>
                  <to>
                    <xdr:col>2</xdr:col>
                    <xdr:colOff>752475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5" ma:contentTypeDescription="Create a new document." ma:contentTypeScope="" ma:versionID="dd50e05c8c4502df023402c6fe7b5471">
  <xsd:schema xmlns:xsd="http://www.w3.org/2001/XMLSchema" xmlns:xs="http://www.w3.org/2001/XMLSchema" xmlns:p="http://schemas.microsoft.com/office/2006/metadata/properties" xmlns:ns3="22375818-dcd7-42e4-9660-6b33e030de66" xmlns:ns4="9de94308-2297-4d04-a77d-26fce9df9395" targetNamespace="http://schemas.microsoft.com/office/2006/metadata/properties" ma:root="true" ma:fieldsID="cc240d876a35eaf6c3a091fb0f8717b5" ns3:_="" ns4:_="">
    <xsd:import namespace="22375818-dcd7-42e4-9660-6b33e030de66"/>
    <xsd:import namespace="9de94308-2297-4d04-a77d-26fce9df939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EC63EB8-487B-41CA-A4BA-2DBF09A01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375818-dcd7-42e4-9660-6b33e030de66"/>
    <ds:schemaRef ds:uri="9de94308-2297-4d04-a77d-26fce9df93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E2C6D4-C349-4F83-9A40-ADF3F5188704}">
  <ds:schemaRefs>
    <ds:schemaRef ds:uri="http://purl.org/dc/dcmitype/"/>
    <ds:schemaRef ds:uri="9de94308-2297-4d04-a77d-26fce9df9395"/>
    <ds:schemaRef ds:uri="22375818-dcd7-42e4-9660-6b33e030de66"/>
    <ds:schemaRef ds:uri="http://purl.org/dc/elements/1.1/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C6DDB15-4AB2-4764-8CAE-BD9EDCB186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Cond. Initiales et trajectoire</vt:lpstr>
      <vt:lpstr>Simulation en mouvement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Gervais Joey</dc:creator>
  <cp:lastModifiedBy>Gervais Joey</cp:lastModifiedBy>
  <dcterms:created xsi:type="dcterms:W3CDTF">2022-11-18T13:25:17Z</dcterms:created>
  <dcterms:modified xsi:type="dcterms:W3CDTF">2022-12-16T13:59:06Z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